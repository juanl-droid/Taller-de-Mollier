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cio" sheetId="1" state="visible" r:id="rId3"/>
    <sheet name="Datos_problemas" sheetId="2" state="visible" r:id="rId4"/>
    <sheet name="Datos_items" sheetId="3" state="visible" r:id="rId5"/>
    <sheet name="Diccionario" sheetId="4" state="visible" r:id="rId6"/>
    <sheet name="Matriz_Q" sheetId="5" state="visible" r:id="rId7"/>
    <sheet name="Catalogo_errores" sheetId="6" state="visible" r:id="rId8"/>
    <sheet name="Analisis_grupo" sheetId="7" state="visible" r:id="rId9"/>
    <sheet name="Por_alumno" sheetId="8" state="visible" r:id="rId10"/>
    <sheet name="Comprobant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V1" authorId="0">
      <text>
        <r>
          <rPr>
            <sz val="10"/>
            <rFont val="Arial"/>
            <family val="2"/>
          </rPr>
          <t xml:space="preserve">Columna auxiliar: numera a cada estudiante la primera vez que aparece. No la borres ni pegues encima.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Fracción de acierto a partir de la cual se considera dominada una competencia (supuesto editable).</t>
        </r>
      </text>
    </comment>
    <comment ref="B8" authorId="0">
      <text>
        <r>
          <rPr>
            <sz val="10"/>
            <rFont val="Arial"/>
            <family val="2"/>
          </rPr>
          <t xml:space="preserve">Dato del docente: calificación mínima aprobatoria. Ajústala a tu reglamento.</t>
        </r>
      </text>
    </comment>
  </commentList>
</comments>
</file>

<file path=xl/sharedStrings.xml><?xml version="1.0" encoding="utf-8"?>
<sst xmlns="http://schemas.openxmlformats.org/spreadsheetml/2006/main" count="1025" uniqueCount="522">
  <si>
    <t xml:space="preserve">Taller de Mollier · Libro de análisis del aprendizaje</t>
  </si>
  <si>
    <t xml:space="preserve">Propósito</t>
  </si>
  <si>
    <t xml:space="preserve">Registrar los resultados del Taller de Mollier (evaluaciones y práctica) y localizar en qué competencias, ítems, refrigerantes y tipos de error tienen dificultades los estudiantes de ingeniería.</t>
  </si>
  <si>
    <t xml:space="preserve">Modo automático</t>
  </si>
  <si>
    <t xml:space="preserve">Si publicaste la aplicación con Google Apps Script desde este libro (versión Google Sheets), los resultados llegan solos a Datos_problemas, Datos_items y Comprobantes; omite los pasos 1 a 3.</t>
  </si>
  <si>
    <t xml:space="preserve">Paso 1</t>
  </si>
  <si>
    <t xml:space="preserve">Pide a cada estudiante el comprobante completo (incluye la línea DATOS y el código de verificación).</t>
  </si>
  <si>
    <t xml:space="preserve">Paso 2</t>
  </si>
  <si>
    <t xml:space="preserve">En la aplicación abre «Panel docente: procesar comprobantes», pega todos los comprobantes juntos y pulsa «Procesar comprobantes».</t>
  </si>
  <si>
    <t xml:space="preserve">Paso 3</t>
  </si>
  <si>
    <t xml:space="preserve">Pulsa «Copiar filas de Datos_problemas» y pega en la celda A1 de la hoja Datos_problemas (con encabezados). Repite con «Copiar filas de Datos_items» en la celda A1 de Datos_items.</t>
  </si>
  <si>
    <t xml:space="preserve">Agregar más datos</t>
  </si>
  <si>
    <t xml:space="preserve">Para sumar otro grupo o momento, desmarca «Incluir encabezados» en el panel y pega debajo de la última fila con datos. No borres la columna gris «aux_indice_alumno».</t>
  </si>
  <si>
    <t xml:space="preserve">Separador decimal</t>
  </si>
  <si>
    <t xml:space="preserve">Los datos usan punto decimal (formato de México). Si tu Excel está configurado con coma decimal, cambia temporalmente la configuración regional o importa el CSV indicando punto como separador.</t>
  </si>
  <si>
    <t xml:space="preserve">Paso 4</t>
  </si>
  <si>
    <t xml:space="preserve">Revisa Analisis_grupo (filtros en celdas amarillas) y Por_alumno. Los colores van de rojo (bajo acierto o muchos errores) a verde.</t>
  </si>
  <si>
    <t xml:space="preserve">Celdas que puedes editar</t>
  </si>
  <si>
    <t xml:space="preserve">Solo las celdas amarillas con texto azul: filtros y umbrales en Analisis_grupo. Todo lo demás son datos pegados o fórmulas.</t>
  </si>
  <si>
    <t xml:space="preserve">Capacidad</t>
  </si>
  <si>
    <t xml:space="preserve">Las fórmulas cubren 2999 problemas en Datos_problemas y cualquier cantidad de filas en Datos_items. Por_alumno lista hasta 300 estudiantes.</t>
  </si>
  <si>
    <t xml:space="preserve">Ética</t>
  </si>
  <si>
    <t xml:space="preserve">La columna «consentimiento» indica si el estudiante aceptó el uso anónimo de sus datos. Para publicar, filtra consentimiento = Sí y sustituye nombre y matrícula por un código.</t>
  </si>
  <si>
    <t xml:space="preserve">Referencias</t>
  </si>
  <si>
    <t xml:space="preserve">Hojas Diccionario (qué significa cada columna), Matriz_Q (qué competencia evalúa cada ítem) y Catalogo_errores (errores tipificados y sugerencia didáctica).</t>
  </si>
  <si>
    <t xml:space="preserve">id_registro</t>
  </si>
  <si>
    <t xml:space="preserve">matricula</t>
  </si>
  <si>
    <t xml:space="preserve">nombre</t>
  </si>
  <si>
    <t xml:space="preserve">grupo</t>
  </si>
  <si>
    <t xml:space="preserve">momento</t>
  </si>
  <si>
    <t xml:space="preserve">modo</t>
  </si>
  <si>
    <t xml:space="preserve">consentimiento</t>
  </si>
  <si>
    <t xml:space="preserve">clave</t>
  </si>
  <si>
    <t xml:space="preserve">fecha</t>
  </si>
  <si>
    <t xml:space="preserve">hora</t>
  </si>
  <si>
    <t xml:space="preserve">version_app</t>
  </si>
  <si>
    <t xml:space="preserve">nivel</t>
  </si>
  <si>
    <t xml:space="preserve">nivel_nombre</t>
  </si>
  <si>
    <t xml:space="preserve">num_problema</t>
  </si>
  <si>
    <t xml:space="preserve">semilla</t>
  </si>
  <si>
    <t xml:space="preserve">refrigerante</t>
  </si>
  <si>
    <t xml:space="preserve">familia_refrigerante</t>
  </si>
  <si>
    <t xml:space="preserve">clase_seguridad</t>
  </si>
  <si>
    <t xml:space="preserve">zeotropico</t>
  </si>
  <si>
    <t xml:space="preserve">escenario</t>
  </si>
  <si>
    <t xml:space="preserve">ciudad</t>
  </si>
  <si>
    <t xml:space="preserve">To_C</t>
  </si>
  <si>
    <t xml:space="preserve">Tk_C</t>
  </si>
  <si>
    <t xml:space="preserve">relacion_compresion</t>
  </si>
  <si>
    <t xml:space="preserve">tiempo_s</t>
  </si>
  <si>
    <t xml:space="preserve">n_colocaciones</t>
  </si>
  <si>
    <t xml:space="preserve">n_ediciones_respuesta</t>
  </si>
  <si>
    <t xml:space="preserve">n_cambios_isolineas</t>
  </si>
  <si>
    <t xml:space="preserve">puntaje_colocacion_pct</t>
  </si>
  <si>
    <t xml:space="preserve">puntaje_calculos_pct</t>
  </si>
  <si>
    <t xml:space="preserve">calificacion</t>
  </si>
  <si>
    <t xml:space="preserve">items_correctos</t>
  </si>
  <si>
    <t xml:space="preserve">items_total</t>
  </si>
  <si>
    <t xml:space="preserve">errores_lectura</t>
  </si>
  <si>
    <t xml:space="preserve">errores_calculo</t>
  </si>
  <si>
    <t xml:space="preserve">errores_conceptuales</t>
  </si>
  <si>
    <t xml:space="preserve">errores_arrastrados</t>
  </si>
  <si>
    <t xml:space="preserve">sin_respuesta</t>
  </si>
  <si>
    <t xml:space="preserve">codigos_error</t>
  </si>
  <si>
    <t xml:space="preserve">competencia_mas_debil</t>
  </si>
  <si>
    <t xml:space="preserve">comprobaciones_respuestas</t>
  </si>
  <si>
    <t xml:space="preserve">comprobaciones_puntos</t>
  </si>
  <si>
    <t xml:space="preserve">pistas_vistas</t>
  </si>
  <si>
    <t xml:space="preserve">valores_revelados</t>
  </si>
  <si>
    <t xml:space="preserve">solucion_vista</t>
  </si>
  <si>
    <t xml:space="preserve">puntos_correctos_vistos</t>
  </si>
  <si>
    <t xml:space="preserve">resuelto_en_practica</t>
  </si>
  <si>
    <t xml:space="preserve">aux_indice_alumno</t>
  </si>
  <si>
    <t xml:space="preserve">item</t>
  </si>
  <si>
    <t xml:space="preserve">descripcion_item</t>
  </si>
  <si>
    <t xml:space="preserve">tipo_item</t>
  </si>
  <si>
    <t xml:space="preserve">competencia</t>
  </si>
  <si>
    <t xml:space="preserve">competencia_nombre</t>
  </si>
  <si>
    <t xml:space="preserve">valor_alumno</t>
  </si>
  <si>
    <t xml:space="preserve">valor_esperado</t>
  </si>
  <si>
    <t xml:space="preserve">unidad</t>
  </si>
  <si>
    <t xml:space="preserve">P_alumno_bar</t>
  </si>
  <si>
    <t xml:space="preserve">P_esperado_bar</t>
  </si>
  <si>
    <t xml:space="preserve">error_abs</t>
  </si>
  <si>
    <t xml:space="preserve">error_rel_pct</t>
  </si>
  <si>
    <t xml:space="preserve">tolerancia</t>
  </si>
  <si>
    <t xml:space="preserve">correcto</t>
  </si>
  <si>
    <t xml:space="preserve">puntaje_item</t>
  </si>
  <si>
    <t xml:space="preserve">codigo_error</t>
  </si>
  <si>
    <t xml:space="preserve">descripcion_error</t>
  </si>
  <si>
    <t xml:space="preserve">intentos_practica</t>
  </si>
  <si>
    <t xml:space="preserve">Diccionario de datos</t>
  </si>
  <si>
    <t xml:space="preserve">Hoja</t>
  </si>
  <si>
    <t xml:space="preserve">Columna</t>
  </si>
  <si>
    <t xml:space="preserve">Tipo / valores</t>
  </si>
  <si>
    <t xml:space="preserve">Descripción</t>
  </si>
  <si>
    <t xml:space="preserve">Ejemplo</t>
  </si>
  <si>
    <t xml:space="preserve">Uso en el análisis</t>
  </si>
  <si>
    <t xml:space="preserve">Datos_problemas</t>
  </si>
  <si>
    <t xml:space="preserve">Texto</t>
  </si>
  <si>
    <t xml:space="preserve">Identificador único del problema resuelto: matrícula-modo-fecha-código-número.</t>
  </si>
  <si>
    <t xml:space="preserve">2345678-P-2026-10-02-0QFM-1</t>
  </si>
  <si>
    <t xml:space="preserve">Llave para unir con Datos_items.</t>
  </si>
  <si>
    <t xml:space="preserve">Matrícula del estudiante.</t>
  </si>
  <si>
    <t xml:space="preserve">2345678</t>
  </si>
  <si>
    <t xml:space="preserve">Seguimiento individual y pre/post.</t>
  </si>
  <si>
    <t xml:space="preserve">Nombre completo tal como lo escribió el estudiante.</t>
  </si>
  <si>
    <t xml:space="preserve">Pérez López Ana</t>
  </si>
  <si>
    <t xml:space="preserve">Solo identificación; anonimizar antes de publicar.</t>
  </si>
  <si>
    <t xml:space="preserve">Grupo escolar.</t>
  </si>
  <si>
    <t xml:space="preserve">5A</t>
  </si>
  <si>
    <t xml:space="preserve">Comparar grupos.</t>
  </si>
  <si>
    <t xml:space="preserve">Diagnóstico · Formativa · Final · Práctica</t>
  </si>
  <si>
    <t xml:space="preserve">Momento de aplicación elegido por el estudiante según tu indicación.</t>
  </si>
  <si>
    <t xml:space="preserve">Diagnóstico</t>
  </si>
  <si>
    <t xml:space="preserve">Diseño pretest–postest y ganancia normalizada.</t>
  </si>
  <si>
    <t xml:space="preserve">Evaluación · Práctica</t>
  </si>
  <si>
    <t xml:space="preserve">Si el registro viene de una evaluación calificada o de la práctica con retroalimentación.</t>
  </si>
  <si>
    <t xml:space="preserve">Evaluación</t>
  </si>
  <si>
    <t xml:space="preserve">Separar evaluación de aprendizaje en proceso.</t>
  </si>
  <si>
    <t xml:space="preserve">Sí · No</t>
  </si>
  <si>
    <t xml:space="preserve">El estudiante aceptó el uso anónimo de sus datos en investigación.</t>
  </si>
  <si>
    <t xml:space="preserve">Sí</t>
  </si>
  <si>
    <t xml:space="preserve">Filtro ético obligatorio para publicar.</t>
  </si>
  <si>
    <t xml:space="preserve">Clave de evaluación; con la misma clave todos reciben los mismos problemas.</t>
  </si>
  <si>
    <t xml:space="preserve">IM-G2</t>
  </si>
  <si>
    <t xml:space="preserve">Comparar alumnos con problemas idénticos.</t>
  </si>
  <si>
    <t xml:space="preserve">AAAA-MM-DD</t>
  </si>
  <si>
    <t xml:space="preserve">Fecha de entrega.</t>
  </si>
  <si>
    <t xml:space="preserve">2026-10-02</t>
  </si>
  <si>
    <t xml:space="preserve">Series de tiempo.</t>
  </si>
  <si>
    <t xml:space="preserve">HH:MM</t>
  </si>
  <si>
    <t xml:space="preserve">Hora de entrega (hora local del equipo).</t>
  </si>
  <si>
    <t xml:space="preserve">10:45</t>
  </si>
  <si>
    <t xml:space="preserve">Versión de la aplicación.</t>
  </si>
  <si>
    <t xml:space="preserve">2.0</t>
  </si>
  <si>
    <t xml:space="preserve">Controlar cambios de instrumento.</t>
  </si>
  <si>
    <t xml:space="preserve">1 · 2 · 3</t>
  </si>
  <si>
    <t xml:space="preserve">Nivel del problema: 1 ciclo ideal, 2 ciclo real, 3 con rendimiento isentrópico y caudal.</t>
  </si>
  <si>
    <t xml:space="preserve">2</t>
  </si>
  <si>
    <t xml:space="preserve">Dificultad del ítem.</t>
  </si>
  <si>
    <t xml:space="preserve">Nombre del nivel.</t>
  </si>
  <si>
    <t xml:space="preserve">Intermedio</t>
  </si>
  <si>
    <t xml:space="preserve">Entero</t>
  </si>
  <si>
    <t xml:space="preserve">Posición del problema dentro de la evaluación o de la sesión.</t>
  </si>
  <si>
    <t xml:space="preserve">1</t>
  </si>
  <si>
    <t xml:space="preserve">Efecto de fatiga o de aprendizaje dentro de la sesión.</t>
  </si>
  <si>
    <t xml:space="preserve">Número del problema; permite reproducirlo exactamente.</t>
  </si>
  <si>
    <t xml:space="preserve">48213</t>
  </si>
  <si>
    <t xml:space="preserve">Revisar el enunciado exacto.</t>
  </si>
  <si>
    <t xml:space="preserve">Refrigerante del problema.</t>
  </si>
  <si>
    <t xml:space="preserve">R-448A</t>
  </si>
  <si>
    <t xml:space="preserve">Dificultad por refrigerante.</t>
  </si>
  <si>
    <t xml:space="preserve">HFC, HFO, HCFO, hidrocarburo, natural inorgánico o mezcla.</t>
  </si>
  <si>
    <t xml:space="preserve">Mezcla HFC/HFO zeotrópica</t>
  </si>
  <si>
    <t xml:space="preserve">Efecto del tipo de fluido.</t>
  </si>
  <si>
    <t xml:space="preserve">A1 · A2L · A3 · B2L</t>
  </si>
  <si>
    <t xml:space="preserve">Clasificación ISO 817 / ASHRAE 34.</t>
  </si>
  <si>
    <t xml:space="preserve">A1</t>
  </si>
  <si>
    <t xml:space="preserve">Vincular con contenidos de normativa.</t>
  </si>
  <si>
    <t xml:space="preserve">Si la mezcla tiene deslizamiento de temperatura.</t>
  </si>
  <si>
    <t xml:space="preserve">Dificultad adicional de las mezclas zeotrópicas.</t>
  </si>
  <si>
    <t xml:space="preserve">Aplicación del problema (cámara de carnes, chiller, minisplit…).</t>
  </si>
  <si>
    <t xml:space="preserve">cámara de productos congelados</t>
  </si>
  <si>
    <t xml:space="preserve">Transferencia a contextos.</t>
  </si>
  <si>
    <t xml:space="preserve">Ciudad que fija la temperatura exterior de proyecto.</t>
  </si>
  <si>
    <t xml:space="preserve">Hermosillo</t>
  </si>
  <si>
    <t xml:space="preserve">°C</t>
  </si>
  <si>
    <t xml:space="preserve">Temperatura de evaporación correcta del problema.</t>
  </si>
  <si>
    <t xml:space="preserve">-28</t>
  </si>
  <si>
    <t xml:space="preserve">Condición de operación.</t>
  </si>
  <si>
    <t xml:space="preserve">Temperatura de condensación correcta del problema.</t>
  </si>
  <si>
    <t xml:space="preserve">54</t>
  </si>
  <si>
    <t xml:space="preserve">Adimensional</t>
  </si>
  <si>
    <t xml:space="preserve">Pk/Po del problema.</t>
  </si>
  <si>
    <t xml:space="preserve">6.8</t>
  </si>
  <si>
    <t xml:space="preserve">Dificultad por condiciones extremas.</t>
  </si>
  <si>
    <t xml:space="preserve">Segundos</t>
  </si>
  <si>
    <t xml:space="preserve">Tiempo desde que se abrió el problema hasta la entrega (evaluación) o hasta el último registro (práctica).</t>
  </si>
  <si>
    <t xml:space="preserve">612</t>
  </si>
  <si>
    <t xml:space="preserve">Esfuerzo; relación tiempo–desempeño.</t>
  </si>
  <si>
    <t xml:space="preserve">Número de clics para colocar o recolocar puntos en el diagrama.</t>
  </si>
  <si>
    <t xml:space="preserve">9</t>
  </si>
  <si>
    <t xml:space="preserve">Ensayo y error en la representación gráfica.</t>
  </si>
  <si>
    <t xml:space="preserve">Número de veces que se modificó alguna respuesta numérica.</t>
  </si>
  <si>
    <t xml:space="preserve">14</t>
  </si>
  <si>
    <t xml:space="preserve">Incertidumbre o autocorrección.</t>
  </si>
  <si>
    <t xml:space="preserve">Veces que se mostraron u ocultaron familias de líneas.</t>
  </si>
  <si>
    <t xml:space="preserve">Estrategia de lectura del diagrama.</t>
  </si>
  <si>
    <t xml:space="preserve">0–100</t>
  </si>
  <si>
    <t xml:space="preserve">Porcentaje obtenido en la colocación de puntos (cada punto vale 1; 0.5 si solo acierta P o h).</t>
  </si>
  <si>
    <t xml:space="preserve">80</t>
  </si>
  <si>
    <t xml:space="preserve">Dominio de la representación gráfica.</t>
  </si>
  <si>
    <t xml:space="preserve">Porcentaje de lecturas y cálculos correctos.</t>
  </si>
  <si>
    <t xml:space="preserve">66.7</t>
  </si>
  <si>
    <t xml:space="preserve">Dominio numérico.</t>
  </si>
  <si>
    <t xml:space="preserve">0–10</t>
  </si>
  <si>
    <t xml:space="preserve">0.4 × colocación + 0.6 × cálculos, escala 10.</t>
  </si>
  <si>
    <t xml:space="preserve">7.2</t>
  </si>
  <si>
    <t xml:space="preserve">Variable de desempeño global.</t>
  </si>
  <si>
    <t xml:space="preserve">Ítems correctos (puntos y respuestas).</t>
  </si>
  <si>
    <t xml:space="preserve">Ítems evaluados en el problema.</t>
  </si>
  <si>
    <t xml:space="preserve">20</t>
  </si>
  <si>
    <t xml:space="preserve">Ítems con código LEC: lectura imprecisa del diagrama.</t>
  </si>
  <si>
    <t xml:space="preserve">Precisión de lectura.</t>
  </si>
  <si>
    <t xml:space="preserve">Ítems con código CAL: cálculo impreciso.</t>
  </si>
  <si>
    <t xml:space="preserve">0</t>
  </si>
  <si>
    <t xml:space="preserve">Precisión aritmética.</t>
  </si>
  <si>
    <t xml:space="preserve">Ítems con códigos E01–E14 (concepciones erróneas identificadas).</t>
  </si>
  <si>
    <t xml:space="preserve">3</t>
  </si>
  <si>
    <t xml:space="preserve">Indicador principal de dificultad conceptual.</t>
  </si>
  <si>
    <t xml:space="preserve">Ítems con código ARR: el procedimiento es correcto pero parte de un dato previo erróneo.</t>
  </si>
  <si>
    <t xml:space="preserve">Separar dominio procedimental de errores previos.</t>
  </si>
  <si>
    <t xml:space="preserve">Ítems sin contestar.</t>
  </si>
  <si>
    <t xml:space="preserve">Omisión.</t>
  </si>
  <si>
    <t xml:space="preserve">Lista separada por ;</t>
  </si>
  <si>
    <t xml:space="preserve">Códigos de error distintos que aparecieron en el problema.</t>
  </si>
  <si>
    <t xml:space="preserve">E04;E08;ARR</t>
  </si>
  <si>
    <t xml:space="preserve">Patrones de error combinados.</t>
  </si>
  <si>
    <t xml:space="preserve">C1–C8</t>
  </si>
  <si>
    <t xml:space="preserve">Competencia con menor acierto en el problema.</t>
  </si>
  <si>
    <t xml:space="preserve">C4</t>
  </si>
  <si>
    <t xml:space="preserve">Diagnóstico rápido.</t>
  </si>
  <si>
    <t xml:space="preserve">Entero (práctica)</t>
  </si>
  <si>
    <t xml:space="preserve">Veces que pulsó «Comprobar respuestas».</t>
  </si>
  <si>
    <t xml:space="preserve">4</t>
  </si>
  <si>
    <t xml:space="preserve">Uso de retroalimentación.</t>
  </si>
  <si>
    <t xml:space="preserve">Veces que pulsó «Comprobar puntos».</t>
  </si>
  <si>
    <t xml:space="preserve">Uso de retroalimentación gráfica.</t>
  </si>
  <si>
    <t xml:space="preserve">Pistas mostradas (específicas por error o de procedimiento).</t>
  </si>
  <si>
    <t xml:space="preserve">Búsqueda de ayuda.</t>
  </si>
  <si>
    <t xml:space="preserve">Respuestas para las que se mostró el valor esperado tras 3 intentos.</t>
  </si>
  <si>
    <t xml:space="preserve">Dependencia de la ayuda.</t>
  </si>
  <si>
    <t xml:space="preserve">Sí · No (práctica)</t>
  </si>
  <si>
    <t xml:space="preserve">Consultó la solución paso a paso.</t>
  </si>
  <si>
    <t xml:space="preserve">No</t>
  </si>
  <si>
    <t xml:space="preserve">Mostró los puntos correctos en el diagrama.</t>
  </si>
  <si>
    <t xml:space="preserve">Búsqueda de ayuda gráfica.</t>
  </si>
  <si>
    <t xml:space="preserve">Llegó a tener todas las respuestas correctas.</t>
  </si>
  <si>
    <t xml:space="preserve">Persistencia y logro.</t>
  </si>
  <si>
    <t xml:space="preserve">Datos_items</t>
  </si>
  <si>
    <t xml:space="preserve">Mismo identificador que en Datos_problemas.</t>
  </si>
  <si>
    <t xml:space="preserve">Unión de tablas.</t>
  </si>
  <si>
    <t xml:space="preserve">Matrícula.</t>
  </si>
  <si>
    <t xml:space="preserve">Grupo.</t>
  </si>
  <si>
    <t xml:space="preserve">Momento.</t>
  </si>
  <si>
    <t xml:space="preserve">Evaluación o práctica.</t>
  </si>
  <si>
    <t xml:space="preserve">Fecha.</t>
  </si>
  <si>
    <t xml:space="preserve">1–3</t>
  </si>
  <si>
    <t xml:space="preserve">Nivel.</t>
  </si>
  <si>
    <t xml:space="preserve">Número de problema.</t>
  </si>
  <si>
    <t xml:space="preserve">Refrigerante.</t>
  </si>
  <si>
    <t xml:space="preserve">Familia.</t>
  </si>
  <si>
    <t xml:space="preserve">Mezcla zeotrópica.</t>
  </si>
  <si>
    <t xml:space="preserve">Ítem evaluado: Punto 1', Punto 1…Punto 4, To, Tk, Po, Pk, h1u, h1, h2, T2, h3, qom, w, COP, mh, Wc, Qk.</t>
  </si>
  <si>
    <t xml:space="preserve">h2</t>
  </si>
  <si>
    <t xml:space="preserve">Unidad de análisis más fina.</t>
  </si>
  <si>
    <t xml:space="preserve">Qué se pidió.</t>
  </si>
  <si>
    <t xml:space="preserve">Entalpía h2 (descarga)</t>
  </si>
  <si>
    <t xml:space="preserve">Colocación en diagrama · Lectura del diagrama · Cálculo</t>
  </si>
  <si>
    <t xml:space="preserve">Tipo de representación o proceso cognitivo.</t>
  </si>
  <si>
    <t xml:space="preserve">Lectura del diagrama</t>
  </si>
  <si>
    <t xml:space="preserve">Comparar representación gráfica, lectura y cálculo.</t>
  </si>
  <si>
    <t xml:space="preserve">Competencia de la Matriz_Q.</t>
  </si>
  <si>
    <t xml:space="preserve">Agrupar ítems por competencia.</t>
  </si>
  <si>
    <t xml:space="preserve">Nombre de la competencia.</t>
  </si>
  <si>
    <t xml:space="preserve">Proceso de compresión</t>
  </si>
  <si>
    <t xml:space="preserve">Número</t>
  </si>
  <si>
    <t xml:space="preserve">Respuesta del estudiante. En puntos del diagrama es la entalpía donde colocó el punto.</t>
  </si>
  <si>
    <t xml:space="preserve">451.3</t>
  </si>
  <si>
    <t xml:space="preserve">Valor correcto.</t>
  </si>
  <si>
    <t xml:space="preserve">449.0</t>
  </si>
  <si>
    <t xml:space="preserve">Unidad.</t>
  </si>
  <si>
    <t xml:space="preserve">kJ/kg</t>
  </si>
  <si>
    <t xml:space="preserve">bar</t>
  </si>
  <si>
    <t xml:space="preserve">Solo en puntos: presión donde colocó el punto.</t>
  </si>
  <si>
    <t xml:space="preserve">11.6</t>
  </si>
  <si>
    <t xml:space="preserve">Error en la dimensión presión.</t>
  </si>
  <si>
    <t xml:space="preserve">Solo en puntos: presión correcta.</t>
  </si>
  <si>
    <t xml:space="preserve">|valor_alumno − valor_esperado|.</t>
  </si>
  <si>
    <t xml:space="preserve">2.3</t>
  </si>
  <si>
    <t xml:space="preserve">Magnitud del error.</t>
  </si>
  <si>
    <t xml:space="preserve">%</t>
  </si>
  <si>
    <t xml:space="preserve">Error relativo. En puntos es el error en presión (%, escala logarítmica).</t>
  </si>
  <si>
    <t xml:space="preserve">0.5</t>
  </si>
  <si>
    <t xml:space="preserve">Tolerancia aceptada en la unidad del ítem.</t>
  </si>
  <si>
    <t xml:space="preserve">3.2</t>
  </si>
  <si>
    <t xml:space="preserve">Criterio de corrección.</t>
  </si>
  <si>
    <t xml:space="preserve">1 · 0</t>
  </si>
  <si>
    <t xml:space="preserve">1 si el ítem está dentro de tolerancia.</t>
  </si>
  <si>
    <t xml:space="preserve">Variable dicotómica para análisis de ítems (dificultad, TRI).</t>
  </si>
  <si>
    <t xml:space="preserve">0 · 0.5 · 1</t>
  </si>
  <si>
    <t xml:space="preserve">Puntaje; en puntos 0.5 si solo acertó P o h.</t>
  </si>
  <si>
    <t xml:space="preserve">Crédito parcial.</t>
  </si>
  <si>
    <t xml:space="preserve">OK, LEC, CAL, ARR, SR, OTR, E01–E14</t>
  </si>
  <si>
    <t xml:space="preserve">Clasificación automática del error (ver Catalogo_errores).</t>
  </si>
  <si>
    <t xml:space="preserve">E06</t>
  </si>
  <si>
    <t xml:space="preserve">Concepciones erróneas.</t>
  </si>
  <si>
    <t xml:space="preserve">Descripción del código.</t>
  </si>
  <si>
    <t xml:space="preserve">No aplica el rendimiento isentrópico</t>
  </si>
  <si>
    <t xml:space="preserve">Intentos fallidos acumulados en ese ítem antes de la última comprobación.</t>
  </si>
  <si>
    <t xml:space="preserve">Persistencia del error.</t>
  </si>
  <si>
    <t xml:space="preserve">Matriz Q: qué competencia evalúa cada ítem</t>
  </si>
  <si>
    <t xml:space="preserve">Código</t>
  </si>
  <si>
    <t xml:space="preserve">Competencia</t>
  </si>
  <si>
    <t xml:space="preserve">Descripción operativa</t>
  </si>
  <si>
    <t xml:space="preserve">C1</t>
  </si>
  <si>
    <t xml:space="preserve">Condiciones de operación (To, Tk)</t>
  </si>
  <si>
    <t xml:space="preserve">Obtiene To y Tk a partir de la temperatura de conservación, el salto del evaporador, la temperatura exterior y el salto del condensador.</t>
  </si>
  <si>
    <t xml:space="preserve">C2</t>
  </si>
  <si>
    <t xml:space="preserve">Presiones de saturación</t>
  </si>
  <si>
    <t xml:space="preserve">Lee en el diagrama la presión absoluta de saturación correspondiente a To y Tk (en mezclas zeotrópicas, en el punto de rocío).</t>
  </si>
  <si>
    <t xml:space="preserve">C3</t>
  </si>
  <si>
    <t xml:space="preserve">Estado a la salida del evaporador y aspiración</t>
  </si>
  <si>
    <t xml:space="preserve">Ubica y lee los estados de vapor recalentado 1' y 1 con el recalentamiento útil y total.</t>
  </si>
  <si>
    <t xml:space="preserve">Sigue la isentrópica hasta Pk y, si aplica, corrige con el rendimiento isentrópico; lee h2 y T2.</t>
  </si>
  <si>
    <t xml:space="preserve">C5</t>
  </si>
  <si>
    <t xml:space="preserve">Condensación y subenfriamiento</t>
  </si>
  <si>
    <t xml:space="preserve">Ubica el líquido subenfriado a la salida del condensador y lee h3.</t>
  </si>
  <si>
    <t xml:space="preserve">C6</t>
  </si>
  <si>
    <t xml:space="preserve">Expansión isoentálpica</t>
  </si>
  <si>
    <t xml:space="preserve">Reconoce que la expansión mantiene la entalpía (punto 4 en la vertical de 3).</t>
  </si>
  <si>
    <t xml:space="preserve">C7</t>
  </si>
  <si>
    <t xml:space="preserve">Balance de energía y COP</t>
  </si>
  <si>
    <t xml:space="preserve">Calcula efecto frigorífico, trabajo de compresión y COP a partir de entalpías.</t>
  </si>
  <si>
    <t xml:space="preserve">C8</t>
  </si>
  <si>
    <t xml:space="preserve">Dimensionamiento (caudal y potencias)</t>
  </si>
  <si>
    <t xml:space="preserve">Calcula caudal másico y potencias con unidades consistentes.</t>
  </si>
  <si>
    <t xml:space="preserve">Ítem</t>
  </si>
  <si>
    <t xml:space="preserve">Tipo de ítem</t>
  </si>
  <si>
    <t xml:space="preserve">Niveles donde aparece</t>
  </si>
  <si>
    <t xml:space="preserve">Punto 1'</t>
  </si>
  <si>
    <t xml:space="preserve">Colocación en diagrama</t>
  </si>
  <si>
    <t xml:space="preserve">2 y 3</t>
  </si>
  <si>
    <t xml:space="preserve">Punto 1</t>
  </si>
  <si>
    <t xml:space="preserve">1, 2 y 3</t>
  </si>
  <si>
    <t xml:space="preserve">Punto 2</t>
  </si>
  <si>
    <t xml:space="preserve">Punto 3</t>
  </si>
  <si>
    <t xml:space="preserve">Punto 4</t>
  </si>
  <si>
    <t xml:space="preserve">To</t>
  </si>
  <si>
    <t xml:space="preserve">Cálculo</t>
  </si>
  <si>
    <t xml:space="preserve">Tk</t>
  </si>
  <si>
    <t xml:space="preserve">Po</t>
  </si>
  <si>
    <t xml:space="preserve">Pk</t>
  </si>
  <si>
    <t xml:space="preserve">h1u</t>
  </si>
  <si>
    <t xml:space="preserve">h1</t>
  </si>
  <si>
    <t xml:space="preserve">T2</t>
  </si>
  <si>
    <t xml:space="preserve">h3</t>
  </si>
  <si>
    <t xml:space="preserve">qom</t>
  </si>
  <si>
    <t xml:space="preserve">w</t>
  </si>
  <si>
    <t xml:space="preserve">COP</t>
  </si>
  <si>
    <t xml:space="preserve">mh</t>
  </si>
  <si>
    <t xml:space="preserve">Wc</t>
  </si>
  <si>
    <t xml:space="preserve">Qk</t>
  </si>
  <si>
    <t xml:space="preserve">Catálogo de errores tipificados</t>
  </si>
  <si>
    <t xml:space="preserve">La aplicación asigna el código comparando la respuesta con los valores que produciría cada concepción errónea. Si no coincide con ninguna, usa LEC/CAL (error pequeño) u OTR.</t>
  </si>
  <si>
    <t xml:space="preserve">Tipo</t>
  </si>
  <si>
    <t xml:space="preserve">Ítems donde se detecta</t>
  </si>
  <si>
    <t xml:space="preserve">Intervención didáctica sugerida</t>
  </si>
  <si>
    <t xml:space="preserve">LEC</t>
  </si>
  <si>
    <t xml:space="preserve">Lectura imprecisa del diagrama</t>
  </si>
  <si>
    <t xml:space="preserve">Precisión de lectura</t>
  </si>
  <si>
    <t xml:space="preserve">Lecturas y colocación</t>
  </si>
  <si>
    <t xml:space="preserve">Práctica de interpolación en escala logarítmica de presión y en la retícula de entalpía.</t>
  </si>
  <si>
    <t xml:space="preserve">CAL</t>
  </si>
  <si>
    <t xml:space="preserve">Cálculo impreciso</t>
  </si>
  <si>
    <t xml:space="preserve">Precisión aritmética</t>
  </si>
  <si>
    <t xml:space="preserve">Cálculos</t>
  </si>
  <si>
    <t xml:space="preserve">Revisar cifras significativas y redondeos intermedios.</t>
  </si>
  <si>
    <t xml:space="preserve">ARR</t>
  </si>
  <si>
    <t xml:space="preserve">Error arrastrado (procedimiento correcto con datos propios erróneos)</t>
  </si>
  <si>
    <t xml:space="preserve">Arrastre</t>
  </si>
  <si>
    <t xml:space="preserve">Po, Pk, h2, qom, w, COP, mh, Wc, Qk, Punto 4</t>
  </si>
  <si>
    <t xml:space="preserve">No es un error del procedimiento: atender el dato previo que lo originó.</t>
  </si>
  <si>
    <t xml:space="preserve">SR</t>
  </si>
  <si>
    <t xml:space="preserve">Sin respuesta</t>
  </si>
  <si>
    <t xml:space="preserve">Omisión</t>
  </si>
  <si>
    <t xml:space="preserve">Todos</t>
  </si>
  <si>
    <t xml:space="preserve">Revisar tiempo disponible y claridad del enunciado.</t>
  </si>
  <si>
    <t xml:space="preserve">OTR</t>
  </si>
  <si>
    <t xml:space="preserve">Error no tipificado (más de 3 veces la tolerancia)</t>
  </si>
  <si>
    <t xml:space="preserve">No clasificado</t>
  </si>
  <si>
    <t xml:space="preserve">Revisar individualmente; puede revelar una concepción no prevista.</t>
  </si>
  <si>
    <t xml:space="preserve">E01</t>
  </si>
  <si>
    <t xml:space="preserve">Usa presión manométrica en lugar de absoluta</t>
  </si>
  <si>
    <t xml:space="preserve">Conceptual</t>
  </si>
  <si>
    <t xml:space="preserve">Po, Pk</t>
  </si>
  <si>
    <t xml:space="preserve">Contrastar lectura de manómetro con el eje del diagrama (presión absoluta).</t>
  </si>
  <si>
    <t xml:space="preserve">E02</t>
  </si>
  <si>
    <t xml:space="preserve">Intercambia presión de alta y baja</t>
  </si>
  <si>
    <t xml:space="preserve">Po, Pk, todos los puntos</t>
  </si>
  <si>
    <t xml:space="preserve">Relacionar cada componente con su lado de presión en el esquema del ciclo.</t>
  </si>
  <si>
    <t xml:space="preserve">E03</t>
  </si>
  <si>
    <t xml:space="preserve">Error de signo al obtener To o Tk</t>
  </si>
  <si>
    <t xml:space="preserve">To, Tk</t>
  </si>
  <si>
    <t xml:space="preserve">Explicar por qué el evaporador debe estar más frío que la cámara y el condensador más caliente que el ambiente.</t>
  </si>
  <si>
    <t xml:space="preserve">E04</t>
  </si>
  <si>
    <t xml:space="preserve">Ignora el recalentamiento (toma vapor saturado)</t>
  </si>
  <si>
    <t xml:space="preserve">Punto 1', Punto 1, h1u, h1</t>
  </si>
  <si>
    <t xml:space="preserve">Ubicar isotermas en la zona de vapor recalentado; práctica con distintos recalentamientos.</t>
  </si>
  <si>
    <t xml:space="preserve">E05</t>
  </si>
  <si>
    <t xml:space="preserve">Confunde recalentamiento útil con total</t>
  </si>
  <si>
    <t xml:space="preserve">Punto 1, h1u, h1, w</t>
  </si>
  <si>
    <t xml:space="preserve">Distinguir el calor tomado dentro de la cámara del ganado en la línea de aspiración.</t>
  </si>
  <si>
    <t xml:space="preserve">Punto 2, h2, T2</t>
  </si>
  <si>
    <t xml:space="preserve">Comparar compresión ideal y real en el diagrama; efecto en T2 y en el consumo.</t>
  </si>
  <si>
    <t xml:space="preserve">E07</t>
  </si>
  <si>
    <t xml:space="preserve">Toma vapor saturado a Pk como descarga</t>
  </si>
  <si>
    <t xml:space="preserve">Trazar la isentrópica desde el punto 1; discutir por qué la descarga está recalentada.</t>
  </si>
  <si>
    <t xml:space="preserve">E08</t>
  </si>
  <si>
    <t xml:space="preserve">Ignora el subenfriamiento</t>
  </si>
  <si>
    <t xml:space="preserve">Punto 3, h3</t>
  </si>
  <si>
    <t xml:space="preserve">Ubicar isotermas en la zona de líquido; efecto del subenfriamiento sobre q_om.</t>
  </si>
  <si>
    <t xml:space="preserve">E09</t>
  </si>
  <si>
    <t xml:space="preserve">Efecto frigorífico con h1 en lugar de h1'</t>
  </si>
  <si>
    <t xml:space="preserve">Delimitar qué parte del recalentamiento ocurre dentro del espacio refrigerado.</t>
  </si>
  <si>
    <t xml:space="preserve">E10</t>
  </si>
  <si>
    <t xml:space="preserve">COP invertido</t>
  </si>
  <si>
    <t xml:space="preserve">Definir COP como beneficio / costo energético.</t>
  </si>
  <si>
    <t xml:space="preserve">E11</t>
  </si>
  <si>
    <t xml:space="preserve">Error de unidades en caudal o potencia</t>
  </si>
  <si>
    <t xml:space="preserve">mh, Wc, Qk</t>
  </si>
  <si>
    <t xml:space="preserve">Análisis dimensional kg/s ↔ kg/h y kJ/s = kW.</t>
  </si>
  <si>
    <t xml:space="preserve">E12</t>
  </si>
  <si>
    <t xml:space="preserve">Confunde efecto frigorífico con calor de condensación</t>
  </si>
  <si>
    <t xml:space="preserve">Localizar en el diagrama dónde se absorbe y dónde se rechaza calor.</t>
  </si>
  <si>
    <t xml:space="preserve">E13</t>
  </si>
  <si>
    <t xml:space="preserve">Intercambia los puntos 1' y 1</t>
  </si>
  <si>
    <t xml:space="preserve">Punto 1', Punto 1</t>
  </si>
  <si>
    <t xml:space="preserve">Recorrer el circuito físico: evaporador → línea de aspiración → compresor.</t>
  </si>
  <si>
    <t xml:space="preserve">E14</t>
  </si>
  <si>
    <t xml:space="preserve">Expansión no isoentálpica</t>
  </si>
  <si>
    <t xml:space="preserve">Balance de energía en la válvula: sin calor ni trabajo, h constante.</t>
  </si>
  <si>
    <t xml:space="preserve">Análisis del grupo</t>
  </si>
  <si>
    <t xml:space="preserve">Cambia los filtros amarillos. «Todos» incluye todos los valores. Los porcentajes se calculan sobre los ítems contestados y no contestados.</t>
  </si>
  <si>
    <t xml:space="preserve">Modo</t>
  </si>
  <si>
    <t xml:space="preserve">← criterio usado por las fórmulas</t>
  </si>
  <si>
    <t xml:space="preserve">Grupo</t>
  </si>
  <si>
    <t xml:space="preserve">Momento</t>
  </si>
  <si>
    <t xml:space="preserve">Umbral de dominio (fracción)</t>
  </si>
  <si>
    <t xml:space="preserve">Calificación aprobatoria</t>
  </si>
  <si>
    <t xml:space="preserve">Indicadores generales</t>
  </si>
  <si>
    <t xml:space="preserve">Problemas registrados</t>
  </si>
  <si>
    <t xml:space="preserve">Estudiantes distintos (todos los datos)</t>
  </si>
  <si>
    <t xml:space="preserve">Calificación promedio</t>
  </si>
  <si>
    <t xml:space="preserve">Problemas con calificación aprobatoria</t>
  </si>
  <si>
    <t xml:space="preserve">Tiempo promedio por problema (min)</t>
  </si>
  <si>
    <t xml:space="preserve">Acierto en colocación de puntos</t>
  </si>
  <si>
    <t xml:space="preserve">Acierto en lecturas y cálculos</t>
  </si>
  <si>
    <t xml:space="preserve">Errores conceptuales por problema</t>
  </si>
  <si>
    <t xml:space="preserve">Errores arrastrados por problema</t>
  </si>
  <si>
    <t xml:space="preserve">A. Acierto por competencia y tipo de ítem</t>
  </si>
  <si>
    <t xml:space="preserve">Nombre</t>
  </si>
  <si>
    <t xml:space="preserve">Total</t>
  </si>
  <si>
    <t xml:space="preserve">Ítems evaluados</t>
  </si>
  <si>
    <t xml:space="preserve">¿Dominada?</t>
  </si>
  <si>
    <t xml:space="preserve">B. Acierto por ítem y mapa de errores (número de veces que ocurrió cada código)</t>
  </si>
  <si>
    <t xml:space="preserve">Respuestas</t>
  </si>
  <si>
    <t xml:space="preserve">Acierto</t>
  </si>
  <si>
    <t xml:space="preserve">Error más frecuente</t>
  </si>
  <si>
    <t xml:space="preserve">C. Frecuencia de errores tipificados</t>
  </si>
  <si>
    <t xml:space="preserve">Veces</t>
  </si>
  <si>
    <t xml:space="preserve">% de los errores</t>
  </si>
  <si>
    <t xml:space="preserve">Problemas afectados</t>
  </si>
  <si>
    <t xml:space="preserve">D. Desempeño por refrigerante</t>
  </si>
  <si>
    <t xml:space="preserve">Refrigerante</t>
  </si>
  <si>
    <t xml:space="preserve">Problemas</t>
  </si>
  <si>
    <t xml:space="preserve">Acierto colocación</t>
  </si>
  <si>
    <t xml:space="preserve">Acierto lectura</t>
  </si>
  <si>
    <t xml:space="preserve">Acierto cálculo</t>
  </si>
  <si>
    <t xml:space="preserve">R-134a</t>
  </si>
  <si>
    <t xml:space="preserve">R-600 (butano)</t>
  </si>
  <si>
    <t xml:space="preserve">R-290 (propano)</t>
  </si>
  <si>
    <t xml:space="preserve">R-449A</t>
  </si>
  <si>
    <t xml:space="preserve">R-717 (amoníaco)</t>
  </si>
  <si>
    <t xml:space="preserve">R-410A</t>
  </si>
  <si>
    <t xml:space="preserve">R-32</t>
  </si>
  <si>
    <t xml:space="preserve">R-1234ze(E)</t>
  </si>
  <si>
    <t xml:space="preserve">R-1233zd(E)</t>
  </si>
  <si>
    <t xml:space="preserve">E. Desempeño por nivel y por tipo de fluido</t>
  </si>
  <si>
    <t xml:space="preserve">Grupo de comparación</t>
  </si>
  <si>
    <t xml:space="preserve">Valor</t>
  </si>
  <si>
    <t xml:space="preserve">Nivel 1 · Básico</t>
  </si>
  <si>
    <t xml:space="preserve">Nivel 2 · Intermedio</t>
  </si>
  <si>
    <t xml:space="preserve">Nivel 3 · Avanzado</t>
  </si>
  <si>
    <t xml:space="preserve">Mezcla zeotrópica</t>
  </si>
  <si>
    <t xml:space="preserve">Fluido puro o casi azeotrópico</t>
  </si>
  <si>
    <t xml:space="preserve">F. Diagnóstico frente a final (solo modo Evaluación; respeta el filtro de grupo)</t>
  </si>
  <si>
    <t xml:space="preserve">Acierto diagnóstico</t>
  </si>
  <si>
    <t xml:space="preserve">Acierto final</t>
  </si>
  <si>
    <t xml:space="preserve">Diferencia</t>
  </si>
  <si>
    <t xml:space="preserve">Ganancia normalizada (Hake)</t>
  </si>
  <si>
    <t xml:space="preserve">Calificación</t>
  </si>
  <si>
    <t xml:space="preserve">Promedio de las evaluaciones (escala 10)</t>
  </si>
  <si>
    <t xml:space="preserve">Ganancia normalizada g = (final − diagnóstico)/(máximo − diagnóstico). Referencia usual: g &lt; 0.3 baja, 0.3–0.7 media, &gt; 0.7 alta (Hake, 1998).</t>
  </si>
  <si>
    <t xml:space="preserve">G. Uso de la retroalimentación en práctica (respeta el filtro de grupo)</t>
  </si>
  <si>
    <t xml:space="preserve">Indicador</t>
  </si>
  <si>
    <t xml:space="preserve">Problemas practicados</t>
  </si>
  <si>
    <t xml:space="preserve">Resueltos por completo</t>
  </si>
  <si>
    <t xml:space="preserve">Pistas vistas por problema</t>
  </si>
  <si>
    <t xml:space="preserve">Valores revelados por problema</t>
  </si>
  <si>
    <t xml:space="preserve">Problemas con solución consultada</t>
  </si>
  <si>
    <t xml:space="preserve">Comprobaciones de respuestas por problema</t>
  </si>
  <si>
    <t xml:space="preserve">Tiempo promedio por problema practicado (min)</t>
  </si>
  <si>
    <t xml:space="preserve">Resultados por estudiante</t>
  </si>
  <si>
    <t xml:space="preserve">Calificaciones solo de modo Evaluación. Los aciertos por competencia y los errores respetan el filtro «Modo» de Analisis_grupo.</t>
  </si>
  <si>
    <t xml:space="preserve">#</t>
  </si>
  <si>
    <t xml:space="preserve">Matrícula</t>
  </si>
  <si>
    <t xml:space="preserve">Problemas en evaluación</t>
  </si>
  <si>
    <t xml:space="preserve">Promedio evaluaciones</t>
  </si>
  <si>
    <t xml:space="preserve">Promedio diagnóstico</t>
  </si>
  <si>
    <t xml:space="preserve">Promedio final</t>
  </si>
  <si>
    <t xml:space="preserve">Ganancia normalizada</t>
  </si>
  <si>
    <t xml:space="preserve">Competencia más débil</t>
  </si>
  <si>
    <t xml:space="preserve">Competencias bajo umbral</t>
  </si>
  <si>
    <t xml:space="preserve">Error conceptual más frecuente</t>
  </si>
  <si>
    <t xml:space="preserve">Pistas vistas</t>
  </si>
  <si>
    <t xml:space="preserve">Soluciones consultadas</t>
  </si>
  <si>
    <t xml:space="preserve">recibido</t>
  </si>
  <si>
    <t xml:space="preserve">tipo</t>
  </si>
  <si>
    <t xml:space="preserve">comprobante</t>
  </si>
  <si>
    <t xml:space="preserve">Respaldo automático: cada comprobante que llega desde la aplicación web queda aquí tal como lo generó el estudiante.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</si>
</sst>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0"/>
    <numFmt numFmtId="167" formatCode="0.0"/>
    <numFmt numFmtId="168" formatCode="0.00"/>
    <numFmt numFmtId="169" formatCode="General"/>
    <numFmt numFmtId="170" formatCode="\+0%;\-0%;0%"/>
    <numFmt numFmtId="171" formatCode="\+0.0;\-0.0;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5202B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5A6672"/>
      <name val="Arial"/>
      <family val="0"/>
      <charset val="1"/>
    </font>
    <font>
      <sz val="10"/>
      <name val="Arial"/>
      <family val="2"/>
    </font>
    <font>
      <b val="true"/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5202B"/>
        <bgColor rgb="FF003300"/>
      </patternFill>
    </fill>
    <fill>
      <patternFill patternType="solid">
        <fgColor rgb="FF6B7785"/>
        <bgColor rgb="FF5A6672"/>
      </patternFill>
    </fill>
    <fill>
      <patternFill patternType="solid">
        <fgColor rgb="FFEEF1F4"/>
        <bgColor rgb="FFF9F9F9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BFD9EE"/>
        </patternFill>
      </fill>
    </dxf>
    <dxf>
      <font>
        <name val="Arial"/>
        <charset val="1"/>
        <family val="0"/>
        <b val="1"/>
        <color rgb="FFB8322A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9F9F9"/>
      <rgbColor rgb="FFEEF1F4"/>
      <rgbColor rgb="FF660066"/>
      <rgbColor rgb="FFFF8080"/>
      <rgbColor rgb="FF0066CC"/>
      <rgbColor rgb="FFBFD9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A6672"/>
      <rgbColor rgb="FF6B7785"/>
      <rgbColor rgb="FF003366"/>
      <rgbColor rgb="FF339966"/>
      <rgbColor rgb="FF003300"/>
      <rgbColor rgb="FF333300"/>
      <rgbColor rgb="FFB8322A"/>
      <rgbColor rgb="FF993366"/>
      <rgbColor rgb="FF333399"/>
      <rgbColor rgb="FF1520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Acierto por competencia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Analisis_grupo!F22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Analisis_grupo!$B$23:$B$30</c:f>
              <c:strCache>
                <c:ptCount val="8"/>
                <c:pt idx="0">
                  <c:v>Condiciones de operación (To, Tk)</c:v>
                </c:pt>
                <c:pt idx="1">
                  <c:v>Presiones de saturación</c:v>
                </c:pt>
                <c:pt idx="2">
                  <c:v>Estado a la salida del evaporador y aspiración</c:v>
                </c:pt>
                <c:pt idx="3">
                  <c:v>Proceso de compresión</c:v>
                </c:pt>
                <c:pt idx="4">
                  <c:v>Condensación y subenfriamiento</c:v>
                </c:pt>
                <c:pt idx="5">
                  <c:v>Expansión isoentálpica</c:v>
                </c:pt>
                <c:pt idx="6">
                  <c:v>Balance de energía y COP</c:v>
                </c:pt>
                <c:pt idx="7">
                  <c:v>Dimensionamiento (caudal y potencias)</c:v>
                </c:pt>
              </c:strCache>
            </c:strRef>
          </c:cat>
          <c:val>
            <c:numRef>
              <c:f>Analisis_grupo!$F$23:$F$30</c:f>
              <c:numCache>
                <c:formatCode>General</c:formatCode>
                <c:ptCount val="8"/>
              </c:numCache>
            </c:numRef>
          </c:val>
        </c:ser>
        <c:gapWidth val="150"/>
        <c:overlap val="0"/>
        <c:axId val="7889052"/>
        <c:axId val="399281"/>
      </c:barChart>
      <c:catAx>
        <c:axId val="78890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9281"/>
        <c:crosses val="autoZero"/>
        <c:auto val="1"/>
        <c:lblAlgn val="ctr"/>
        <c:lblOffset val="100"/>
        <c:noMultiLvlLbl val="0"/>
      </c:catAx>
      <c:valAx>
        <c:axId val="399281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Acierto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890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Errores tipificados (veces)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Analisis_grupo!D56</c:f>
              <c:strCache>
                <c:ptCount val="1"/>
                <c:pt idx="0">
                  <c:v>Veces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Analisis_grupo!$A$57:$A$75</c:f>
              <c:strCache>
                <c:ptCount val="19"/>
                <c:pt idx="0">
                  <c:v>LEC</c:v>
                </c:pt>
                <c:pt idx="1">
                  <c:v>CAL</c:v>
                </c:pt>
                <c:pt idx="2">
                  <c:v>ARR</c:v>
                </c:pt>
                <c:pt idx="3">
                  <c:v>SR</c:v>
                </c:pt>
                <c:pt idx="4">
                  <c:v>OTR</c:v>
                </c:pt>
                <c:pt idx="5">
                  <c:v>E01</c:v>
                </c:pt>
                <c:pt idx="6">
                  <c:v>E02</c:v>
                </c:pt>
                <c:pt idx="7">
                  <c:v>E03</c:v>
                </c:pt>
                <c:pt idx="8">
                  <c:v>E04</c:v>
                </c:pt>
                <c:pt idx="9">
                  <c:v>E05</c:v>
                </c:pt>
                <c:pt idx="10">
                  <c:v>E06</c:v>
                </c:pt>
                <c:pt idx="11">
                  <c:v>E07</c:v>
                </c:pt>
                <c:pt idx="12">
                  <c:v>E08</c:v>
                </c:pt>
                <c:pt idx="13">
                  <c:v>E09</c:v>
                </c:pt>
                <c:pt idx="14">
                  <c:v>E10</c:v>
                </c:pt>
                <c:pt idx="15">
                  <c:v>E11</c:v>
                </c:pt>
                <c:pt idx="16">
                  <c:v>E12</c:v>
                </c:pt>
                <c:pt idx="17">
                  <c:v>E13</c:v>
                </c:pt>
                <c:pt idx="18">
                  <c:v>E14</c:v>
                </c:pt>
              </c:strCache>
            </c:strRef>
          </c:cat>
          <c:val>
            <c:numRef>
              <c:f>Analisis_grupo!$D$57:$D$75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gapWidth val="150"/>
        <c:overlap val="0"/>
        <c:axId val="6227468"/>
        <c:axId val="21567254"/>
      </c:barChart>
      <c:catAx>
        <c:axId val="62274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567254"/>
        <c:crosses val="autoZero"/>
        <c:auto val="1"/>
        <c:lblAlgn val="ctr"/>
        <c:lblOffset val="100"/>
        <c:noMultiLvlLbl val="0"/>
      </c:catAx>
      <c:valAx>
        <c:axId val="215672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274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130680</xdr:rowOff>
    </xdr:from>
    <xdr:to>
      <xdr:col>20</xdr:col>
      <xdr:colOff>332280</xdr:colOff>
      <xdr:row>16</xdr:row>
      <xdr:rowOff>153000</xdr:rowOff>
    </xdr:to>
    <xdr:graphicFrame>
      <xdr:nvGraphicFramePr>
        <xdr:cNvPr id="0" name="Chart 1"/>
        <xdr:cNvGraphicFramePr/>
      </xdr:nvGraphicFramePr>
      <xdr:xfrm>
        <a:off x="1163016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18</xdr:row>
      <xdr:rowOff>130680</xdr:rowOff>
    </xdr:from>
    <xdr:to>
      <xdr:col>20</xdr:col>
      <xdr:colOff>332280</xdr:colOff>
      <xdr:row>34</xdr:row>
      <xdr:rowOff>97560</xdr:rowOff>
    </xdr:to>
    <xdr:graphicFrame>
      <xdr:nvGraphicFramePr>
        <xdr:cNvPr id="1" name="Chart 2"/>
        <xdr:cNvGraphicFramePr/>
      </xdr:nvGraphicFramePr>
      <xdr:xfrm>
        <a:off x="11630160" y="3619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42" hidden="false" customHeight="true" outlineLevel="0" collapsed="false">
      <c r="A3" s="3" t="s">
        <v>1</v>
      </c>
      <c r="B3" s="4" t="s">
        <v>2</v>
      </c>
    </row>
    <row r="4" customFormat="false" ht="42" hidden="false" customHeight="true" outlineLevel="0" collapsed="false">
      <c r="A4" s="3" t="s">
        <v>3</v>
      </c>
      <c r="B4" s="4" t="s">
        <v>4</v>
      </c>
    </row>
    <row r="5" customFormat="false" ht="42" hidden="false" customHeight="true" outlineLevel="0" collapsed="false">
      <c r="A5" s="3" t="s">
        <v>5</v>
      </c>
      <c r="B5" s="4" t="s">
        <v>6</v>
      </c>
    </row>
    <row r="6" customFormat="false" ht="42" hidden="false" customHeight="true" outlineLevel="0" collapsed="false">
      <c r="A6" s="3" t="s">
        <v>7</v>
      </c>
      <c r="B6" s="4" t="s">
        <v>8</v>
      </c>
    </row>
    <row r="7" customFormat="false" ht="42" hidden="false" customHeight="true" outlineLevel="0" collapsed="false">
      <c r="A7" s="3" t="s">
        <v>9</v>
      </c>
      <c r="B7" s="4" t="s">
        <v>10</v>
      </c>
    </row>
    <row r="8" customFormat="false" ht="42" hidden="false" customHeight="true" outlineLevel="0" collapsed="false">
      <c r="A8" s="3" t="s">
        <v>11</v>
      </c>
      <c r="B8" s="4" t="s">
        <v>12</v>
      </c>
    </row>
    <row r="9" customFormat="false" ht="42" hidden="false" customHeight="true" outlineLevel="0" collapsed="false">
      <c r="A9" s="3" t="s">
        <v>13</v>
      </c>
      <c r="B9" s="4" t="s">
        <v>14</v>
      </c>
    </row>
    <row r="10" customFormat="false" ht="42" hidden="false" customHeight="true" outlineLevel="0" collapsed="false">
      <c r="A10" s="3" t="s">
        <v>15</v>
      </c>
      <c r="B10" s="4" t="s">
        <v>16</v>
      </c>
    </row>
    <row r="11" customFormat="false" ht="42" hidden="false" customHeight="true" outlineLevel="0" collapsed="false">
      <c r="A11" s="3" t="s">
        <v>17</v>
      </c>
      <c r="B11" s="4" t="s">
        <v>18</v>
      </c>
    </row>
    <row r="12" customFormat="false" ht="42" hidden="false" customHeight="true" outlineLevel="0" collapsed="false">
      <c r="A12" s="3" t="s">
        <v>19</v>
      </c>
      <c r="B12" s="4" t="s">
        <v>20</v>
      </c>
    </row>
    <row r="13" customFormat="false" ht="42" hidden="false" customHeight="true" outlineLevel="0" collapsed="false">
      <c r="A13" s="3" t="s">
        <v>21</v>
      </c>
      <c r="B13" s="4" t="s">
        <v>22</v>
      </c>
    </row>
    <row r="14" customFormat="false" ht="42" hidden="false" customHeight="true" outlineLevel="0" collapsed="false">
      <c r="A14" s="3" t="s">
        <v>23</v>
      </c>
      <c r="B14" s="4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3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6" min="3" style="0" width="11"/>
    <col collapsed="false" customWidth="true" hidden="false" outlineLevel="0" max="7" min="7" style="0" width="17"/>
    <col collapsed="false" customWidth="true" hidden="false" outlineLevel="0" max="10" min="8" style="0" width="11"/>
    <col collapsed="false" customWidth="true" hidden="false" outlineLevel="0" max="11" min="11" style="0" width="14"/>
    <col collapsed="false" customWidth="true" hidden="false" outlineLevel="0" max="12" min="12" style="0" width="11"/>
    <col collapsed="false" customWidth="true" hidden="false" outlineLevel="0" max="14" min="13" style="0" width="15"/>
    <col collapsed="false" customWidth="true" hidden="false" outlineLevel="0" max="15" min="15" style="0" width="11"/>
    <col collapsed="false" customWidth="true" hidden="false" outlineLevel="0" max="16" min="16" style="0" width="15"/>
    <col collapsed="false" customWidth="true" hidden="false" outlineLevel="0" max="17" min="17" style="0" width="23"/>
    <col collapsed="false" customWidth="true" hidden="false" outlineLevel="0" max="18" min="18" style="0" width="18"/>
    <col collapsed="false" customWidth="true" hidden="false" outlineLevel="0" max="19" min="19" style="0" width="13"/>
    <col collapsed="false" customWidth="true" hidden="false" outlineLevel="0" max="20" min="20" style="0" width="12"/>
    <col collapsed="false" customWidth="true" hidden="false" outlineLevel="0" max="23" min="21" style="0" width="11"/>
    <col collapsed="false" customWidth="true" hidden="false" outlineLevel="0" max="24" min="24" style="0" width="22"/>
    <col collapsed="false" customWidth="true" hidden="false" outlineLevel="0" max="25" min="25" style="0" width="11"/>
    <col collapsed="false" customWidth="true" hidden="false" outlineLevel="0" max="26" min="26" style="0" width="17"/>
    <col collapsed="false" customWidth="true" hidden="false" outlineLevel="0" max="27" min="27" style="0" width="24"/>
    <col collapsed="false" customWidth="true" hidden="false" outlineLevel="0" max="28" min="28" style="0" width="22"/>
    <col collapsed="false" customWidth="true" hidden="false" outlineLevel="0" max="29" min="29" style="0" width="25"/>
    <col collapsed="false" customWidth="true" hidden="false" outlineLevel="0" max="30" min="30" style="0" width="23"/>
    <col collapsed="false" customWidth="true" hidden="false" outlineLevel="0" max="31" min="31" style="0" width="15"/>
    <col collapsed="false" customWidth="true" hidden="false" outlineLevel="0" max="32" min="32" style="0" width="18"/>
    <col collapsed="false" customWidth="true" hidden="false" outlineLevel="0" max="33" min="33" style="0" width="14"/>
    <col collapsed="false" customWidth="true" hidden="false" outlineLevel="0" max="35" min="34" style="0" width="18"/>
    <col collapsed="false" customWidth="true" hidden="false" outlineLevel="0" max="36" min="36" style="0" width="23"/>
    <col collapsed="false" customWidth="true" hidden="false" outlineLevel="0" max="37" min="37" style="0" width="22"/>
    <col collapsed="false" customWidth="true" hidden="false" outlineLevel="0" max="39" min="38" style="0" width="16"/>
    <col collapsed="false" customWidth="true" hidden="false" outlineLevel="0" max="40" min="40" style="0" width="24"/>
    <col collapsed="false" customWidth="true" hidden="false" outlineLevel="0" max="41" min="41" style="0" width="28"/>
    <col collapsed="false" customWidth="true" hidden="false" outlineLevel="0" max="42" min="42" style="0" width="24"/>
    <col collapsed="false" customWidth="true" hidden="false" outlineLevel="0" max="43" min="43" style="0" width="16"/>
    <col collapsed="false" customWidth="true" hidden="false" outlineLevel="0" max="44" min="44" style="0" width="20"/>
    <col collapsed="false" customWidth="true" hidden="false" outlineLevel="0" max="45" min="45" style="0" width="17"/>
    <col collapsed="false" customWidth="true" hidden="false" outlineLevel="0" max="46" min="46" style="0" width="26"/>
    <col collapsed="false" customWidth="true" hidden="false" outlineLevel="0" max="47" min="47" style="0" width="23"/>
    <col collapsed="false" customWidth="true" hidden="false" outlineLevel="0" max="48" min="48" style="0" width="16"/>
  </cols>
  <sheetData>
    <row r="1" customFormat="false" ht="23.85" hidden="false" customHeight="false" outlineLevel="0" collapsed="false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33</v>
      </c>
      <c r="J1" s="5" t="s">
        <v>34</v>
      </c>
      <c r="K1" s="5" t="s">
        <v>35</v>
      </c>
      <c r="L1" s="5" t="s">
        <v>36</v>
      </c>
      <c r="M1" s="5" t="s">
        <v>37</v>
      </c>
      <c r="N1" s="5" t="s">
        <v>38</v>
      </c>
      <c r="O1" s="5" t="s">
        <v>39</v>
      </c>
      <c r="P1" s="5" t="s">
        <v>40</v>
      </c>
      <c r="Q1" s="5" t="s">
        <v>41</v>
      </c>
      <c r="R1" s="5" t="s">
        <v>42</v>
      </c>
      <c r="S1" s="5" t="s">
        <v>43</v>
      </c>
      <c r="T1" s="5" t="s">
        <v>44</v>
      </c>
      <c r="U1" s="5" t="s">
        <v>45</v>
      </c>
      <c r="V1" s="5" t="s">
        <v>46</v>
      </c>
      <c r="W1" s="5" t="s">
        <v>47</v>
      </c>
      <c r="X1" s="5" t="s">
        <v>48</v>
      </c>
      <c r="Y1" s="5" t="s">
        <v>49</v>
      </c>
      <c r="Z1" s="5" t="s">
        <v>50</v>
      </c>
      <c r="AA1" s="5" t="s">
        <v>51</v>
      </c>
      <c r="AB1" s="5" t="s">
        <v>52</v>
      </c>
      <c r="AC1" s="5" t="s">
        <v>53</v>
      </c>
      <c r="AD1" s="5" t="s">
        <v>54</v>
      </c>
      <c r="AE1" s="5" t="s">
        <v>55</v>
      </c>
      <c r="AF1" s="5" t="s">
        <v>56</v>
      </c>
      <c r="AG1" s="5" t="s">
        <v>57</v>
      </c>
      <c r="AH1" s="5" t="s">
        <v>58</v>
      </c>
      <c r="AI1" s="5" t="s">
        <v>59</v>
      </c>
      <c r="AJ1" s="5" t="s">
        <v>60</v>
      </c>
      <c r="AK1" s="5" t="s">
        <v>61</v>
      </c>
      <c r="AL1" s="5" t="s">
        <v>62</v>
      </c>
      <c r="AM1" s="5" t="s">
        <v>63</v>
      </c>
      <c r="AN1" s="5" t="s">
        <v>64</v>
      </c>
      <c r="AO1" s="5" t="s">
        <v>65</v>
      </c>
      <c r="AP1" s="5" t="s">
        <v>66</v>
      </c>
      <c r="AQ1" s="5" t="s">
        <v>67</v>
      </c>
      <c r="AR1" s="5" t="s">
        <v>68</v>
      </c>
      <c r="AS1" s="5" t="s">
        <v>69</v>
      </c>
      <c r="AT1" s="5" t="s">
        <v>70</v>
      </c>
      <c r="AU1" s="5" t="s">
        <v>71</v>
      </c>
      <c r="AV1" s="6" t="s">
        <v>72</v>
      </c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7" t="str">
        <f aca="false">IF(B2="","",IF(COUNTIF($B$2:B2,B2)=1,MAX($AV$1:AV1)+1,""))</f>
        <v/>
      </c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7" t="str">
        <f aca="false">IF(B3="","",IF(COUNTIF($B$2:B3,B3)=1,MAX($AV$1:AV2)+1,""))</f>
        <v/>
      </c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7" t="str">
        <f aca="false">IF(B4="","",IF(COUNTIF($B$2:B4,B4)=1,MAX($AV$1:AV3)+1,""))</f>
        <v/>
      </c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7" t="str">
        <f aca="false">IF(B5="","",IF(COUNTIF($B$2:B5,B5)=1,MAX($AV$1:AV4)+1,""))</f>
        <v/>
      </c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7" t="str">
        <f aca="false">IF(B6="","",IF(COUNTIF($B$2:B6,B6)=1,MAX($AV$1:AV5)+1,""))</f>
        <v/>
      </c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7" t="str">
        <f aca="false">IF(B7="","",IF(COUNTIF($B$2:B7,B7)=1,MAX($AV$1:AV6)+1,""))</f>
        <v/>
      </c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7" t="str">
        <f aca="false">IF(B8="","",IF(COUNTIF($B$2:B8,B8)=1,MAX($AV$1:AV7)+1,""))</f>
        <v/>
      </c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7" t="str">
        <f aca="false">IF(B9="","",IF(COUNTIF($B$2:B9,B9)=1,MAX($AV$1:AV8)+1,""))</f>
        <v/>
      </c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7" t="str">
        <f aca="false">IF(B10="","",IF(COUNTIF($B$2:B10,B10)=1,MAX($AV$1:AV9)+1,""))</f>
        <v/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7" t="str">
        <f aca="false">IF(B11="","",IF(COUNTIF($B$2:B11,B11)=1,MAX($AV$1:AV10)+1,""))</f>
        <v/>
      </c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7" t="str">
        <f aca="false">IF(B12="","",IF(COUNTIF($B$2:B12,B12)=1,MAX($AV$1:AV11)+1,""))</f>
        <v/>
      </c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7" t="str">
        <f aca="false">IF(B13="","",IF(COUNTIF($B$2:B13,B13)=1,MAX($AV$1:AV12)+1,""))</f>
        <v/>
      </c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7" t="str">
        <f aca="false">IF(B14="","",IF(COUNTIF($B$2:B14,B14)=1,MAX($AV$1:AV13)+1,""))</f>
        <v/>
      </c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7" t="str">
        <f aca="false">IF(B15="","",IF(COUNTIF($B$2:B15,B15)=1,MAX($AV$1:AV14)+1,""))</f>
        <v/>
      </c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7" t="str">
        <f aca="false">IF(B16="","",IF(COUNTIF($B$2:B16,B16)=1,MAX($AV$1:AV15)+1,""))</f>
        <v/>
      </c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7" t="str">
        <f aca="false">IF(B17="","",IF(COUNTIF($B$2:B17,B17)=1,MAX($AV$1:AV16)+1,""))</f>
        <v/>
      </c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7" t="str">
        <f aca="false">IF(B18="","",IF(COUNTIF($B$2:B18,B18)=1,MAX($AV$1:AV17)+1,""))</f>
        <v/>
      </c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7" t="str">
        <f aca="false">IF(B19="","",IF(COUNTIF($B$2:B19,B19)=1,MAX($AV$1:AV18)+1,""))</f>
        <v/>
      </c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7" t="str">
        <f aca="false">IF(B20="","",IF(COUNTIF($B$2:B20,B20)=1,MAX($AV$1:AV19)+1,""))</f>
        <v/>
      </c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7" t="str">
        <f aca="false">IF(B21="","",IF(COUNTIF($B$2:B21,B21)=1,MAX($AV$1:AV20)+1,""))</f>
        <v/>
      </c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7" t="str">
        <f aca="false">IF(B22="","",IF(COUNTIF($B$2:B22,B22)=1,MAX($AV$1:AV21)+1,""))</f>
        <v/>
      </c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7" t="str">
        <f aca="false">IF(B23="","",IF(COUNTIF($B$2:B23,B23)=1,MAX($AV$1:AV22)+1,""))</f>
        <v/>
      </c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7" t="str">
        <f aca="false">IF(B24="","",IF(COUNTIF($B$2:B24,B24)=1,MAX($AV$1:AV23)+1,""))</f>
        <v/>
      </c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7" t="str">
        <f aca="false">IF(B25="","",IF(COUNTIF($B$2:B25,B25)=1,MAX($AV$1:AV24)+1,""))</f>
        <v/>
      </c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7" t="str">
        <f aca="false">IF(B26="","",IF(COUNTIF($B$2:B26,B26)=1,MAX($AV$1:AV25)+1,""))</f>
        <v/>
      </c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7" t="str">
        <f aca="false">IF(B27="","",IF(COUNTIF($B$2:B27,B27)=1,MAX($AV$1:AV26)+1,""))</f>
        <v/>
      </c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7" t="str">
        <f aca="false">IF(B28="","",IF(COUNTIF($B$2:B28,B28)=1,MAX($AV$1:AV27)+1,""))</f>
        <v/>
      </c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7" t="str">
        <f aca="false">IF(B29="","",IF(COUNTIF($B$2:B29,B29)=1,MAX($AV$1:AV28)+1,""))</f>
        <v/>
      </c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7" t="str">
        <f aca="false">IF(B30="","",IF(COUNTIF($B$2:B30,B30)=1,MAX($AV$1:AV29)+1,""))</f>
        <v/>
      </c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7" t="str">
        <f aca="false">IF(B31="","",IF(COUNTIF($B$2:B31,B31)=1,MAX($AV$1:AV30)+1,""))</f>
        <v/>
      </c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7" t="str">
        <f aca="false">IF(B32="","",IF(COUNTIF($B$2:B32,B32)=1,MAX($AV$1:AV31)+1,""))</f>
        <v/>
      </c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7" t="str">
        <f aca="false">IF(B33="","",IF(COUNTIF($B$2:B33,B33)=1,MAX($AV$1:AV32)+1,""))</f>
        <v/>
      </c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7" t="str">
        <f aca="false">IF(B34="","",IF(COUNTIF($B$2:B34,B34)=1,MAX($AV$1:AV33)+1,""))</f>
        <v/>
      </c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7" t="str">
        <f aca="false">IF(B35="","",IF(COUNTIF($B$2:B35,B35)=1,MAX($AV$1:AV34)+1,""))</f>
        <v/>
      </c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7" t="str">
        <f aca="false">IF(B36="","",IF(COUNTIF($B$2:B36,B36)=1,MAX($AV$1:AV35)+1,""))</f>
        <v/>
      </c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7" t="str">
        <f aca="false">IF(B37="","",IF(COUNTIF($B$2:B37,B37)=1,MAX($AV$1:AV36)+1,""))</f>
        <v/>
      </c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7" t="str">
        <f aca="false">IF(B38="","",IF(COUNTIF($B$2:B38,B38)=1,MAX($AV$1:AV37)+1,""))</f>
        <v/>
      </c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7" t="str">
        <f aca="false">IF(B39="","",IF(COUNTIF($B$2:B39,B39)=1,MAX($AV$1:AV38)+1,""))</f>
        <v/>
      </c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7" t="str">
        <f aca="false">IF(B40="","",IF(COUNTIF($B$2:B40,B40)=1,MAX($AV$1:AV39)+1,""))</f>
        <v/>
      </c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7" t="str">
        <f aca="false">IF(B41="","",IF(COUNTIF($B$2:B41,B41)=1,MAX($AV$1:AV40)+1,""))</f>
        <v/>
      </c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7" t="str">
        <f aca="false">IF(B42="","",IF(COUNTIF($B$2:B42,B42)=1,MAX($AV$1:AV41)+1,""))</f>
        <v/>
      </c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7" t="str">
        <f aca="false">IF(B43="","",IF(COUNTIF($B$2:B43,B43)=1,MAX($AV$1:AV42)+1,""))</f>
        <v/>
      </c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7" t="str">
        <f aca="false">IF(B44="","",IF(COUNTIF($B$2:B44,B44)=1,MAX($AV$1:AV43)+1,""))</f>
        <v/>
      </c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7" t="str">
        <f aca="false">IF(B45="","",IF(COUNTIF($B$2:B45,B45)=1,MAX($AV$1:AV44)+1,""))</f>
        <v/>
      </c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7" t="str">
        <f aca="false">IF(B46="","",IF(COUNTIF($B$2:B46,B46)=1,MAX($AV$1:AV45)+1,""))</f>
        <v/>
      </c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7" t="str">
        <f aca="false">IF(B47="","",IF(COUNTIF($B$2:B47,B47)=1,MAX($AV$1:AV46)+1,""))</f>
        <v/>
      </c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7" t="str">
        <f aca="false">IF(B48="","",IF(COUNTIF($B$2:B48,B48)=1,MAX($AV$1:AV47)+1,""))</f>
        <v/>
      </c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7" t="str">
        <f aca="false">IF(B49="","",IF(COUNTIF($B$2:B49,B49)=1,MAX($AV$1:AV48)+1,""))</f>
        <v/>
      </c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7" t="str">
        <f aca="false">IF(B50="","",IF(COUNTIF($B$2:B50,B50)=1,MAX($AV$1:AV49)+1,""))</f>
        <v/>
      </c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7" t="str">
        <f aca="false">IF(B51="","",IF(COUNTIF($B$2:B51,B51)=1,MAX($AV$1:AV50)+1,""))</f>
        <v/>
      </c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7" t="str">
        <f aca="false">IF(B52="","",IF(COUNTIF($B$2:B52,B52)=1,MAX($AV$1:AV51)+1,""))</f>
        <v/>
      </c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7" t="str">
        <f aca="false">IF(B53="","",IF(COUNTIF($B$2:B53,B53)=1,MAX($AV$1:AV52)+1,""))</f>
        <v/>
      </c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7" t="str">
        <f aca="false">IF(B54="","",IF(COUNTIF($B$2:B54,B54)=1,MAX($AV$1:AV53)+1,""))</f>
        <v/>
      </c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7" t="str">
        <f aca="false">IF(B55="","",IF(COUNTIF($B$2:B55,B55)=1,MAX($AV$1:AV54)+1,""))</f>
        <v/>
      </c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7" t="str">
        <f aca="false">IF(B56="","",IF(COUNTIF($B$2:B56,B56)=1,MAX($AV$1:AV55)+1,""))</f>
        <v/>
      </c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7" t="str">
        <f aca="false">IF(B57="","",IF(COUNTIF($B$2:B57,B57)=1,MAX($AV$1:AV56)+1,""))</f>
        <v/>
      </c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7" t="str">
        <f aca="false">IF(B58="","",IF(COUNTIF($B$2:B58,B58)=1,MAX($AV$1:AV57)+1,""))</f>
        <v/>
      </c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7" t="str">
        <f aca="false">IF(B59="","",IF(COUNTIF($B$2:B59,B59)=1,MAX($AV$1:AV58)+1,""))</f>
        <v/>
      </c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7" t="str">
        <f aca="false">IF(B60="","",IF(COUNTIF($B$2:B60,B60)=1,MAX($AV$1:AV59)+1,""))</f>
        <v/>
      </c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7" t="str">
        <f aca="false">IF(B61="","",IF(COUNTIF($B$2:B61,B61)=1,MAX($AV$1:AV60)+1,""))</f>
        <v/>
      </c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7" t="str">
        <f aca="false">IF(B62="","",IF(COUNTIF($B$2:B62,B62)=1,MAX($AV$1:AV61)+1,""))</f>
        <v/>
      </c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7" t="str">
        <f aca="false">IF(B63="","",IF(COUNTIF($B$2:B63,B63)=1,MAX($AV$1:AV62)+1,""))</f>
        <v/>
      </c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7" t="str">
        <f aca="false">IF(B64="","",IF(COUNTIF($B$2:B64,B64)=1,MAX($AV$1:AV63)+1,""))</f>
        <v/>
      </c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7" t="str">
        <f aca="false">IF(B65="","",IF(COUNTIF($B$2:B65,B65)=1,MAX($AV$1:AV64)+1,""))</f>
        <v/>
      </c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7" t="str">
        <f aca="false">IF(B66="","",IF(COUNTIF($B$2:B66,B66)=1,MAX($AV$1:AV65)+1,""))</f>
        <v/>
      </c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7" t="str">
        <f aca="false">IF(B67="","",IF(COUNTIF($B$2:B67,B67)=1,MAX($AV$1:AV66)+1,""))</f>
        <v/>
      </c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7" t="str">
        <f aca="false">IF(B68="","",IF(COUNTIF($B$2:B68,B68)=1,MAX($AV$1:AV67)+1,""))</f>
        <v/>
      </c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7" t="str">
        <f aca="false">IF(B69="","",IF(COUNTIF($B$2:B69,B69)=1,MAX($AV$1:AV68)+1,""))</f>
        <v/>
      </c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7" t="str">
        <f aca="false">IF(B70="","",IF(COUNTIF($B$2:B70,B70)=1,MAX($AV$1:AV69)+1,""))</f>
        <v/>
      </c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7" t="str">
        <f aca="false">IF(B71="","",IF(COUNTIF($B$2:B71,B71)=1,MAX($AV$1:AV70)+1,""))</f>
        <v/>
      </c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7" t="str">
        <f aca="false">IF(B72="","",IF(COUNTIF($B$2:B72,B72)=1,MAX($AV$1:AV71)+1,""))</f>
        <v/>
      </c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7" t="str">
        <f aca="false">IF(B73="","",IF(COUNTIF($B$2:B73,B73)=1,MAX($AV$1:AV72)+1,""))</f>
        <v/>
      </c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7" t="str">
        <f aca="false">IF(B74="","",IF(COUNTIF($B$2:B74,B74)=1,MAX($AV$1:AV73)+1,""))</f>
        <v/>
      </c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7" t="str">
        <f aca="false">IF(B75="","",IF(COUNTIF($B$2:B75,B75)=1,MAX($AV$1:AV74)+1,""))</f>
        <v/>
      </c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7" t="str">
        <f aca="false">IF(B76="","",IF(COUNTIF($B$2:B76,B76)=1,MAX($AV$1:AV75)+1,""))</f>
        <v/>
      </c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7" t="str">
        <f aca="false">IF(B77="","",IF(COUNTIF($B$2:B77,B77)=1,MAX($AV$1:AV76)+1,""))</f>
        <v/>
      </c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7" t="str">
        <f aca="false">IF(B78="","",IF(COUNTIF($B$2:B78,B78)=1,MAX($AV$1:AV77)+1,""))</f>
        <v/>
      </c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7" t="str">
        <f aca="false">IF(B79="","",IF(COUNTIF($B$2:B79,B79)=1,MAX($AV$1:AV78)+1,""))</f>
        <v/>
      </c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7" t="str">
        <f aca="false">IF(B80="","",IF(COUNTIF($B$2:B80,B80)=1,MAX($AV$1:AV79)+1,""))</f>
        <v/>
      </c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7" t="str">
        <f aca="false">IF(B81="","",IF(COUNTIF($B$2:B81,B81)=1,MAX($AV$1:AV80)+1,""))</f>
        <v/>
      </c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7" t="str">
        <f aca="false">IF(B82="","",IF(COUNTIF($B$2:B82,B82)=1,MAX($AV$1:AV81)+1,""))</f>
        <v/>
      </c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7" t="str">
        <f aca="false">IF(B83="","",IF(COUNTIF($B$2:B83,B83)=1,MAX($AV$1:AV82)+1,""))</f>
        <v/>
      </c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7" t="str">
        <f aca="false">IF(B84="","",IF(COUNTIF($B$2:B84,B84)=1,MAX($AV$1:AV83)+1,""))</f>
        <v/>
      </c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7" t="str">
        <f aca="false">IF(B85="","",IF(COUNTIF($B$2:B85,B85)=1,MAX($AV$1:AV84)+1,""))</f>
        <v/>
      </c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7" t="str">
        <f aca="false">IF(B86="","",IF(COUNTIF($B$2:B86,B86)=1,MAX($AV$1:AV85)+1,""))</f>
        <v/>
      </c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7" t="str">
        <f aca="false">IF(B87="","",IF(COUNTIF($B$2:B87,B87)=1,MAX($AV$1:AV86)+1,""))</f>
        <v/>
      </c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7" t="str">
        <f aca="false">IF(B88="","",IF(COUNTIF($B$2:B88,B88)=1,MAX($AV$1:AV87)+1,""))</f>
        <v/>
      </c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7" t="str">
        <f aca="false">IF(B89="","",IF(COUNTIF($B$2:B89,B89)=1,MAX($AV$1:AV88)+1,""))</f>
        <v/>
      </c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7" t="str">
        <f aca="false">IF(B90="","",IF(COUNTIF($B$2:B90,B90)=1,MAX($AV$1:AV89)+1,""))</f>
        <v/>
      </c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7" t="str">
        <f aca="false">IF(B91="","",IF(COUNTIF($B$2:B91,B91)=1,MAX($AV$1:AV90)+1,""))</f>
        <v/>
      </c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7" t="str">
        <f aca="false">IF(B92="","",IF(COUNTIF($B$2:B92,B92)=1,MAX($AV$1:AV91)+1,""))</f>
        <v/>
      </c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7" t="str">
        <f aca="false">IF(B93="","",IF(COUNTIF($B$2:B93,B93)=1,MAX($AV$1:AV92)+1,""))</f>
        <v/>
      </c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7" t="str">
        <f aca="false">IF(B94="","",IF(COUNTIF($B$2:B94,B94)=1,MAX($AV$1:AV93)+1,""))</f>
        <v/>
      </c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7" t="str">
        <f aca="false">IF(B95="","",IF(COUNTIF($B$2:B95,B95)=1,MAX($AV$1:AV94)+1,""))</f>
        <v/>
      </c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7" t="str">
        <f aca="false">IF(B96="","",IF(COUNTIF($B$2:B96,B96)=1,MAX($AV$1:AV95)+1,""))</f>
        <v/>
      </c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7" t="str">
        <f aca="false">IF(B97="","",IF(COUNTIF($B$2:B97,B97)=1,MAX($AV$1:AV96)+1,""))</f>
        <v/>
      </c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7" t="str">
        <f aca="false">IF(B98="","",IF(COUNTIF($B$2:B98,B98)=1,MAX($AV$1:AV97)+1,""))</f>
        <v/>
      </c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7" t="str">
        <f aca="false">IF(B99="","",IF(COUNTIF($B$2:B99,B99)=1,MAX($AV$1:AV98)+1,""))</f>
        <v/>
      </c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7" t="str">
        <f aca="false">IF(B100="","",IF(COUNTIF($B$2:B100,B100)=1,MAX($AV$1:AV99)+1,""))</f>
        <v/>
      </c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7" t="str">
        <f aca="false">IF(B101="","",IF(COUNTIF($B$2:B101,B101)=1,MAX($AV$1:AV100)+1,""))</f>
        <v/>
      </c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7" t="str">
        <f aca="false">IF(B102="","",IF(COUNTIF($B$2:B102,B102)=1,MAX($AV$1:AV101)+1,""))</f>
        <v/>
      </c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7" t="str">
        <f aca="false">IF(B103="","",IF(COUNTIF($B$2:B103,B103)=1,MAX($AV$1:AV102)+1,""))</f>
        <v/>
      </c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7" t="str">
        <f aca="false">IF(B104="","",IF(COUNTIF($B$2:B104,B104)=1,MAX($AV$1:AV103)+1,""))</f>
        <v/>
      </c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7" t="str">
        <f aca="false">IF(B105="","",IF(COUNTIF($B$2:B105,B105)=1,MAX($AV$1:AV104)+1,""))</f>
        <v/>
      </c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7" t="str">
        <f aca="false">IF(B106="","",IF(COUNTIF($B$2:B106,B106)=1,MAX($AV$1:AV105)+1,""))</f>
        <v/>
      </c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7" t="str">
        <f aca="false">IF(B107="","",IF(COUNTIF($B$2:B107,B107)=1,MAX($AV$1:AV106)+1,""))</f>
        <v/>
      </c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7" t="str">
        <f aca="false">IF(B108="","",IF(COUNTIF($B$2:B108,B108)=1,MAX($AV$1:AV107)+1,""))</f>
        <v/>
      </c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7" t="str">
        <f aca="false">IF(B109="","",IF(COUNTIF($B$2:B109,B109)=1,MAX($AV$1:AV108)+1,""))</f>
        <v/>
      </c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7" t="str">
        <f aca="false">IF(B110="","",IF(COUNTIF($B$2:B110,B110)=1,MAX($AV$1:AV109)+1,""))</f>
        <v/>
      </c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7" t="str">
        <f aca="false">IF(B111="","",IF(COUNTIF($B$2:B111,B111)=1,MAX($AV$1:AV110)+1,""))</f>
        <v/>
      </c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7" t="str">
        <f aca="false">IF(B112="","",IF(COUNTIF($B$2:B112,B112)=1,MAX($AV$1:AV111)+1,""))</f>
        <v/>
      </c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7" t="str">
        <f aca="false">IF(B113="","",IF(COUNTIF($B$2:B113,B113)=1,MAX($AV$1:AV112)+1,""))</f>
        <v/>
      </c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7" t="str">
        <f aca="false">IF(B114="","",IF(COUNTIF($B$2:B114,B114)=1,MAX($AV$1:AV113)+1,""))</f>
        <v/>
      </c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7" t="str">
        <f aca="false">IF(B115="","",IF(COUNTIF($B$2:B115,B115)=1,MAX($AV$1:AV114)+1,""))</f>
        <v/>
      </c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7" t="str">
        <f aca="false">IF(B116="","",IF(COUNTIF($B$2:B116,B116)=1,MAX($AV$1:AV115)+1,""))</f>
        <v/>
      </c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7" t="str">
        <f aca="false">IF(B117="","",IF(COUNTIF($B$2:B117,B117)=1,MAX($AV$1:AV116)+1,""))</f>
        <v/>
      </c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7" t="str">
        <f aca="false">IF(B118="","",IF(COUNTIF($B$2:B118,B118)=1,MAX($AV$1:AV117)+1,""))</f>
        <v/>
      </c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7" t="str">
        <f aca="false">IF(B119="","",IF(COUNTIF($B$2:B119,B119)=1,MAX($AV$1:AV118)+1,""))</f>
        <v/>
      </c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7" t="str">
        <f aca="false">IF(B120="","",IF(COUNTIF($B$2:B120,B120)=1,MAX($AV$1:AV119)+1,""))</f>
        <v/>
      </c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7" t="str">
        <f aca="false">IF(B121="","",IF(COUNTIF($B$2:B121,B121)=1,MAX($AV$1:AV120)+1,""))</f>
        <v/>
      </c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7" t="str">
        <f aca="false">IF(B122="","",IF(COUNTIF($B$2:B122,B122)=1,MAX($AV$1:AV121)+1,""))</f>
        <v/>
      </c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7" t="str">
        <f aca="false">IF(B123="","",IF(COUNTIF($B$2:B123,B123)=1,MAX($AV$1:AV122)+1,""))</f>
        <v/>
      </c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7" t="str">
        <f aca="false">IF(B124="","",IF(COUNTIF($B$2:B124,B124)=1,MAX($AV$1:AV123)+1,""))</f>
        <v/>
      </c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7" t="str">
        <f aca="false">IF(B125="","",IF(COUNTIF($B$2:B125,B125)=1,MAX($AV$1:AV124)+1,""))</f>
        <v/>
      </c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7" t="str">
        <f aca="false">IF(B126="","",IF(COUNTIF($B$2:B126,B126)=1,MAX($AV$1:AV125)+1,""))</f>
        <v/>
      </c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7" t="str">
        <f aca="false">IF(B127="","",IF(COUNTIF($B$2:B127,B127)=1,MAX($AV$1:AV126)+1,""))</f>
        <v/>
      </c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7" t="str">
        <f aca="false">IF(B128="","",IF(COUNTIF($B$2:B128,B128)=1,MAX($AV$1:AV127)+1,""))</f>
        <v/>
      </c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7" t="str">
        <f aca="false">IF(B129="","",IF(COUNTIF($B$2:B129,B129)=1,MAX($AV$1:AV128)+1,""))</f>
        <v/>
      </c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7" t="str">
        <f aca="false">IF(B130="","",IF(COUNTIF($B$2:B130,B130)=1,MAX($AV$1:AV129)+1,""))</f>
        <v/>
      </c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7" t="str">
        <f aca="false">IF(B131="","",IF(COUNTIF($B$2:B131,B131)=1,MAX($AV$1:AV130)+1,""))</f>
        <v/>
      </c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7" t="str">
        <f aca="false">IF(B132="","",IF(COUNTIF($B$2:B132,B132)=1,MAX($AV$1:AV131)+1,""))</f>
        <v/>
      </c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7" t="str">
        <f aca="false">IF(B133="","",IF(COUNTIF($B$2:B133,B133)=1,MAX($AV$1:AV132)+1,""))</f>
        <v/>
      </c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7" t="str">
        <f aca="false">IF(B134="","",IF(COUNTIF($B$2:B134,B134)=1,MAX($AV$1:AV133)+1,""))</f>
        <v/>
      </c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7" t="str">
        <f aca="false">IF(B135="","",IF(COUNTIF($B$2:B135,B135)=1,MAX($AV$1:AV134)+1,""))</f>
        <v/>
      </c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7" t="str">
        <f aca="false">IF(B136="","",IF(COUNTIF($B$2:B136,B136)=1,MAX($AV$1:AV135)+1,""))</f>
        <v/>
      </c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7" t="str">
        <f aca="false">IF(B137="","",IF(COUNTIF($B$2:B137,B137)=1,MAX($AV$1:AV136)+1,""))</f>
        <v/>
      </c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7" t="str">
        <f aca="false">IF(B138="","",IF(COUNTIF($B$2:B138,B138)=1,MAX($AV$1:AV137)+1,""))</f>
        <v/>
      </c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7" t="str">
        <f aca="false">IF(B139="","",IF(COUNTIF($B$2:B139,B139)=1,MAX($AV$1:AV138)+1,""))</f>
        <v/>
      </c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7" t="str">
        <f aca="false">IF(B140="","",IF(COUNTIF($B$2:B140,B140)=1,MAX($AV$1:AV139)+1,""))</f>
        <v/>
      </c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7" t="str">
        <f aca="false">IF(B141="","",IF(COUNTIF($B$2:B141,B141)=1,MAX($AV$1:AV140)+1,""))</f>
        <v/>
      </c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7" t="str">
        <f aca="false">IF(B142="","",IF(COUNTIF($B$2:B142,B142)=1,MAX($AV$1:AV141)+1,""))</f>
        <v/>
      </c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7" t="str">
        <f aca="false">IF(B143="","",IF(COUNTIF($B$2:B143,B143)=1,MAX($AV$1:AV142)+1,""))</f>
        <v/>
      </c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7" t="str">
        <f aca="false">IF(B144="","",IF(COUNTIF($B$2:B144,B144)=1,MAX($AV$1:AV143)+1,""))</f>
        <v/>
      </c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7" t="str">
        <f aca="false">IF(B145="","",IF(COUNTIF($B$2:B145,B145)=1,MAX($AV$1:AV144)+1,""))</f>
        <v/>
      </c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7" t="str">
        <f aca="false">IF(B146="","",IF(COUNTIF($B$2:B146,B146)=1,MAX($AV$1:AV145)+1,""))</f>
        <v/>
      </c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7" t="str">
        <f aca="false">IF(B147="","",IF(COUNTIF($B$2:B147,B147)=1,MAX($AV$1:AV146)+1,""))</f>
        <v/>
      </c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7" t="str">
        <f aca="false">IF(B148="","",IF(COUNTIF($B$2:B148,B148)=1,MAX($AV$1:AV147)+1,""))</f>
        <v/>
      </c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7" t="str">
        <f aca="false">IF(B149="","",IF(COUNTIF($B$2:B149,B149)=1,MAX($AV$1:AV148)+1,""))</f>
        <v/>
      </c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7" t="str">
        <f aca="false">IF(B150="","",IF(COUNTIF($B$2:B150,B150)=1,MAX($AV$1:AV149)+1,""))</f>
        <v/>
      </c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7" t="str">
        <f aca="false">IF(B151="","",IF(COUNTIF($B$2:B151,B151)=1,MAX($AV$1:AV150)+1,""))</f>
        <v/>
      </c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7" t="str">
        <f aca="false">IF(B152="","",IF(COUNTIF($B$2:B152,B152)=1,MAX($AV$1:AV151)+1,""))</f>
        <v/>
      </c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7" t="str">
        <f aca="false">IF(B153="","",IF(COUNTIF($B$2:B153,B153)=1,MAX($AV$1:AV152)+1,""))</f>
        <v/>
      </c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7" t="str">
        <f aca="false">IF(B154="","",IF(COUNTIF($B$2:B154,B154)=1,MAX($AV$1:AV153)+1,""))</f>
        <v/>
      </c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7" t="str">
        <f aca="false">IF(B155="","",IF(COUNTIF($B$2:B155,B155)=1,MAX($AV$1:AV154)+1,""))</f>
        <v/>
      </c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7" t="str">
        <f aca="false">IF(B156="","",IF(COUNTIF($B$2:B156,B156)=1,MAX($AV$1:AV155)+1,""))</f>
        <v/>
      </c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7" t="str">
        <f aca="false">IF(B157="","",IF(COUNTIF($B$2:B157,B157)=1,MAX($AV$1:AV156)+1,""))</f>
        <v/>
      </c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7" t="str">
        <f aca="false">IF(B158="","",IF(COUNTIF($B$2:B158,B158)=1,MAX($AV$1:AV157)+1,""))</f>
        <v/>
      </c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7" t="str">
        <f aca="false">IF(B159="","",IF(COUNTIF($B$2:B159,B159)=1,MAX($AV$1:AV158)+1,""))</f>
        <v/>
      </c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7" t="str">
        <f aca="false">IF(B160="","",IF(COUNTIF($B$2:B160,B160)=1,MAX($AV$1:AV159)+1,""))</f>
        <v/>
      </c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7" t="str">
        <f aca="false">IF(B161="","",IF(COUNTIF($B$2:B161,B161)=1,MAX($AV$1:AV160)+1,""))</f>
        <v/>
      </c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7" t="str">
        <f aca="false">IF(B162="","",IF(COUNTIF($B$2:B162,B162)=1,MAX($AV$1:AV161)+1,""))</f>
        <v/>
      </c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7" t="str">
        <f aca="false">IF(B163="","",IF(COUNTIF($B$2:B163,B163)=1,MAX($AV$1:AV162)+1,""))</f>
        <v/>
      </c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7" t="str">
        <f aca="false">IF(B164="","",IF(COUNTIF($B$2:B164,B164)=1,MAX($AV$1:AV163)+1,""))</f>
        <v/>
      </c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7" t="str">
        <f aca="false">IF(B165="","",IF(COUNTIF($B$2:B165,B165)=1,MAX($AV$1:AV164)+1,""))</f>
        <v/>
      </c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7" t="str">
        <f aca="false">IF(B166="","",IF(COUNTIF($B$2:B166,B166)=1,MAX($AV$1:AV165)+1,""))</f>
        <v/>
      </c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7" t="str">
        <f aca="false">IF(B167="","",IF(COUNTIF($B$2:B167,B167)=1,MAX($AV$1:AV166)+1,""))</f>
        <v/>
      </c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7" t="str">
        <f aca="false">IF(B168="","",IF(COUNTIF($B$2:B168,B168)=1,MAX($AV$1:AV167)+1,""))</f>
        <v/>
      </c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7" t="str">
        <f aca="false">IF(B169="","",IF(COUNTIF($B$2:B169,B169)=1,MAX($AV$1:AV168)+1,""))</f>
        <v/>
      </c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7" t="str">
        <f aca="false">IF(B170="","",IF(COUNTIF($B$2:B170,B170)=1,MAX($AV$1:AV169)+1,""))</f>
        <v/>
      </c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7" t="str">
        <f aca="false">IF(B171="","",IF(COUNTIF($B$2:B171,B171)=1,MAX($AV$1:AV170)+1,""))</f>
        <v/>
      </c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7" t="str">
        <f aca="false">IF(B172="","",IF(COUNTIF($B$2:B172,B172)=1,MAX($AV$1:AV171)+1,""))</f>
        <v/>
      </c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7" t="str">
        <f aca="false">IF(B173="","",IF(COUNTIF($B$2:B173,B173)=1,MAX($AV$1:AV172)+1,""))</f>
        <v/>
      </c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7" t="str">
        <f aca="false">IF(B174="","",IF(COUNTIF($B$2:B174,B174)=1,MAX($AV$1:AV173)+1,""))</f>
        <v/>
      </c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7" t="str">
        <f aca="false">IF(B175="","",IF(COUNTIF($B$2:B175,B175)=1,MAX($AV$1:AV174)+1,""))</f>
        <v/>
      </c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7" t="str">
        <f aca="false">IF(B176="","",IF(COUNTIF($B$2:B176,B176)=1,MAX($AV$1:AV175)+1,""))</f>
        <v/>
      </c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7" t="str">
        <f aca="false">IF(B177="","",IF(COUNTIF($B$2:B177,B177)=1,MAX($AV$1:AV176)+1,""))</f>
        <v/>
      </c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7" t="str">
        <f aca="false">IF(B178="","",IF(COUNTIF($B$2:B178,B178)=1,MAX($AV$1:AV177)+1,""))</f>
        <v/>
      </c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7" t="str">
        <f aca="false">IF(B179="","",IF(COUNTIF($B$2:B179,B179)=1,MAX($AV$1:AV178)+1,""))</f>
        <v/>
      </c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7" t="str">
        <f aca="false">IF(B180="","",IF(COUNTIF($B$2:B180,B180)=1,MAX($AV$1:AV179)+1,""))</f>
        <v/>
      </c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7" t="str">
        <f aca="false">IF(B181="","",IF(COUNTIF($B$2:B181,B181)=1,MAX($AV$1:AV180)+1,""))</f>
        <v/>
      </c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7" t="str">
        <f aca="false">IF(B182="","",IF(COUNTIF($B$2:B182,B182)=1,MAX($AV$1:AV181)+1,""))</f>
        <v/>
      </c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7" t="str">
        <f aca="false">IF(B183="","",IF(COUNTIF($B$2:B183,B183)=1,MAX($AV$1:AV182)+1,""))</f>
        <v/>
      </c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7" t="str">
        <f aca="false">IF(B184="","",IF(COUNTIF($B$2:B184,B184)=1,MAX($AV$1:AV183)+1,""))</f>
        <v/>
      </c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7" t="str">
        <f aca="false">IF(B185="","",IF(COUNTIF($B$2:B185,B185)=1,MAX($AV$1:AV184)+1,""))</f>
        <v/>
      </c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7" t="str">
        <f aca="false">IF(B186="","",IF(COUNTIF($B$2:B186,B186)=1,MAX($AV$1:AV185)+1,""))</f>
        <v/>
      </c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7" t="str">
        <f aca="false">IF(B187="","",IF(COUNTIF($B$2:B187,B187)=1,MAX($AV$1:AV186)+1,""))</f>
        <v/>
      </c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7" t="str">
        <f aca="false">IF(B188="","",IF(COUNTIF($B$2:B188,B188)=1,MAX($AV$1:AV187)+1,""))</f>
        <v/>
      </c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7" t="str">
        <f aca="false">IF(B189="","",IF(COUNTIF($B$2:B189,B189)=1,MAX($AV$1:AV188)+1,""))</f>
        <v/>
      </c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7" t="str">
        <f aca="false">IF(B190="","",IF(COUNTIF($B$2:B190,B190)=1,MAX($AV$1:AV189)+1,""))</f>
        <v/>
      </c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7" t="str">
        <f aca="false">IF(B191="","",IF(COUNTIF($B$2:B191,B191)=1,MAX($AV$1:AV190)+1,""))</f>
        <v/>
      </c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7" t="str">
        <f aca="false">IF(B192="","",IF(COUNTIF($B$2:B192,B192)=1,MAX($AV$1:AV191)+1,""))</f>
        <v/>
      </c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7" t="str">
        <f aca="false">IF(B193="","",IF(COUNTIF($B$2:B193,B193)=1,MAX($AV$1:AV192)+1,""))</f>
        <v/>
      </c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7" t="str">
        <f aca="false">IF(B194="","",IF(COUNTIF($B$2:B194,B194)=1,MAX($AV$1:AV193)+1,""))</f>
        <v/>
      </c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7" t="str">
        <f aca="false">IF(B195="","",IF(COUNTIF($B$2:B195,B195)=1,MAX($AV$1:AV194)+1,""))</f>
        <v/>
      </c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7" t="str">
        <f aca="false">IF(B196="","",IF(COUNTIF($B$2:B196,B196)=1,MAX($AV$1:AV195)+1,""))</f>
        <v/>
      </c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7" t="str">
        <f aca="false">IF(B197="","",IF(COUNTIF($B$2:B197,B197)=1,MAX($AV$1:AV196)+1,""))</f>
        <v/>
      </c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7" t="str">
        <f aca="false">IF(B198="","",IF(COUNTIF($B$2:B198,B198)=1,MAX($AV$1:AV197)+1,""))</f>
        <v/>
      </c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7" t="str">
        <f aca="false">IF(B199="","",IF(COUNTIF($B$2:B199,B199)=1,MAX($AV$1:AV198)+1,""))</f>
        <v/>
      </c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7" t="str">
        <f aca="false">IF(B200="","",IF(COUNTIF($B$2:B200,B200)=1,MAX($AV$1:AV199)+1,""))</f>
        <v/>
      </c>
    </row>
    <row r="201" customFormat="false" ht="1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7" t="str">
        <f aca="false">IF(B201="","",IF(COUNTIF($B$2:B201,B201)=1,MAX($AV$1:AV200)+1,""))</f>
        <v/>
      </c>
    </row>
    <row r="202" customFormat="false" ht="1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7" t="str">
        <f aca="false">IF(B202="","",IF(COUNTIF($B$2:B202,B202)=1,MAX($AV$1:AV201)+1,""))</f>
        <v/>
      </c>
    </row>
    <row r="203" customFormat="false" ht="1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7" t="str">
        <f aca="false">IF(B203="","",IF(COUNTIF($B$2:B203,B203)=1,MAX($AV$1:AV202)+1,""))</f>
        <v/>
      </c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7" t="str">
        <f aca="false">IF(B204="","",IF(COUNTIF($B$2:B204,B204)=1,MAX($AV$1:AV203)+1,""))</f>
        <v/>
      </c>
    </row>
    <row r="205" customFormat="false" ht="1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7" t="str">
        <f aca="false">IF(B205="","",IF(COUNTIF($B$2:B205,B205)=1,MAX($AV$1:AV204)+1,""))</f>
        <v/>
      </c>
    </row>
    <row r="206" customFormat="false" ht="1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7" t="str">
        <f aca="false">IF(B206="","",IF(COUNTIF($B$2:B206,B206)=1,MAX($AV$1:AV205)+1,""))</f>
        <v/>
      </c>
    </row>
    <row r="207" customFormat="false" ht="1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7" t="str">
        <f aca="false">IF(B207="","",IF(COUNTIF($B$2:B207,B207)=1,MAX($AV$1:AV206)+1,""))</f>
        <v/>
      </c>
    </row>
    <row r="208" customFormat="false" ht="1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7" t="str">
        <f aca="false">IF(B208="","",IF(COUNTIF($B$2:B208,B208)=1,MAX($AV$1:AV207)+1,""))</f>
        <v/>
      </c>
    </row>
    <row r="209" customFormat="false" ht="1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7" t="str">
        <f aca="false">IF(B209="","",IF(COUNTIF($B$2:B209,B209)=1,MAX($AV$1:AV208)+1,""))</f>
        <v/>
      </c>
    </row>
    <row r="210" customFormat="false" ht="1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7" t="str">
        <f aca="false">IF(B210="","",IF(COUNTIF($B$2:B210,B210)=1,MAX($AV$1:AV209)+1,""))</f>
        <v/>
      </c>
    </row>
    <row r="211" customFormat="false" ht="1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7" t="str">
        <f aca="false">IF(B211="","",IF(COUNTIF($B$2:B211,B211)=1,MAX($AV$1:AV210)+1,""))</f>
        <v/>
      </c>
    </row>
    <row r="212" customFormat="false" ht="1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7" t="str">
        <f aca="false">IF(B212="","",IF(COUNTIF($B$2:B212,B212)=1,MAX($AV$1:AV211)+1,""))</f>
        <v/>
      </c>
    </row>
    <row r="213" customFormat="false" ht="1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7" t="str">
        <f aca="false">IF(B213="","",IF(COUNTIF($B$2:B213,B213)=1,MAX($AV$1:AV212)+1,""))</f>
        <v/>
      </c>
    </row>
    <row r="214" customFormat="false" ht="1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7" t="str">
        <f aca="false">IF(B214="","",IF(COUNTIF($B$2:B214,B214)=1,MAX($AV$1:AV213)+1,""))</f>
        <v/>
      </c>
    </row>
    <row r="215" customFormat="false" ht="1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7" t="str">
        <f aca="false">IF(B215="","",IF(COUNTIF($B$2:B215,B215)=1,MAX($AV$1:AV214)+1,""))</f>
        <v/>
      </c>
    </row>
    <row r="216" customFormat="false" ht="1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7" t="str">
        <f aca="false">IF(B216="","",IF(COUNTIF($B$2:B216,B216)=1,MAX($AV$1:AV215)+1,""))</f>
        <v/>
      </c>
    </row>
    <row r="217" customFormat="false" ht="1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7" t="str">
        <f aca="false">IF(B217="","",IF(COUNTIF($B$2:B217,B217)=1,MAX($AV$1:AV216)+1,""))</f>
        <v/>
      </c>
    </row>
    <row r="218" customFormat="false" ht="1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7" t="str">
        <f aca="false">IF(B218="","",IF(COUNTIF($B$2:B218,B218)=1,MAX($AV$1:AV217)+1,""))</f>
        <v/>
      </c>
    </row>
    <row r="219" customFormat="false" ht="1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7" t="str">
        <f aca="false">IF(B219="","",IF(COUNTIF($B$2:B219,B219)=1,MAX($AV$1:AV218)+1,""))</f>
        <v/>
      </c>
    </row>
    <row r="220" customFormat="false" ht="1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7" t="str">
        <f aca="false">IF(B220="","",IF(COUNTIF($B$2:B220,B220)=1,MAX($AV$1:AV219)+1,""))</f>
        <v/>
      </c>
    </row>
    <row r="221" customFormat="false" ht="1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7" t="str">
        <f aca="false">IF(B221="","",IF(COUNTIF($B$2:B221,B221)=1,MAX($AV$1:AV220)+1,""))</f>
        <v/>
      </c>
    </row>
    <row r="222" customFormat="false" ht="1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7" t="str">
        <f aca="false">IF(B222="","",IF(COUNTIF($B$2:B222,B222)=1,MAX($AV$1:AV221)+1,""))</f>
        <v/>
      </c>
    </row>
    <row r="223" customFormat="false" ht="1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7" t="str">
        <f aca="false">IF(B223="","",IF(COUNTIF($B$2:B223,B223)=1,MAX($AV$1:AV222)+1,""))</f>
        <v/>
      </c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7" t="str">
        <f aca="false">IF(B224="","",IF(COUNTIF($B$2:B224,B224)=1,MAX($AV$1:AV223)+1,""))</f>
        <v/>
      </c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7" t="str">
        <f aca="false">IF(B225="","",IF(COUNTIF($B$2:B225,B225)=1,MAX($AV$1:AV224)+1,""))</f>
        <v/>
      </c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7" t="str">
        <f aca="false">IF(B226="","",IF(COUNTIF($B$2:B226,B226)=1,MAX($AV$1:AV225)+1,""))</f>
        <v/>
      </c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7" t="str">
        <f aca="false">IF(B227="","",IF(COUNTIF($B$2:B227,B227)=1,MAX($AV$1:AV226)+1,""))</f>
        <v/>
      </c>
    </row>
    <row r="228" customFormat="false" ht="1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7" t="str">
        <f aca="false">IF(B228="","",IF(COUNTIF($B$2:B228,B228)=1,MAX($AV$1:AV227)+1,""))</f>
        <v/>
      </c>
    </row>
    <row r="229" customFormat="false" ht="1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7" t="str">
        <f aca="false">IF(B229="","",IF(COUNTIF($B$2:B229,B229)=1,MAX($AV$1:AV228)+1,""))</f>
        <v/>
      </c>
    </row>
    <row r="230" customFormat="false" ht="1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7" t="str">
        <f aca="false">IF(B230="","",IF(COUNTIF($B$2:B230,B230)=1,MAX($AV$1:AV229)+1,""))</f>
        <v/>
      </c>
    </row>
    <row r="231" customFormat="false" ht="1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7" t="str">
        <f aca="false">IF(B231="","",IF(COUNTIF($B$2:B231,B231)=1,MAX($AV$1:AV230)+1,""))</f>
        <v/>
      </c>
    </row>
    <row r="232" customFormat="false" ht="1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7" t="str">
        <f aca="false">IF(B232="","",IF(COUNTIF($B$2:B232,B232)=1,MAX($AV$1:AV231)+1,""))</f>
        <v/>
      </c>
    </row>
    <row r="233" customFormat="false" ht="1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7" t="str">
        <f aca="false">IF(B233="","",IF(COUNTIF($B$2:B233,B233)=1,MAX($AV$1:AV232)+1,""))</f>
        <v/>
      </c>
    </row>
    <row r="234" customFormat="false" ht="1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7" t="str">
        <f aca="false">IF(B234="","",IF(COUNTIF($B$2:B234,B234)=1,MAX($AV$1:AV233)+1,""))</f>
        <v/>
      </c>
    </row>
    <row r="235" customFormat="false" ht="1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7" t="str">
        <f aca="false">IF(B235="","",IF(COUNTIF($B$2:B235,B235)=1,MAX($AV$1:AV234)+1,""))</f>
        <v/>
      </c>
    </row>
    <row r="236" customFormat="false" ht="1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7" t="str">
        <f aca="false">IF(B236="","",IF(COUNTIF($B$2:B236,B236)=1,MAX($AV$1:AV235)+1,""))</f>
        <v/>
      </c>
    </row>
    <row r="237" customFormat="false" ht="1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7" t="str">
        <f aca="false">IF(B237="","",IF(COUNTIF($B$2:B237,B237)=1,MAX($AV$1:AV236)+1,""))</f>
        <v/>
      </c>
    </row>
    <row r="238" customFormat="false" ht="1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7" t="str">
        <f aca="false">IF(B238="","",IF(COUNTIF($B$2:B238,B238)=1,MAX($AV$1:AV237)+1,""))</f>
        <v/>
      </c>
    </row>
    <row r="239" customFormat="false" ht="1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7" t="str">
        <f aca="false">IF(B239="","",IF(COUNTIF($B$2:B239,B239)=1,MAX($AV$1:AV238)+1,""))</f>
        <v/>
      </c>
    </row>
    <row r="240" customFormat="false" ht="1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7" t="str">
        <f aca="false">IF(B240="","",IF(COUNTIF($B$2:B240,B240)=1,MAX($AV$1:AV239)+1,""))</f>
        <v/>
      </c>
    </row>
    <row r="241" customFormat="false" ht="1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7" t="str">
        <f aca="false">IF(B241="","",IF(COUNTIF($B$2:B241,B241)=1,MAX($AV$1:AV240)+1,""))</f>
        <v/>
      </c>
    </row>
    <row r="242" customFormat="false" ht="1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7" t="str">
        <f aca="false">IF(B242="","",IF(COUNTIF($B$2:B242,B242)=1,MAX($AV$1:AV241)+1,""))</f>
        <v/>
      </c>
    </row>
    <row r="243" customFormat="false" ht="1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7" t="str">
        <f aca="false">IF(B243="","",IF(COUNTIF($B$2:B243,B243)=1,MAX($AV$1:AV242)+1,""))</f>
        <v/>
      </c>
    </row>
    <row r="244" customFormat="false" ht="1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7" t="str">
        <f aca="false">IF(B244="","",IF(COUNTIF($B$2:B244,B244)=1,MAX($AV$1:AV243)+1,""))</f>
        <v/>
      </c>
    </row>
    <row r="245" customFormat="false" ht="1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7" t="str">
        <f aca="false">IF(B245="","",IF(COUNTIF($B$2:B245,B245)=1,MAX($AV$1:AV244)+1,""))</f>
        <v/>
      </c>
    </row>
    <row r="246" customFormat="false" ht="1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7" t="str">
        <f aca="false">IF(B246="","",IF(COUNTIF($B$2:B246,B246)=1,MAX($AV$1:AV245)+1,""))</f>
        <v/>
      </c>
    </row>
    <row r="247" customFormat="false" ht="1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7" t="str">
        <f aca="false">IF(B247="","",IF(COUNTIF($B$2:B247,B247)=1,MAX($AV$1:AV246)+1,""))</f>
        <v/>
      </c>
    </row>
    <row r="248" customFormat="false" ht="1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7" t="str">
        <f aca="false">IF(B248="","",IF(COUNTIF($B$2:B248,B248)=1,MAX($AV$1:AV247)+1,""))</f>
        <v/>
      </c>
    </row>
    <row r="249" customFormat="false" ht="1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7" t="str">
        <f aca="false">IF(B249="","",IF(COUNTIF($B$2:B249,B249)=1,MAX($AV$1:AV248)+1,""))</f>
        <v/>
      </c>
    </row>
    <row r="250" customFormat="false" ht="1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7" t="str">
        <f aca="false">IF(B250="","",IF(COUNTIF($B$2:B250,B250)=1,MAX($AV$1:AV249)+1,""))</f>
        <v/>
      </c>
    </row>
    <row r="251" customFormat="false" ht="1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7" t="str">
        <f aca="false">IF(B251="","",IF(COUNTIF($B$2:B251,B251)=1,MAX($AV$1:AV250)+1,""))</f>
        <v/>
      </c>
    </row>
    <row r="252" customFormat="false" ht="1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7" t="str">
        <f aca="false">IF(B252="","",IF(COUNTIF($B$2:B252,B252)=1,MAX($AV$1:AV251)+1,""))</f>
        <v/>
      </c>
    </row>
    <row r="253" customFormat="false" ht="1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7" t="str">
        <f aca="false">IF(B253="","",IF(COUNTIF($B$2:B253,B253)=1,MAX($AV$1:AV252)+1,""))</f>
        <v/>
      </c>
    </row>
    <row r="254" customFormat="false" ht="1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7" t="str">
        <f aca="false">IF(B254="","",IF(COUNTIF($B$2:B254,B254)=1,MAX($AV$1:AV253)+1,""))</f>
        <v/>
      </c>
    </row>
    <row r="255" customFormat="false" ht="1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7" t="str">
        <f aca="false">IF(B255="","",IF(COUNTIF($B$2:B255,B255)=1,MAX($AV$1:AV254)+1,""))</f>
        <v/>
      </c>
    </row>
    <row r="256" customFormat="false" ht="1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7" t="str">
        <f aca="false">IF(B256="","",IF(COUNTIF($B$2:B256,B256)=1,MAX($AV$1:AV255)+1,""))</f>
        <v/>
      </c>
    </row>
    <row r="257" customFormat="false" ht="1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7" t="str">
        <f aca="false">IF(B257="","",IF(COUNTIF($B$2:B257,B257)=1,MAX($AV$1:AV256)+1,""))</f>
        <v/>
      </c>
    </row>
    <row r="258" customFormat="false" ht="1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7" t="str">
        <f aca="false">IF(B258="","",IF(COUNTIF($B$2:B258,B258)=1,MAX($AV$1:AV257)+1,""))</f>
        <v/>
      </c>
    </row>
    <row r="259" customFormat="false" ht="1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7" t="str">
        <f aca="false">IF(B259="","",IF(COUNTIF($B$2:B259,B259)=1,MAX($AV$1:AV258)+1,""))</f>
        <v/>
      </c>
    </row>
    <row r="260" customFormat="false" ht="1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7" t="str">
        <f aca="false">IF(B260="","",IF(COUNTIF($B$2:B260,B260)=1,MAX($AV$1:AV259)+1,""))</f>
        <v/>
      </c>
    </row>
    <row r="261" customFormat="false" ht="1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7" t="str">
        <f aca="false">IF(B261="","",IF(COUNTIF($B$2:B261,B261)=1,MAX($AV$1:AV260)+1,""))</f>
        <v/>
      </c>
    </row>
    <row r="262" customFormat="false" ht="1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7" t="str">
        <f aca="false">IF(B262="","",IF(COUNTIF($B$2:B262,B262)=1,MAX($AV$1:AV261)+1,""))</f>
        <v/>
      </c>
    </row>
    <row r="263" customFormat="false" ht="1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7" t="str">
        <f aca="false">IF(B263="","",IF(COUNTIF($B$2:B263,B263)=1,MAX($AV$1:AV262)+1,""))</f>
        <v/>
      </c>
    </row>
    <row r="264" customFormat="false" ht="1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7" t="str">
        <f aca="false">IF(B264="","",IF(COUNTIF($B$2:B264,B264)=1,MAX($AV$1:AV263)+1,""))</f>
        <v/>
      </c>
    </row>
    <row r="265" customFormat="false" ht="1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7" t="str">
        <f aca="false">IF(B265="","",IF(COUNTIF($B$2:B265,B265)=1,MAX($AV$1:AV264)+1,""))</f>
        <v/>
      </c>
    </row>
    <row r="266" customFormat="false" ht="1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7" t="str">
        <f aca="false">IF(B266="","",IF(COUNTIF($B$2:B266,B266)=1,MAX($AV$1:AV265)+1,""))</f>
        <v/>
      </c>
    </row>
    <row r="267" customFormat="false" ht="1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7" t="str">
        <f aca="false">IF(B267="","",IF(COUNTIF($B$2:B267,B267)=1,MAX($AV$1:AV266)+1,""))</f>
        <v/>
      </c>
    </row>
    <row r="268" customFormat="false" ht="1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7" t="str">
        <f aca="false">IF(B268="","",IF(COUNTIF($B$2:B268,B268)=1,MAX($AV$1:AV267)+1,""))</f>
        <v/>
      </c>
    </row>
    <row r="269" customFormat="false" ht="1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7" t="str">
        <f aca="false">IF(B269="","",IF(COUNTIF($B$2:B269,B269)=1,MAX($AV$1:AV268)+1,""))</f>
        <v/>
      </c>
    </row>
    <row r="270" customFormat="false" ht="1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7" t="str">
        <f aca="false">IF(B270="","",IF(COUNTIF($B$2:B270,B270)=1,MAX($AV$1:AV269)+1,""))</f>
        <v/>
      </c>
    </row>
    <row r="271" customFormat="false" ht="1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7" t="str">
        <f aca="false">IF(B271="","",IF(COUNTIF($B$2:B271,B271)=1,MAX($AV$1:AV270)+1,""))</f>
        <v/>
      </c>
    </row>
    <row r="272" customFormat="false" ht="1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7" t="str">
        <f aca="false">IF(B272="","",IF(COUNTIF($B$2:B272,B272)=1,MAX($AV$1:AV271)+1,""))</f>
        <v/>
      </c>
    </row>
    <row r="273" customFormat="false" ht="1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7" t="str">
        <f aca="false">IF(B273="","",IF(COUNTIF($B$2:B273,B273)=1,MAX($AV$1:AV272)+1,""))</f>
        <v/>
      </c>
    </row>
    <row r="274" customFormat="false" ht="1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7" t="str">
        <f aca="false">IF(B274="","",IF(COUNTIF($B$2:B274,B274)=1,MAX($AV$1:AV273)+1,""))</f>
        <v/>
      </c>
    </row>
    <row r="275" customFormat="false" ht="1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7" t="str">
        <f aca="false">IF(B275="","",IF(COUNTIF($B$2:B275,B275)=1,MAX($AV$1:AV274)+1,""))</f>
        <v/>
      </c>
    </row>
    <row r="276" customFormat="false" ht="1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7" t="str">
        <f aca="false">IF(B276="","",IF(COUNTIF($B$2:B276,B276)=1,MAX($AV$1:AV275)+1,""))</f>
        <v/>
      </c>
    </row>
    <row r="277" customFormat="false" ht="1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7" t="str">
        <f aca="false">IF(B277="","",IF(COUNTIF($B$2:B277,B277)=1,MAX($AV$1:AV276)+1,""))</f>
        <v/>
      </c>
    </row>
    <row r="278" customFormat="false" ht="1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7" t="str">
        <f aca="false">IF(B278="","",IF(COUNTIF($B$2:B278,B278)=1,MAX($AV$1:AV277)+1,""))</f>
        <v/>
      </c>
    </row>
    <row r="279" customFormat="false" ht="1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7" t="str">
        <f aca="false">IF(B279="","",IF(COUNTIF($B$2:B279,B279)=1,MAX($AV$1:AV278)+1,""))</f>
        <v/>
      </c>
    </row>
    <row r="280" customFormat="false" ht="1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7" t="str">
        <f aca="false">IF(B280="","",IF(COUNTIF($B$2:B280,B280)=1,MAX($AV$1:AV279)+1,""))</f>
        <v/>
      </c>
    </row>
    <row r="281" customFormat="false" ht="1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7" t="str">
        <f aca="false">IF(B281="","",IF(COUNTIF($B$2:B281,B281)=1,MAX($AV$1:AV280)+1,""))</f>
        <v/>
      </c>
    </row>
    <row r="282" customFormat="false" ht="1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7" t="str">
        <f aca="false">IF(B282="","",IF(COUNTIF($B$2:B282,B282)=1,MAX($AV$1:AV281)+1,""))</f>
        <v/>
      </c>
    </row>
    <row r="283" customFormat="false" ht="1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7" t="str">
        <f aca="false">IF(B283="","",IF(COUNTIF($B$2:B283,B283)=1,MAX($AV$1:AV282)+1,""))</f>
        <v/>
      </c>
    </row>
    <row r="284" customFormat="false" ht="1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7" t="str">
        <f aca="false">IF(B284="","",IF(COUNTIF($B$2:B284,B284)=1,MAX($AV$1:AV283)+1,""))</f>
        <v/>
      </c>
    </row>
    <row r="285" customFormat="false" ht="1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7" t="str">
        <f aca="false">IF(B285="","",IF(COUNTIF($B$2:B285,B285)=1,MAX($AV$1:AV284)+1,""))</f>
        <v/>
      </c>
    </row>
    <row r="286" customFormat="false" ht="1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7" t="str">
        <f aca="false">IF(B286="","",IF(COUNTIF($B$2:B286,B286)=1,MAX($AV$1:AV285)+1,""))</f>
        <v/>
      </c>
    </row>
    <row r="287" customFormat="false" ht="1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7" t="str">
        <f aca="false">IF(B287="","",IF(COUNTIF($B$2:B287,B287)=1,MAX($AV$1:AV286)+1,""))</f>
        <v/>
      </c>
    </row>
    <row r="288" customFormat="false" ht="1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7" t="str">
        <f aca="false">IF(B288="","",IF(COUNTIF($B$2:B288,B288)=1,MAX($AV$1:AV287)+1,""))</f>
        <v/>
      </c>
    </row>
    <row r="289" customFormat="false" ht="1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7" t="str">
        <f aca="false">IF(B289="","",IF(COUNTIF($B$2:B289,B289)=1,MAX($AV$1:AV288)+1,""))</f>
        <v/>
      </c>
    </row>
    <row r="290" customFormat="false" ht="1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7" t="str">
        <f aca="false">IF(B290="","",IF(COUNTIF($B$2:B290,B290)=1,MAX($AV$1:AV289)+1,""))</f>
        <v/>
      </c>
    </row>
    <row r="291" customFormat="false" ht="1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7" t="str">
        <f aca="false">IF(B291="","",IF(COUNTIF($B$2:B291,B291)=1,MAX($AV$1:AV290)+1,""))</f>
        <v/>
      </c>
    </row>
    <row r="292" customFormat="false" ht="1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7" t="str">
        <f aca="false">IF(B292="","",IF(COUNTIF($B$2:B292,B292)=1,MAX($AV$1:AV291)+1,""))</f>
        <v/>
      </c>
    </row>
    <row r="293" customFormat="false" ht="1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7" t="str">
        <f aca="false">IF(B293="","",IF(COUNTIF($B$2:B293,B293)=1,MAX($AV$1:AV292)+1,""))</f>
        <v/>
      </c>
    </row>
    <row r="294" customFormat="false" ht="1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7" t="str">
        <f aca="false">IF(B294="","",IF(COUNTIF($B$2:B294,B294)=1,MAX($AV$1:AV293)+1,""))</f>
        <v/>
      </c>
    </row>
    <row r="295" customFormat="false" ht="1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7" t="str">
        <f aca="false">IF(B295="","",IF(COUNTIF($B$2:B295,B295)=1,MAX($AV$1:AV294)+1,""))</f>
        <v/>
      </c>
    </row>
    <row r="296" customFormat="false" ht="1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7" t="str">
        <f aca="false">IF(B296="","",IF(COUNTIF($B$2:B296,B296)=1,MAX($AV$1:AV295)+1,""))</f>
        <v/>
      </c>
    </row>
    <row r="297" customFormat="false" ht="1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7" t="str">
        <f aca="false">IF(B297="","",IF(COUNTIF($B$2:B297,B297)=1,MAX($AV$1:AV296)+1,""))</f>
        <v/>
      </c>
    </row>
    <row r="298" customFormat="false" ht="1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7" t="str">
        <f aca="false">IF(B298="","",IF(COUNTIF($B$2:B298,B298)=1,MAX($AV$1:AV297)+1,""))</f>
        <v/>
      </c>
    </row>
    <row r="299" customFormat="false" ht="1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7" t="str">
        <f aca="false">IF(B299="","",IF(COUNTIF($B$2:B299,B299)=1,MAX($AV$1:AV298)+1,""))</f>
        <v/>
      </c>
    </row>
    <row r="300" customFormat="false" ht="1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7" t="str">
        <f aca="false">IF(B300="","",IF(COUNTIF($B$2:B300,B300)=1,MAX($AV$1:AV299)+1,""))</f>
        <v/>
      </c>
    </row>
    <row r="301" customFormat="false" ht="1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7" t="str">
        <f aca="false">IF(B301="","",IF(COUNTIF($B$2:B301,B301)=1,MAX($AV$1:AV300)+1,""))</f>
        <v/>
      </c>
    </row>
    <row r="302" customFormat="false" ht="1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7" t="str">
        <f aca="false">IF(B302="","",IF(COUNTIF($B$2:B302,B302)=1,MAX($AV$1:AV301)+1,""))</f>
        <v/>
      </c>
    </row>
    <row r="303" customFormat="false" ht="1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7" t="str">
        <f aca="false">IF(B303="","",IF(COUNTIF($B$2:B303,B303)=1,MAX($AV$1:AV302)+1,""))</f>
        <v/>
      </c>
    </row>
    <row r="304" customFormat="false" ht="1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7" t="str">
        <f aca="false">IF(B304="","",IF(COUNTIF($B$2:B304,B304)=1,MAX($AV$1:AV303)+1,""))</f>
        <v/>
      </c>
    </row>
    <row r="305" customFormat="false" ht="1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7" t="str">
        <f aca="false">IF(B305="","",IF(COUNTIF($B$2:B305,B305)=1,MAX($AV$1:AV304)+1,""))</f>
        <v/>
      </c>
    </row>
    <row r="306" customFormat="false" ht="1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7" t="str">
        <f aca="false">IF(B306="","",IF(COUNTIF($B$2:B306,B306)=1,MAX($AV$1:AV305)+1,""))</f>
        <v/>
      </c>
    </row>
    <row r="307" customFormat="false" ht="1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7" t="str">
        <f aca="false">IF(B307="","",IF(COUNTIF($B$2:B307,B307)=1,MAX($AV$1:AV306)+1,""))</f>
        <v/>
      </c>
    </row>
    <row r="308" customFormat="false" ht="1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7" t="str">
        <f aca="false">IF(B308="","",IF(COUNTIF($B$2:B308,B308)=1,MAX($AV$1:AV307)+1,""))</f>
        <v/>
      </c>
    </row>
    <row r="309" customFormat="false" ht="1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7" t="str">
        <f aca="false">IF(B309="","",IF(COUNTIF($B$2:B309,B309)=1,MAX($AV$1:AV308)+1,""))</f>
        <v/>
      </c>
    </row>
    <row r="310" customFormat="false" ht="1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7" t="str">
        <f aca="false">IF(B310="","",IF(COUNTIF($B$2:B310,B310)=1,MAX($AV$1:AV309)+1,""))</f>
        <v/>
      </c>
    </row>
    <row r="311" customFormat="false" ht="1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7" t="str">
        <f aca="false">IF(B311="","",IF(COUNTIF($B$2:B311,B311)=1,MAX($AV$1:AV310)+1,""))</f>
        <v/>
      </c>
    </row>
    <row r="312" customFormat="false" ht="1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7" t="str">
        <f aca="false">IF(B312="","",IF(COUNTIF($B$2:B312,B312)=1,MAX($AV$1:AV311)+1,""))</f>
        <v/>
      </c>
    </row>
    <row r="313" customFormat="false" ht="1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7" t="str">
        <f aca="false">IF(B313="","",IF(COUNTIF($B$2:B313,B313)=1,MAX($AV$1:AV312)+1,""))</f>
        <v/>
      </c>
    </row>
    <row r="314" customFormat="false" ht="1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7" t="str">
        <f aca="false">IF(B314="","",IF(COUNTIF($B$2:B314,B314)=1,MAX($AV$1:AV313)+1,""))</f>
        <v/>
      </c>
    </row>
    <row r="315" customFormat="false" ht="1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7" t="str">
        <f aca="false">IF(B315="","",IF(COUNTIF($B$2:B315,B315)=1,MAX($AV$1:AV314)+1,""))</f>
        <v/>
      </c>
    </row>
    <row r="316" customFormat="false" ht="1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7" t="str">
        <f aca="false">IF(B316="","",IF(COUNTIF($B$2:B316,B316)=1,MAX($AV$1:AV315)+1,""))</f>
        <v/>
      </c>
    </row>
    <row r="317" customFormat="false" ht="1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7" t="str">
        <f aca="false">IF(B317="","",IF(COUNTIF($B$2:B317,B317)=1,MAX($AV$1:AV316)+1,""))</f>
        <v/>
      </c>
    </row>
    <row r="318" customFormat="false" ht="1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7" t="str">
        <f aca="false">IF(B318="","",IF(COUNTIF($B$2:B318,B318)=1,MAX($AV$1:AV317)+1,""))</f>
        <v/>
      </c>
    </row>
    <row r="319" customFormat="false" ht="1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7" t="str">
        <f aca="false">IF(B319="","",IF(COUNTIF($B$2:B319,B319)=1,MAX($AV$1:AV318)+1,""))</f>
        <v/>
      </c>
    </row>
    <row r="320" customFormat="false" ht="1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7" t="str">
        <f aca="false">IF(B320="","",IF(COUNTIF($B$2:B320,B320)=1,MAX($AV$1:AV319)+1,""))</f>
        <v/>
      </c>
    </row>
    <row r="321" customFormat="false" ht="1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7" t="str">
        <f aca="false">IF(B321="","",IF(COUNTIF($B$2:B321,B321)=1,MAX($AV$1:AV320)+1,""))</f>
        <v/>
      </c>
    </row>
    <row r="322" customFormat="false" ht="1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7" t="str">
        <f aca="false">IF(B322="","",IF(COUNTIF($B$2:B322,B322)=1,MAX($AV$1:AV321)+1,""))</f>
        <v/>
      </c>
    </row>
    <row r="323" customFormat="false" ht="1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7" t="str">
        <f aca="false">IF(B323="","",IF(COUNTIF($B$2:B323,B323)=1,MAX($AV$1:AV322)+1,""))</f>
        <v/>
      </c>
    </row>
    <row r="324" customFormat="false" ht="1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7" t="str">
        <f aca="false">IF(B324="","",IF(COUNTIF($B$2:B324,B324)=1,MAX($AV$1:AV323)+1,""))</f>
        <v/>
      </c>
    </row>
    <row r="325" customFormat="false" ht="1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7" t="str">
        <f aca="false">IF(B325="","",IF(COUNTIF($B$2:B325,B325)=1,MAX($AV$1:AV324)+1,""))</f>
        <v/>
      </c>
    </row>
    <row r="326" customFormat="false" ht="1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7" t="str">
        <f aca="false">IF(B326="","",IF(COUNTIF($B$2:B326,B326)=1,MAX($AV$1:AV325)+1,""))</f>
        <v/>
      </c>
    </row>
    <row r="327" customFormat="false" ht="1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7" t="str">
        <f aca="false">IF(B327="","",IF(COUNTIF($B$2:B327,B327)=1,MAX($AV$1:AV326)+1,""))</f>
        <v/>
      </c>
    </row>
    <row r="328" customFormat="false" ht="1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7" t="str">
        <f aca="false">IF(B328="","",IF(COUNTIF($B$2:B328,B328)=1,MAX($AV$1:AV327)+1,""))</f>
        <v/>
      </c>
    </row>
    <row r="329" customFormat="false" ht="1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7" t="str">
        <f aca="false">IF(B329="","",IF(COUNTIF($B$2:B329,B329)=1,MAX($AV$1:AV328)+1,""))</f>
        <v/>
      </c>
    </row>
    <row r="330" customFormat="false" ht="1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7" t="str">
        <f aca="false">IF(B330="","",IF(COUNTIF($B$2:B330,B330)=1,MAX($AV$1:AV329)+1,""))</f>
        <v/>
      </c>
    </row>
    <row r="331" customFormat="false" ht="1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7" t="str">
        <f aca="false">IF(B331="","",IF(COUNTIF($B$2:B331,B331)=1,MAX($AV$1:AV330)+1,""))</f>
        <v/>
      </c>
    </row>
    <row r="332" customFormat="false" ht="1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7" t="str">
        <f aca="false">IF(B332="","",IF(COUNTIF($B$2:B332,B332)=1,MAX($AV$1:AV331)+1,""))</f>
        <v/>
      </c>
    </row>
    <row r="333" customFormat="false" ht="1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7" t="str">
        <f aca="false">IF(B333="","",IF(COUNTIF($B$2:B333,B333)=1,MAX($AV$1:AV332)+1,""))</f>
        <v/>
      </c>
    </row>
    <row r="334" customFormat="false" ht="1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7" t="str">
        <f aca="false">IF(B334="","",IF(COUNTIF($B$2:B334,B334)=1,MAX($AV$1:AV333)+1,""))</f>
        <v/>
      </c>
    </row>
    <row r="335" customFormat="false" ht="1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7" t="str">
        <f aca="false">IF(B335="","",IF(COUNTIF($B$2:B335,B335)=1,MAX($AV$1:AV334)+1,""))</f>
        <v/>
      </c>
    </row>
    <row r="336" customFormat="false" ht="1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7" t="str">
        <f aca="false">IF(B336="","",IF(COUNTIF($B$2:B336,B336)=1,MAX($AV$1:AV335)+1,""))</f>
        <v/>
      </c>
    </row>
    <row r="337" customFormat="false" ht="1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7" t="str">
        <f aca="false">IF(B337="","",IF(COUNTIF($B$2:B337,B337)=1,MAX($AV$1:AV336)+1,""))</f>
        <v/>
      </c>
    </row>
    <row r="338" customFormat="false" ht="1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7" t="str">
        <f aca="false">IF(B338="","",IF(COUNTIF($B$2:B338,B338)=1,MAX($AV$1:AV337)+1,""))</f>
        <v/>
      </c>
    </row>
    <row r="339" customFormat="false" ht="1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7" t="str">
        <f aca="false">IF(B339="","",IF(COUNTIF($B$2:B339,B339)=1,MAX($AV$1:AV338)+1,""))</f>
        <v/>
      </c>
    </row>
    <row r="340" customFormat="false" ht="1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7" t="str">
        <f aca="false">IF(B340="","",IF(COUNTIF($B$2:B340,B340)=1,MAX($AV$1:AV339)+1,""))</f>
        <v/>
      </c>
    </row>
    <row r="341" customFormat="false" ht="1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7" t="str">
        <f aca="false">IF(B341="","",IF(COUNTIF($B$2:B341,B341)=1,MAX($AV$1:AV340)+1,""))</f>
        <v/>
      </c>
    </row>
    <row r="342" customFormat="false" ht="1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7" t="str">
        <f aca="false">IF(B342="","",IF(COUNTIF($B$2:B342,B342)=1,MAX($AV$1:AV341)+1,""))</f>
        <v/>
      </c>
    </row>
    <row r="343" customFormat="false" ht="1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7" t="str">
        <f aca="false">IF(B343="","",IF(COUNTIF($B$2:B343,B343)=1,MAX($AV$1:AV342)+1,""))</f>
        <v/>
      </c>
    </row>
    <row r="344" customFormat="false" ht="1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7" t="str">
        <f aca="false">IF(B344="","",IF(COUNTIF($B$2:B344,B344)=1,MAX($AV$1:AV343)+1,""))</f>
        <v/>
      </c>
    </row>
    <row r="345" customFormat="false" ht="1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7" t="str">
        <f aca="false">IF(B345="","",IF(COUNTIF($B$2:B345,B345)=1,MAX($AV$1:AV344)+1,""))</f>
        <v/>
      </c>
    </row>
    <row r="346" customFormat="false" ht="1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7" t="str">
        <f aca="false">IF(B346="","",IF(COUNTIF($B$2:B346,B346)=1,MAX($AV$1:AV345)+1,""))</f>
        <v/>
      </c>
    </row>
    <row r="347" customFormat="false" ht="1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7" t="str">
        <f aca="false">IF(B347="","",IF(COUNTIF($B$2:B347,B347)=1,MAX($AV$1:AV346)+1,""))</f>
        <v/>
      </c>
    </row>
    <row r="348" customFormat="false" ht="1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7" t="str">
        <f aca="false">IF(B348="","",IF(COUNTIF($B$2:B348,B348)=1,MAX($AV$1:AV347)+1,""))</f>
        <v/>
      </c>
    </row>
    <row r="349" customFormat="false" ht="1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7" t="str">
        <f aca="false">IF(B349="","",IF(COUNTIF($B$2:B349,B349)=1,MAX($AV$1:AV348)+1,""))</f>
        <v/>
      </c>
    </row>
    <row r="350" customFormat="false" ht="1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7" t="str">
        <f aca="false">IF(B350="","",IF(COUNTIF($B$2:B350,B350)=1,MAX($AV$1:AV349)+1,""))</f>
        <v/>
      </c>
    </row>
    <row r="351" customFormat="false" ht="1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7" t="str">
        <f aca="false">IF(B351="","",IF(COUNTIF($B$2:B351,B351)=1,MAX($AV$1:AV350)+1,""))</f>
        <v/>
      </c>
    </row>
    <row r="352" customFormat="false" ht="1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7" t="str">
        <f aca="false">IF(B352="","",IF(COUNTIF($B$2:B352,B352)=1,MAX($AV$1:AV351)+1,""))</f>
        <v/>
      </c>
    </row>
    <row r="353" customFormat="false" ht="1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7" t="str">
        <f aca="false">IF(B353="","",IF(COUNTIF($B$2:B353,B353)=1,MAX($AV$1:AV352)+1,""))</f>
        <v/>
      </c>
    </row>
    <row r="354" customFormat="false" ht="1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7" t="str">
        <f aca="false">IF(B354="","",IF(COUNTIF($B$2:B354,B354)=1,MAX($AV$1:AV353)+1,""))</f>
        <v/>
      </c>
    </row>
    <row r="355" customFormat="false" ht="1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7" t="str">
        <f aca="false">IF(B355="","",IF(COUNTIF($B$2:B355,B355)=1,MAX($AV$1:AV354)+1,""))</f>
        <v/>
      </c>
    </row>
    <row r="356" customFormat="false" ht="1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7" t="str">
        <f aca="false">IF(B356="","",IF(COUNTIF($B$2:B356,B356)=1,MAX($AV$1:AV355)+1,""))</f>
        <v/>
      </c>
    </row>
    <row r="357" customFormat="false" ht="1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7" t="str">
        <f aca="false">IF(B357="","",IF(COUNTIF($B$2:B357,B357)=1,MAX($AV$1:AV356)+1,""))</f>
        <v/>
      </c>
    </row>
    <row r="358" customFormat="false" ht="1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7" t="str">
        <f aca="false">IF(B358="","",IF(COUNTIF($B$2:B358,B358)=1,MAX($AV$1:AV357)+1,""))</f>
        <v/>
      </c>
    </row>
    <row r="359" customFormat="false" ht="1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7" t="str">
        <f aca="false">IF(B359="","",IF(COUNTIF($B$2:B359,B359)=1,MAX($AV$1:AV358)+1,""))</f>
        <v/>
      </c>
    </row>
    <row r="360" customFormat="false" ht="1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7" t="str">
        <f aca="false">IF(B360="","",IF(COUNTIF($B$2:B360,B360)=1,MAX($AV$1:AV359)+1,""))</f>
        <v/>
      </c>
    </row>
    <row r="361" customFormat="false" ht="1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7" t="str">
        <f aca="false">IF(B361="","",IF(COUNTIF($B$2:B361,B361)=1,MAX($AV$1:AV360)+1,""))</f>
        <v/>
      </c>
    </row>
    <row r="362" customFormat="false" ht="1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7" t="str">
        <f aca="false">IF(B362="","",IF(COUNTIF($B$2:B362,B362)=1,MAX($AV$1:AV361)+1,""))</f>
        <v/>
      </c>
    </row>
    <row r="363" customFormat="false" ht="1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7" t="str">
        <f aca="false">IF(B363="","",IF(COUNTIF($B$2:B363,B363)=1,MAX($AV$1:AV362)+1,""))</f>
        <v/>
      </c>
    </row>
    <row r="364" customFormat="false" ht="1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7" t="str">
        <f aca="false">IF(B364="","",IF(COUNTIF($B$2:B364,B364)=1,MAX($AV$1:AV363)+1,""))</f>
        <v/>
      </c>
    </row>
    <row r="365" customFormat="false" ht="1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7" t="str">
        <f aca="false">IF(B365="","",IF(COUNTIF($B$2:B365,B365)=1,MAX($AV$1:AV364)+1,""))</f>
        <v/>
      </c>
    </row>
    <row r="366" customFormat="false" ht="1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7" t="str">
        <f aca="false">IF(B366="","",IF(COUNTIF($B$2:B366,B366)=1,MAX($AV$1:AV365)+1,""))</f>
        <v/>
      </c>
    </row>
    <row r="367" customFormat="false" ht="1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7" t="str">
        <f aca="false">IF(B367="","",IF(COUNTIF($B$2:B367,B367)=1,MAX($AV$1:AV366)+1,""))</f>
        <v/>
      </c>
    </row>
    <row r="368" customFormat="false" ht="1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7" t="str">
        <f aca="false">IF(B368="","",IF(COUNTIF($B$2:B368,B368)=1,MAX($AV$1:AV367)+1,""))</f>
        <v/>
      </c>
    </row>
    <row r="369" customFormat="false" ht="1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7" t="str">
        <f aca="false">IF(B369="","",IF(COUNTIF($B$2:B369,B369)=1,MAX($AV$1:AV368)+1,""))</f>
        <v/>
      </c>
    </row>
    <row r="370" customFormat="false" ht="1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7" t="str">
        <f aca="false">IF(B370="","",IF(COUNTIF($B$2:B370,B370)=1,MAX($AV$1:AV369)+1,""))</f>
        <v/>
      </c>
    </row>
    <row r="371" customFormat="false" ht="1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7" t="str">
        <f aca="false">IF(B371="","",IF(COUNTIF($B$2:B371,B371)=1,MAX($AV$1:AV370)+1,""))</f>
        <v/>
      </c>
    </row>
    <row r="372" customFormat="false" ht="1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7" t="str">
        <f aca="false">IF(B372="","",IF(COUNTIF($B$2:B372,B372)=1,MAX($AV$1:AV371)+1,""))</f>
        <v/>
      </c>
    </row>
    <row r="373" customFormat="false" ht="1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7" t="str">
        <f aca="false">IF(B373="","",IF(COUNTIF($B$2:B373,B373)=1,MAX($AV$1:AV372)+1,""))</f>
        <v/>
      </c>
    </row>
    <row r="374" customFormat="false" ht="1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7" t="str">
        <f aca="false">IF(B374="","",IF(COUNTIF($B$2:B374,B374)=1,MAX($AV$1:AV373)+1,""))</f>
        <v/>
      </c>
    </row>
    <row r="375" customFormat="false" ht="1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7" t="str">
        <f aca="false">IF(B375="","",IF(COUNTIF($B$2:B375,B375)=1,MAX($AV$1:AV374)+1,""))</f>
        <v/>
      </c>
    </row>
    <row r="376" customFormat="false" ht="1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7" t="str">
        <f aca="false">IF(B376="","",IF(COUNTIF($B$2:B376,B376)=1,MAX($AV$1:AV375)+1,""))</f>
        <v/>
      </c>
    </row>
    <row r="377" customFormat="false" ht="1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7" t="str">
        <f aca="false">IF(B377="","",IF(COUNTIF($B$2:B377,B377)=1,MAX($AV$1:AV376)+1,""))</f>
        <v/>
      </c>
    </row>
    <row r="378" customFormat="false" ht="1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7" t="str">
        <f aca="false">IF(B378="","",IF(COUNTIF($B$2:B378,B378)=1,MAX($AV$1:AV377)+1,""))</f>
        <v/>
      </c>
    </row>
    <row r="379" customFormat="false" ht="1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7" t="str">
        <f aca="false">IF(B379="","",IF(COUNTIF($B$2:B379,B379)=1,MAX($AV$1:AV378)+1,""))</f>
        <v/>
      </c>
    </row>
    <row r="380" customFormat="false" ht="1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7" t="str">
        <f aca="false">IF(B380="","",IF(COUNTIF($B$2:B380,B380)=1,MAX($AV$1:AV379)+1,""))</f>
        <v/>
      </c>
    </row>
    <row r="381" customFormat="false" ht="1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7" t="str">
        <f aca="false">IF(B381="","",IF(COUNTIF($B$2:B381,B381)=1,MAX($AV$1:AV380)+1,""))</f>
        <v/>
      </c>
    </row>
    <row r="382" customFormat="false" ht="1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7" t="str">
        <f aca="false">IF(B382="","",IF(COUNTIF($B$2:B382,B382)=1,MAX($AV$1:AV381)+1,""))</f>
        <v/>
      </c>
    </row>
    <row r="383" customFormat="false" ht="1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7" t="str">
        <f aca="false">IF(B383="","",IF(COUNTIF($B$2:B383,B383)=1,MAX($AV$1:AV382)+1,""))</f>
        <v/>
      </c>
    </row>
    <row r="384" customFormat="false" ht="1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7" t="str">
        <f aca="false">IF(B384="","",IF(COUNTIF($B$2:B384,B384)=1,MAX($AV$1:AV383)+1,""))</f>
        <v/>
      </c>
    </row>
    <row r="385" customFormat="false" ht="1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7" t="str">
        <f aca="false">IF(B385="","",IF(COUNTIF($B$2:B385,B385)=1,MAX($AV$1:AV384)+1,""))</f>
        <v/>
      </c>
    </row>
    <row r="386" customFormat="false" ht="1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7" t="str">
        <f aca="false">IF(B386="","",IF(COUNTIF($B$2:B386,B386)=1,MAX($AV$1:AV385)+1,""))</f>
        <v/>
      </c>
    </row>
    <row r="387" customFormat="false" ht="1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7" t="str">
        <f aca="false">IF(B387="","",IF(COUNTIF($B$2:B387,B387)=1,MAX($AV$1:AV386)+1,""))</f>
        <v/>
      </c>
    </row>
    <row r="388" customFormat="false" ht="1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7" t="str">
        <f aca="false">IF(B388="","",IF(COUNTIF($B$2:B388,B388)=1,MAX($AV$1:AV387)+1,""))</f>
        <v/>
      </c>
    </row>
    <row r="389" customFormat="false" ht="1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7" t="str">
        <f aca="false">IF(B389="","",IF(COUNTIF($B$2:B389,B389)=1,MAX($AV$1:AV388)+1,""))</f>
        <v/>
      </c>
    </row>
    <row r="390" customFormat="false" ht="1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7" t="str">
        <f aca="false">IF(B390="","",IF(COUNTIF($B$2:B390,B390)=1,MAX($AV$1:AV389)+1,""))</f>
        <v/>
      </c>
    </row>
    <row r="391" customFormat="false" ht="1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7" t="str">
        <f aca="false">IF(B391="","",IF(COUNTIF($B$2:B391,B391)=1,MAX($AV$1:AV390)+1,""))</f>
        <v/>
      </c>
    </row>
    <row r="392" customFormat="false" ht="1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7" t="str">
        <f aca="false">IF(B392="","",IF(COUNTIF($B$2:B392,B392)=1,MAX($AV$1:AV391)+1,""))</f>
        <v/>
      </c>
    </row>
    <row r="393" customFormat="false" ht="1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7" t="str">
        <f aca="false">IF(B393="","",IF(COUNTIF($B$2:B393,B393)=1,MAX($AV$1:AV392)+1,""))</f>
        <v/>
      </c>
    </row>
    <row r="394" customFormat="false" ht="1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7" t="str">
        <f aca="false">IF(B394="","",IF(COUNTIF($B$2:B394,B394)=1,MAX($AV$1:AV393)+1,""))</f>
        <v/>
      </c>
    </row>
    <row r="395" customFormat="false" ht="1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7" t="str">
        <f aca="false">IF(B395="","",IF(COUNTIF($B$2:B395,B395)=1,MAX($AV$1:AV394)+1,""))</f>
        <v/>
      </c>
    </row>
    <row r="396" customFormat="false" ht="1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7" t="str">
        <f aca="false">IF(B396="","",IF(COUNTIF($B$2:B396,B396)=1,MAX($AV$1:AV395)+1,""))</f>
        <v/>
      </c>
    </row>
    <row r="397" customFormat="false" ht="1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7" t="str">
        <f aca="false">IF(B397="","",IF(COUNTIF($B$2:B397,B397)=1,MAX($AV$1:AV396)+1,""))</f>
        <v/>
      </c>
    </row>
    <row r="398" customFormat="false" ht="1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7" t="str">
        <f aca="false">IF(B398="","",IF(COUNTIF($B$2:B398,B398)=1,MAX($AV$1:AV397)+1,""))</f>
        <v/>
      </c>
    </row>
    <row r="399" customFormat="false" ht="1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7" t="str">
        <f aca="false">IF(B399="","",IF(COUNTIF($B$2:B399,B399)=1,MAX($AV$1:AV398)+1,""))</f>
        <v/>
      </c>
    </row>
    <row r="400" customFormat="false" ht="1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7" t="str">
        <f aca="false">IF(B400="","",IF(COUNTIF($B$2:B400,B400)=1,MAX($AV$1:AV399)+1,""))</f>
        <v/>
      </c>
    </row>
    <row r="401" customFormat="false" ht="1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7" t="str">
        <f aca="false">IF(B401="","",IF(COUNTIF($B$2:B401,B401)=1,MAX($AV$1:AV400)+1,""))</f>
        <v/>
      </c>
    </row>
    <row r="402" customFormat="false" ht="1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7" t="str">
        <f aca="false">IF(B402="","",IF(COUNTIF($B$2:B402,B402)=1,MAX($AV$1:AV401)+1,""))</f>
        <v/>
      </c>
    </row>
    <row r="403" customFormat="false" ht="1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7" t="str">
        <f aca="false">IF(B403="","",IF(COUNTIF($B$2:B403,B403)=1,MAX($AV$1:AV402)+1,""))</f>
        <v/>
      </c>
    </row>
    <row r="404" customFormat="false" ht="1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7" t="str">
        <f aca="false">IF(B404="","",IF(COUNTIF($B$2:B404,B404)=1,MAX($AV$1:AV403)+1,""))</f>
        <v/>
      </c>
    </row>
    <row r="405" customFormat="false" ht="1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7" t="str">
        <f aca="false">IF(B405="","",IF(COUNTIF($B$2:B405,B405)=1,MAX($AV$1:AV404)+1,""))</f>
        <v/>
      </c>
    </row>
    <row r="406" customFormat="false" ht="1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7" t="str">
        <f aca="false">IF(B406="","",IF(COUNTIF($B$2:B406,B406)=1,MAX($AV$1:AV405)+1,""))</f>
        <v/>
      </c>
    </row>
    <row r="407" customFormat="false" ht="1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7" t="str">
        <f aca="false">IF(B407="","",IF(COUNTIF($B$2:B407,B407)=1,MAX($AV$1:AV406)+1,""))</f>
        <v/>
      </c>
    </row>
    <row r="408" customFormat="false" ht="1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7" t="str">
        <f aca="false">IF(B408="","",IF(COUNTIF($B$2:B408,B408)=1,MAX($AV$1:AV407)+1,""))</f>
        <v/>
      </c>
    </row>
    <row r="409" customFormat="false" ht="1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7" t="str">
        <f aca="false">IF(B409="","",IF(COUNTIF($B$2:B409,B409)=1,MAX($AV$1:AV408)+1,""))</f>
        <v/>
      </c>
    </row>
    <row r="410" customFormat="false" ht="1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7" t="str">
        <f aca="false">IF(B410="","",IF(COUNTIF($B$2:B410,B410)=1,MAX($AV$1:AV409)+1,""))</f>
        <v/>
      </c>
    </row>
    <row r="411" customFormat="false" ht="1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7" t="str">
        <f aca="false">IF(B411="","",IF(COUNTIF($B$2:B411,B411)=1,MAX($AV$1:AV410)+1,""))</f>
        <v/>
      </c>
    </row>
    <row r="412" customFormat="false" ht="1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7" t="str">
        <f aca="false">IF(B412="","",IF(COUNTIF($B$2:B412,B412)=1,MAX($AV$1:AV411)+1,""))</f>
        <v/>
      </c>
    </row>
    <row r="413" customFormat="false" ht="1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7" t="str">
        <f aca="false">IF(B413="","",IF(COUNTIF($B$2:B413,B413)=1,MAX($AV$1:AV412)+1,""))</f>
        <v/>
      </c>
    </row>
    <row r="414" customFormat="false" ht="1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7" t="str">
        <f aca="false">IF(B414="","",IF(COUNTIF($B$2:B414,B414)=1,MAX($AV$1:AV413)+1,""))</f>
        <v/>
      </c>
    </row>
    <row r="415" customFormat="false" ht="1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7" t="str">
        <f aca="false">IF(B415="","",IF(COUNTIF($B$2:B415,B415)=1,MAX($AV$1:AV414)+1,""))</f>
        <v/>
      </c>
    </row>
    <row r="416" customFormat="false" ht="1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7" t="str">
        <f aca="false">IF(B416="","",IF(COUNTIF($B$2:B416,B416)=1,MAX($AV$1:AV415)+1,""))</f>
        <v/>
      </c>
    </row>
    <row r="417" customFormat="false" ht="1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7" t="str">
        <f aca="false">IF(B417="","",IF(COUNTIF($B$2:B417,B417)=1,MAX($AV$1:AV416)+1,""))</f>
        <v/>
      </c>
    </row>
    <row r="418" customFormat="false" ht="1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7" t="str">
        <f aca="false">IF(B418="","",IF(COUNTIF($B$2:B418,B418)=1,MAX($AV$1:AV417)+1,""))</f>
        <v/>
      </c>
    </row>
    <row r="419" customFormat="false" ht="1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7" t="str">
        <f aca="false">IF(B419="","",IF(COUNTIF($B$2:B419,B419)=1,MAX($AV$1:AV418)+1,""))</f>
        <v/>
      </c>
    </row>
    <row r="420" customFormat="false" ht="1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7" t="str">
        <f aca="false">IF(B420="","",IF(COUNTIF($B$2:B420,B420)=1,MAX($AV$1:AV419)+1,""))</f>
        <v/>
      </c>
    </row>
    <row r="421" customFormat="false" ht="1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7" t="str">
        <f aca="false">IF(B421="","",IF(COUNTIF($B$2:B421,B421)=1,MAX($AV$1:AV420)+1,""))</f>
        <v/>
      </c>
    </row>
    <row r="422" customFormat="false" ht="1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7" t="str">
        <f aca="false">IF(B422="","",IF(COUNTIF($B$2:B422,B422)=1,MAX($AV$1:AV421)+1,""))</f>
        <v/>
      </c>
    </row>
    <row r="423" customFormat="false" ht="1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7" t="str">
        <f aca="false">IF(B423="","",IF(COUNTIF($B$2:B423,B423)=1,MAX($AV$1:AV422)+1,""))</f>
        <v/>
      </c>
    </row>
    <row r="424" customFormat="false" ht="1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7" t="str">
        <f aca="false">IF(B424="","",IF(COUNTIF($B$2:B424,B424)=1,MAX($AV$1:AV423)+1,""))</f>
        <v/>
      </c>
    </row>
    <row r="425" customFormat="false" ht="1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7" t="str">
        <f aca="false">IF(B425="","",IF(COUNTIF($B$2:B425,B425)=1,MAX($AV$1:AV424)+1,""))</f>
        <v/>
      </c>
    </row>
    <row r="426" customFormat="false" ht="1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7" t="str">
        <f aca="false">IF(B426="","",IF(COUNTIF($B$2:B426,B426)=1,MAX($AV$1:AV425)+1,""))</f>
        <v/>
      </c>
    </row>
    <row r="427" customFormat="false" ht="1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7" t="str">
        <f aca="false">IF(B427="","",IF(COUNTIF($B$2:B427,B427)=1,MAX($AV$1:AV426)+1,""))</f>
        <v/>
      </c>
    </row>
    <row r="428" customFormat="false" ht="1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7" t="str">
        <f aca="false">IF(B428="","",IF(COUNTIF($B$2:B428,B428)=1,MAX($AV$1:AV427)+1,""))</f>
        <v/>
      </c>
    </row>
    <row r="429" customFormat="false" ht="1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7" t="str">
        <f aca="false">IF(B429="","",IF(COUNTIF($B$2:B429,B429)=1,MAX($AV$1:AV428)+1,""))</f>
        <v/>
      </c>
    </row>
    <row r="430" customFormat="false" ht="1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7" t="str">
        <f aca="false">IF(B430="","",IF(COUNTIF($B$2:B430,B430)=1,MAX($AV$1:AV429)+1,""))</f>
        <v/>
      </c>
    </row>
    <row r="431" customFormat="false" ht="1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7" t="str">
        <f aca="false">IF(B431="","",IF(COUNTIF($B$2:B431,B431)=1,MAX($AV$1:AV430)+1,""))</f>
        <v/>
      </c>
    </row>
    <row r="432" customFormat="false" ht="1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7" t="str">
        <f aca="false">IF(B432="","",IF(COUNTIF($B$2:B432,B432)=1,MAX($AV$1:AV431)+1,""))</f>
        <v/>
      </c>
    </row>
    <row r="433" customFormat="false" ht="1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7" t="str">
        <f aca="false">IF(B433="","",IF(COUNTIF($B$2:B433,B433)=1,MAX($AV$1:AV432)+1,""))</f>
        <v/>
      </c>
    </row>
    <row r="434" customFormat="false" ht="1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7" t="str">
        <f aca="false">IF(B434="","",IF(COUNTIF($B$2:B434,B434)=1,MAX($AV$1:AV433)+1,""))</f>
        <v/>
      </c>
    </row>
    <row r="435" customFormat="false" ht="1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7" t="str">
        <f aca="false">IF(B435="","",IF(COUNTIF($B$2:B435,B435)=1,MAX($AV$1:AV434)+1,""))</f>
        <v/>
      </c>
    </row>
    <row r="436" customFormat="false" ht="1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7" t="str">
        <f aca="false">IF(B436="","",IF(COUNTIF($B$2:B436,B436)=1,MAX($AV$1:AV435)+1,""))</f>
        <v/>
      </c>
    </row>
    <row r="437" customFormat="false" ht="1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7" t="str">
        <f aca="false">IF(B437="","",IF(COUNTIF($B$2:B437,B437)=1,MAX($AV$1:AV436)+1,""))</f>
        <v/>
      </c>
    </row>
    <row r="438" customFormat="false" ht="1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7" t="str">
        <f aca="false">IF(B438="","",IF(COUNTIF($B$2:B438,B438)=1,MAX($AV$1:AV437)+1,""))</f>
        <v/>
      </c>
    </row>
    <row r="439" customFormat="false" ht="1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7" t="str">
        <f aca="false">IF(B439="","",IF(COUNTIF($B$2:B439,B439)=1,MAX($AV$1:AV438)+1,""))</f>
        <v/>
      </c>
    </row>
    <row r="440" customFormat="false" ht="1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7" t="str">
        <f aca="false">IF(B440="","",IF(COUNTIF($B$2:B440,B440)=1,MAX($AV$1:AV439)+1,""))</f>
        <v/>
      </c>
    </row>
    <row r="441" customFormat="false" ht="1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7" t="str">
        <f aca="false">IF(B441="","",IF(COUNTIF($B$2:B441,B441)=1,MAX($AV$1:AV440)+1,""))</f>
        <v/>
      </c>
    </row>
    <row r="442" customFormat="false" ht="1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7" t="str">
        <f aca="false">IF(B442="","",IF(COUNTIF($B$2:B442,B442)=1,MAX($AV$1:AV441)+1,""))</f>
        <v/>
      </c>
    </row>
    <row r="443" customFormat="false" ht="1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7" t="str">
        <f aca="false">IF(B443="","",IF(COUNTIF($B$2:B443,B443)=1,MAX($AV$1:AV442)+1,""))</f>
        <v/>
      </c>
    </row>
    <row r="444" customFormat="false" ht="1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7" t="str">
        <f aca="false">IF(B444="","",IF(COUNTIF($B$2:B444,B444)=1,MAX($AV$1:AV443)+1,""))</f>
        <v/>
      </c>
    </row>
    <row r="445" customFormat="false" ht="1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7" t="str">
        <f aca="false">IF(B445="","",IF(COUNTIF($B$2:B445,B445)=1,MAX($AV$1:AV444)+1,""))</f>
        <v/>
      </c>
    </row>
    <row r="446" customFormat="false" ht="1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7" t="str">
        <f aca="false">IF(B446="","",IF(COUNTIF($B$2:B446,B446)=1,MAX($AV$1:AV445)+1,""))</f>
        <v/>
      </c>
    </row>
    <row r="447" customFormat="false" ht="1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7" t="str">
        <f aca="false">IF(B447="","",IF(COUNTIF($B$2:B447,B447)=1,MAX($AV$1:AV446)+1,""))</f>
        <v/>
      </c>
    </row>
    <row r="448" customFormat="false" ht="1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7" t="str">
        <f aca="false">IF(B448="","",IF(COUNTIF($B$2:B448,B448)=1,MAX($AV$1:AV447)+1,""))</f>
        <v/>
      </c>
    </row>
    <row r="449" customFormat="false" ht="1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7" t="str">
        <f aca="false">IF(B449="","",IF(COUNTIF($B$2:B449,B449)=1,MAX($AV$1:AV448)+1,""))</f>
        <v/>
      </c>
    </row>
    <row r="450" customFormat="false" ht="1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7" t="str">
        <f aca="false">IF(B450="","",IF(COUNTIF($B$2:B450,B450)=1,MAX($AV$1:AV449)+1,""))</f>
        <v/>
      </c>
    </row>
    <row r="451" customFormat="false" ht="1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7" t="str">
        <f aca="false">IF(B451="","",IF(COUNTIF($B$2:B451,B451)=1,MAX($AV$1:AV450)+1,""))</f>
        <v/>
      </c>
    </row>
    <row r="452" customFormat="false" ht="1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7" t="str">
        <f aca="false">IF(B452="","",IF(COUNTIF($B$2:B452,B452)=1,MAX($AV$1:AV451)+1,""))</f>
        <v/>
      </c>
    </row>
    <row r="453" customFormat="false" ht="1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7" t="str">
        <f aca="false">IF(B453="","",IF(COUNTIF($B$2:B453,B453)=1,MAX($AV$1:AV452)+1,""))</f>
        <v/>
      </c>
    </row>
    <row r="454" customFormat="false" ht="1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7" t="str">
        <f aca="false">IF(B454="","",IF(COUNTIF($B$2:B454,B454)=1,MAX($AV$1:AV453)+1,""))</f>
        <v/>
      </c>
    </row>
    <row r="455" customFormat="false" ht="1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7" t="str">
        <f aca="false">IF(B455="","",IF(COUNTIF($B$2:B455,B455)=1,MAX($AV$1:AV454)+1,""))</f>
        <v/>
      </c>
    </row>
    <row r="456" customFormat="false" ht="1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7" t="str">
        <f aca="false">IF(B456="","",IF(COUNTIF($B$2:B456,B456)=1,MAX($AV$1:AV455)+1,""))</f>
        <v/>
      </c>
    </row>
    <row r="457" customFormat="false" ht="1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7" t="str">
        <f aca="false">IF(B457="","",IF(COUNTIF($B$2:B457,B457)=1,MAX($AV$1:AV456)+1,""))</f>
        <v/>
      </c>
    </row>
    <row r="458" customFormat="false" ht="1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7" t="str">
        <f aca="false">IF(B458="","",IF(COUNTIF($B$2:B458,B458)=1,MAX($AV$1:AV457)+1,""))</f>
        <v/>
      </c>
    </row>
    <row r="459" customFormat="false" ht="1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7" t="str">
        <f aca="false">IF(B459="","",IF(COUNTIF($B$2:B459,B459)=1,MAX($AV$1:AV458)+1,""))</f>
        <v/>
      </c>
    </row>
    <row r="460" customFormat="false" ht="1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7" t="str">
        <f aca="false">IF(B460="","",IF(COUNTIF($B$2:B460,B460)=1,MAX($AV$1:AV459)+1,""))</f>
        <v/>
      </c>
    </row>
    <row r="461" customFormat="false" ht="1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7" t="str">
        <f aca="false">IF(B461="","",IF(COUNTIF($B$2:B461,B461)=1,MAX($AV$1:AV460)+1,""))</f>
        <v/>
      </c>
    </row>
    <row r="462" customFormat="false" ht="1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7" t="str">
        <f aca="false">IF(B462="","",IF(COUNTIF($B$2:B462,B462)=1,MAX($AV$1:AV461)+1,""))</f>
        <v/>
      </c>
    </row>
    <row r="463" customFormat="false" ht="1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7" t="str">
        <f aca="false">IF(B463="","",IF(COUNTIF($B$2:B463,B463)=1,MAX($AV$1:AV462)+1,""))</f>
        <v/>
      </c>
    </row>
    <row r="464" customFormat="false" ht="1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7" t="str">
        <f aca="false">IF(B464="","",IF(COUNTIF($B$2:B464,B464)=1,MAX($AV$1:AV463)+1,""))</f>
        <v/>
      </c>
    </row>
    <row r="465" customFormat="false" ht="1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7" t="str">
        <f aca="false">IF(B465="","",IF(COUNTIF($B$2:B465,B465)=1,MAX($AV$1:AV464)+1,""))</f>
        <v/>
      </c>
    </row>
    <row r="466" customFormat="false" ht="1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7" t="str">
        <f aca="false">IF(B466="","",IF(COUNTIF($B$2:B466,B466)=1,MAX($AV$1:AV465)+1,""))</f>
        <v/>
      </c>
    </row>
    <row r="467" customFormat="false" ht="1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7" t="str">
        <f aca="false">IF(B467="","",IF(COUNTIF($B$2:B467,B467)=1,MAX($AV$1:AV466)+1,""))</f>
        <v/>
      </c>
    </row>
    <row r="468" customFormat="false" ht="1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7" t="str">
        <f aca="false">IF(B468="","",IF(COUNTIF($B$2:B468,B468)=1,MAX($AV$1:AV467)+1,""))</f>
        <v/>
      </c>
    </row>
    <row r="469" customFormat="false" ht="1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7" t="str">
        <f aca="false">IF(B469="","",IF(COUNTIF($B$2:B469,B469)=1,MAX($AV$1:AV468)+1,""))</f>
        <v/>
      </c>
    </row>
    <row r="470" customFormat="false" ht="1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7" t="str">
        <f aca="false">IF(B470="","",IF(COUNTIF($B$2:B470,B470)=1,MAX($AV$1:AV469)+1,""))</f>
        <v/>
      </c>
    </row>
    <row r="471" customFormat="false" ht="1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7" t="str">
        <f aca="false">IF(B471="","",IF(COUNTIF($B$2:B471,B471)=1,MAX($AV$1:AV470)+1,""))</f>
        <v/>
      </c>
    </row>
    <row r="472" customFormat="false" ht="1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7" t="str">
        <f aca="false">IF(B472="","",IF(COUNTIF($B$2:B472,B472)=1,MAX($AV$1:AV471)+1,""))</f>
        <v/>
      </c>
    </row>
    <row r="473" customFormat="false" ht="1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7" t="str">
        <f aca="false">IF(B473="","",IF(COUNTIF($B$2:B473,B473)=1,MAX($AV$1:AV472)+1,""))</f>
        <v/>
      </c>
    </row>
    <row r="474" customFormat="false" ht="1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7" t="str">
        <f aca="false">IF(B474="","",IF(COUNTIF($B$2:B474,B474)=1,MAX($AV$1:AV473)+1,""))</f>
        <v/>
      </c>
    </row>
    <row r="475" customFormat="false" ht="1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7" t="str">
        <f aca="false">IF(B475="","",IF(COUNTIF($B$2:B475,B475)=1,MAX($AV$1:AV474)+1,""))</f>
        <v/>
      </c>
    </row>
    <row r="476" customFormat="false" ht="1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7" t="str">
        <f aca="false">IF(B476="","",IF(COUNTIF($B$2:B476,B476)=1,MAX($AV$1:AV475)+1,""))</f>
        <v/>
      </c>
    </row>
    <row r="477" customFormat="false" ht="1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7" t="str">
        <f aca="false">IF(B477="","",IF(COUNTIF($B$2:B477,B477)=1,MAX($AV$1:AV476)+1,""))</f>
        <v/>
      </c>
    </row>
    <row r="478" customFormat="false" ht="1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7" t="str">
        <f aca="false">IF(B478="","",IF(COUNTIF($B$2:B478,B478)=1,MAX($AV$1:AV477)+1,""))</f>
        <v/>
      </c>
    </row>
    <row r="479" customFormat="false" ht="1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7" t="str">
        <f aca="false">IF(B479="","",IF(COUNTIF($B$2:B479,B479)=1,MAX($AV$1:AV478)+1,""))</f>
        <v/>
      </c>
    </row>
    <row r="480" customFormat="false" ht="1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7" t="str">
        <f aca="false">IF(B480="","",IF(COUNTIF($B$2:B480,B480)=1,MAX($AV$1:AV479)+1,""))</f>
        <v/>
      </c>
    </row>
    <row r="481" customFormat="false" ht="1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7" t="str">
        <f aca="false">IF(B481="","",IF(COUNTIF($B$2:B481,B481)=1,MAX($AV$1:AV480)+1,""))</f>
        <v/>
      </c>
    </row>
    <row r="482" customFormat="false" ht="1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7" t="str">
        <f aca="false">IF(B482="","",IF(COUNTIF($B$2:B482,B482)=1,MAX($AV$1:AV481)+1,""))</f>
        <v/>
      </c>
    </row>
    <row r="483" customFormat="false" ht="1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7" t="str">
        <f aca="false">IF(B483="","",IF(COUNTIF($B$2:B483,B483)=1,MAX($AV$1:AV482)+1,""))</f>
        <v/>
      </c>
    </row>
    <row r="484" customFormat="false" ht="1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7" t="str">
        <f aca="false">IF(B484="","",IF(COUNTIF($B$2:B484,B484)=1,MAX($AV$1:AV483)+1,""))</f>
        <v/>
      </c>
    </row>
    <row r="485" customFormat="false" ht="1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7" t="str">
        <f aca="false">IF(B485="","",IF(COUNTIF($B$2:B485,B485)=1,MAX($AV$1:AV484)+1,""))</f>
        <v/>
      </c>
    </row>
    <row r="486" customFormat="false" ht="1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7" t="str">
        <f aca="false">IF(B486="","",IF(COUNTIF($B$2:B486,B486)=1,MAX($AV$1:AV485)+1,""))</f>
        <v/>
      </c>
    </row>
    <row r="487" customFormat="false" ht="1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7" t="str">
        <f aca="false">IF(B487="","",IF(COUNTIF($B$2:B487,B487)=1,MAX($AV$1:AV486)+1,""))</f>
        <v/>
      </c>
    </row>
    <row r="488" customFormat="false" ht="1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7" t="str">
        <f aca="false">IF(B488="","",IF(COUNTIF($B$2:B488,B488)=1,MAX($AV$1:AV487)+1,""))</f>
        <v/>
      </c>
    </row>
    <row r="489" customFormat="false" ht="1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7" t="str">
        <f aca="false">IF(B489="","",IF(COUNTIF($B$2:B489,B489)=1,MAX($AV$1:AV488)+1,""))</f>
        <v/>
      </c>
    </row>
    <row r="490" customFormat="false" ht="1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7" t="str">
        <f aca="false">IF(B490="","",IF(COUNTIF($B$2:B490,B490)=1,MAX($AV$1:AV489)+1,""))</f>
        <v/>
      </c>
    </row>
    <row r="491" customFormat="false" ht="1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7" t="str">
        <f aca="false">IF(B491="","",IF(COUNTIF($B$2:B491,B491)=1,MAX($AV$1:AV490)+1,""))</f>
        <v/>
      </c>
    </row>
    <row r="492" customFormat="false" ht="1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7" t="str">
        <f aca="false">IF(B492="","",IF(COUNTIF($B$2:B492,B492)=1,MAX($AV$1:AV491)+1,""))</f>
        <v/>
      </c>
    </row>
    <row r="493" customFormat="false" ht="1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7" t="str">
        <f aca="false">IF(B493="","",IF(COUNTIF($B$2:B493,B493)=1,MAX($AV$1:AV492)+1,""))</f>
        <v/>
      </c>
    </row>
    <row r="494" customFormat="false" ht="1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7" t="str">
        <f aca="false">IF(B494="","",IF(COUNTIF($B$2:B494,B494)=1,MAX($AV$1:AV493)+1,""))</f>
        <v/>
      </c>
    </row>
    <row r="495" customFormat="false" ht="1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7" t="str">
        <f aca="false">IF(B495="","",IF(COUNTIF($B$2:B495,B495)=1,MAX($AV$1:AV494)+1,""))</f>
        <v/>
      </c>
    </row>
    <row r="496" customFormat="false" ht="1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7" t="str">
        <f aca="false">IF(B496="","",IF(COUNTIF($B$2:B496,B496)=1,MAX($AV$1:AV495)+1,""))</f>
        <v/>
      </c>
    </row>
    <row r="497" customFormat="false" ht="1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7" t="str">
        <f aca="false">IF(B497="","",IF(COUNTIF($B$2:B497,B497)=1,MAX($AV$1:AV496)+1,""))</f>
        <v/>
      </c>
    </row>
    <row r="498" customFormat="false" ht="1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7" t="str">
        <f aca="false">IF(B498="","",IF(COUNTIF($B$2:B498,B498)=1,MAX($AV$1:AV497)+1,""))</f>
        <v/>
      </c>
    </row>
    <row r="499" customFormat="false" ht="1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7" t="str">
        <f aca="false">IF(B499="","",IF(COUNTIF($B$2:B499,B499)=1,MAX($AV$1:AV498)+1,""))</f>
        <v/>
      </c>
    </row>
    <row r="500" customFormat="false" ht="1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7" t="str">
        <f aca="false">IF(B500="","",IF(COUNTIF($B$2:B500,B500)=1,MAX($AV$1:AV499)+1,""))</f>
        <v/>
      </c>
    </row>
    <row r="501" customFormat="false" ht="1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7" t="str">
        <f aca="false">IF(B501="","",IF(COUNTIF($B$2:B501,B501)=1,MAX($AV$1:AV500)+1,""))</f>
        <v/>
      </c>
    </row>
    <row r="502" customFormat="false" ht="1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7" t="str">
        <f aca="false">IF(B502="","",IF(COUNTIF($B$2:B502,B502)=1,MAX($AV$1:AV501)+1,""))</f>
        <v/>
      </c>
    </row>
    <row r="503" customFormat="false" ht="1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7" t="str">
        <f aca="false">IF(B503="","",IF(COUNTIF($B$2:B503,B503)=1,MAX($AV$1:AV502)+1,""))</f>
        <v/>
      </c>
    </row>
    <row r="504" customFormat="false" ht="1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7" t="str">
        <f aca="false">IF(B504="","",IF(COUNTIF($B$2:B504,B504)=1,MAX($AV$1:AV503)+1,""))</f>
        <v/>
      </c>
    </row>
    <row r="505" customFormat="false" ht="1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7" t="str">
        <f aca="false">IF(B505="","",IF(COUNTIF($B$2:B505,B505)=1,MAX($AV$1:AV504)+1,""))</f>
        <v/>
      </c>
    </row>
    <row r="506" customFormat="false" ht="1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7" t="str">
        <f aca="false">IF(B506="","",IF(COUNTIF($B$2:B506,B506)=1,MAX($AV$1:AV505)+1,""))</f>
        <v/>
      </c>
    </row>
    <row r="507" customFormat="false" ht="1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7" t="str">
        <f aca="false">IF(B507="","",IF(COUNTIF($B$2:B507,B507)=1,MAX($AV$1:AV506)+1,""))</f>
        <v/>
      </c>
    </row>
    <row r="508" customFormat="false" ht="1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7" t="str">
        <f aca="false">IF(B508="","",IF(COUNTIF($B$2:B508,B508)=1,MAX($AV$1:AV507)+1,""))</f>
        <v/>
      </c>
    </row>
    <row r="509" customFormat="false" ht="1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7" t="str">
        <f aca="false">IF(B509="","",IF(COUNTIF($B$2:B509,B509)=1,MAX($AV$1:AV508)+1,""))</f>
        <v/>
      </c>
    </row>
    <row r="510" customFormat="false" ht="1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7" t="str">
        <f aca="false">IF(B510="","",IF(COUNTIF($B$2:B510,B510)=1,MAX($AV$1:AV509)+1,""))</f>
        <v/>
      </c>
    </row>
    <row r="511" customFormat="false" ht="1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7" t="str">
        <f aca="false">IF(B511="","",IF(COUNTIF($B$2:B511,B511)=1,MAX($AV$1:AV510)+1,""))</f>
        <v/>
      </c>
    </row>
    <row r="512" customFormat="false" ht="1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7" t="str">
        <f aca="false">IF(B512="","",IF(COUNTIF($B$2:B512,B512)=1,MAX($AV$1:AV511)+1,""))</f>
        <v/>
      </c>
    </row>
    <row r="513" customFormat="false" ht="1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7" t="str">
        <f aca="false">IF(B513="","",IF(COUNTIF($B$2:B513,B513)=1,MAX($AV$1:AV512)+1,""))</f>
        <v/>
      </c>
    </row>
    <row r="514" customFormat="false" ht="1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7" t="str">
        <f aca="false">IF(B514="","",IF(COUNTIF($B$2:B514,B514)=1,MAX($AV$1:AV513)+1,""))</f>
        <v/>
      </c>
    </row>
    <row r="515" customFormat="false" ht="1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7" t="str">
        <f aca="false">IF(B515="","",IF(COUNTIF($B$2:B515,B515)=1,MAX($AV$1:AV514)+1,""))</f>
        <v/>
      </c>
    </row>
    <row r="516" customFormat="false" ht="1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7" t="str">
        <f aca="false">IF(B516="","",IF(COUNTIF($B$2:B516,B516)=1,MAX($AV$1:AV515)+1,""))</f>
        <v/>
      </c>
    </row>
    <row r="517" customFormat="false" ht="1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7" t="str">
        <f aca="false">IF(B517="","",IF(COUNTIF($B$2:B517,B517)=1,MAX($AV$1:AV516)+1,""))</f>
        <v/>
      </c>
    </row>
    <row r="518" customFormat="false" ht="1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7" t="str">
        <f aca="false">IF(B518="","",IF(COUNTIF($B$2:B518,B518)=1,MAX($AV$1:AV517)+1,""))</f>
        <v/>
      </c>
    </row>
    <row r="519" customFormat="false" ht="1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7" t="str">
        <f aca="false">IF(B519="","",IF(COUNTIF($B$2:B519,B519)=1,MAX($AV$1:AV518)+1,""))</f>
        <v/>
      </c>
    </row>
    <row r="520" customFormat="false" ht="1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7" t="str">
        <f aca="false">IF(B520="","",IF(COUNTIF($B$2:B520,B520)=1,MAX($AV$1:AV519)+1,""))</f>
        <v/>
      </c>
    </row>
    <row r="521" customFormat="false" ht="1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7" t="str">
        <f aca="false">IF(B521="","",IF(COUNTIF($B$2:B521,B521)=1,MAX($AV$1:AV520)+1,""))</f>
        <v/>
      </c>
    </row>
    <row r="522" customFormat="false" ht="1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7" t="str">
        <f aca="false">IF(B522="","",IF(COUNTIF($B$2:B522,B522)=1,MAX($AV$1:AV521)+1,""))</f>
        <v/>
      </c>
    </row>
    <row r="523" customFormat="false" ht="1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7" t="str">
        <f aca="false">IF(B523="","",IF(COUNTIF($B$2:B523,B523)=1,MAX($AV$1:AV522)+1,""))</f>
        <v/>
      </c>
    </row>
    <row r="524" customFormat="false" ht="1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7" t="str">
        <f aca="false">IF(B524="","",IF(COUNTIF($B$2:B524,B524)=1,MAX($AV$1:AV523)+1,""))</f>
        <v/>
      </c>
    </row>
    <row r="525" customFormat="false" ht="1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7" t="str">
        <f aca="false">IF(B525="","",IF(COUNTIF($B$2:B525,B525)=1,MAX($AV$1:AV524)+1,""))</f>
        <v/>
      </c>
    </row>
    <row r="526" customFormat="false" ht="1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7" t="str">
        <f aca="false">IF(B526="","",IF(COUNTIF($B$2:B526,B526)=1,MAX($AV$1:AV525)+1,""))</f>
        <v/>
      </c>
    </row>
    <row r="527" customFormat="false" ht="1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7" t="str">
        <f aca="false">IF(B527="","",IF(COUNTIF($B$2:B527,B527)=1,MAX($AV$1:AV526)+1,""))</f>
        <v/>
      </c>
    </row>
    <row r="528" customFormat="false" ht="1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7" t="str">
        <f aca="false">IF(B528="","",IF(COUNTIF($B$2:B528,B528)=1,MAX($AV$1:AV527)+1,""))</f>
        <v/>
      </c>
    </row>
    <row r="529" customFormat="false" ht="1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7" t="str">
        <f aca="false">IF(B529="","",IF(COUNTIF($B$2:B529,B529)=1,MAX($AV$1:AV528)+1,""))</f>
        <v/>
      </c>
    </row>
    <row r="530" customFormat="false" ht="1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7" t="str">
        <f aca="false">IF(B530="","",IF(COUNTIF($B$2:B530,B530)=1,MAX($AV$1:AV529)+1,""))</f>
        <v/>
      </c>
    </row>
    <row r="531" customFormat="false" ht="1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7" t="str">
        <f aca="false">IF(B531="","",IF(COUNTIF($B$2:B531,B531)=1,MAX($AV$1:AV530)+1,""))</f>
        <v/>
      </c>
    </row>
    <row r="532" customFormat="false" ht="1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7" t="str">
        <f aca="false">IF(B532="","",IF(COUNTIF($B$2:B532,B532)=1,MAX($AV$1:AV531)+1,""))</f>
        <v/>
      </c>
    </row>
    <row r="533" customFormat="false" ht="1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7" t="str">
        <f aca="false">IF(B533="","",IF(COUNTIF($B$2:B533,B533)=1,MAX($AV$1:AV532)+1,""))</f>
        <v/>
      </c>
    </row>
    <row r="534" customFormat="false" ht="1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7" t="str">
        <f aca="false">IF(B534="","",IF(COUNTIF($B$2:B534,B534)=1,MAX($AV$1:AV533)+1,""))</f>
        <v/>
      </c>
    </row>
    <row r="535" customFormat="false" ht="1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7" t="str">
        <f aca="false">IF(B535="","",IF(COUNTIF($B$2:B535,B535)=1,MAX($AV$1:AV534)+1,""))</f>
        <v/>
      </c>
    </row>
    <row r="536" customFormat="false" ht="1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7" t="str">
        <f aca="false">IF(B536="","",IF(COUNTIF($B$2:B536,B536)=1,MAX($AV$1:AV535)+1,""))</f>
        <v/>
      </c>
    </row>
    <row r="537" customFormat="false" ht="1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7" t="str">
        <f aca="false">IF(B537="","",IF(COUNTIF($B$2:B537,B537)=1,MAX($AV$1:AV536)+1,""))</f>
        <v/>
      </c>
    </row>
    <row r="538" customFormat="false" ht="1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7" t="str">
        <f aca="false">IF(B538="","",IF(COUNTIF($B$2:B538,B538)=1,MAX($AV$1:AV537)+1,""))</f>
        <v/>
      </c>
    </row>
    <row r="539" customFormat="false" ht="1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7" t="str">
        <f aca="false">IF(B539="","",IF(COUNTIF($B$2:B539,B539)=1,MAX($AV$1:AV538)+1,""))</f>
        <v/>
      </c>
    </row>
    <row r="540" customFormat="false" ht="1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7" t="str">
        <f aca="false">IF(B540="","",IF(COUNTIF($B$2:B540,B540)=1,MAX($AV$1:AV539)+1,""))</f>
        <v/>
      </c>
    </row>
    <row r="541" customFormat="false" ht="1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7" t="str">
        <f aca="false">IF(B541="","",IF(COUNTIF($B$2:B541,B541)=1,MAX($AV$1:AV540)+1,""))</f>
        <v/>
      </c>
    </row>
    <row r="542" customFormat="false" ht="1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7" t="str">
        <f aca="false">IF(B542="","",IF(COUNTIF($B$2:B542,B542)=1,MAX($AV$1:AV541)+1,""))</f>
        <v/>
      </c>
    </row>
    <row r="543" customFormat="false" ht="1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7" t="str">
        <f aca="false">IF(B543="","",IF(COUNTIF($B$2:B543,B543)=1,MAX($AV$1:AV542)+1,""))</f>
        <v/>
      </c>
    </row>
    <row r="544" customFormat="false" ht="1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7" t="str">
        <f aca="false">IF(B544="","",IF(COUNTIF($B$2:B544,B544)=1,MAX($AV$1:AV543)+1,""))</f>
        <v/>
      </c>
    </row>
    <row r="545" customFormat="false" ht="1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7" t="str">
        <f aca="false">IF(B545="","",IF(COUNTIF($B$2:B545,B545)=1,MAX($AV$1:AV544)+1,""))</f>
        <v/>
      </c>
    </row>
    <row r="546" customFormat="false" ht="1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7" t="str">
        <f aca="false">IF(B546="","",IF(COUNTIF($B$2:B546,B546)=1,MAX($AV$1:AV545)+1,""))</f>
        <v/>
      </c>
    </row>
    <row r="547" customFormat="false" ht="1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7" t="str">
        <f aca="false">IF(B547="","",IF(COUNTIF($B$2:B547,B547)=1,MAX($AV$1:AV546)+1,""))</f>
        <v/>
      </c>
    </row>
    <row r="548" customFormat="false" ht="1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7" t="str">
        <f aca="false">IF(B548="","",IF(COUNTIF($B$2:B548,B548)=1,MAX($AV$1:AV547)+1,""))</f>
        <v/>
      </c>
    </row>
    <row r="549" customFormat="false" ht="1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7" t="str">
        <f aca="false">IF(B549="","",IF(COUNTIF($B$2:B549,B549)=1,MAX($AV$1:AV548)+1,""))</f>
        <v/>
      </c>
    </row>
    <row r="550" customFormat="false" ht="1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7" t="str">
        <f aca="false">IF(B550="","",IF(COUNTIF($B$2:B550,B550)=1,MAX($AV$1:AV549)+1,""))</f>
        <v/>
      </c>
    </row>
    <row r="551" customFormat="false" ht="1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7" t="str">
        <f aca="false">IF(B551="","",IF(COUNTIF($B$2:B551,B551)=1,MAX($AV$1:AV550)+1,""))</f>
        <v/>
      </c>
    </row>
    <row r="552" customFormat="false" ht="1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7" t="str">
        <f aca="false">IF(B552="","",IF(COUNTIF($B$2:B552,B552)=1,MAX($AV$1:AV551)+1,""))</f>
        <v/>
      </c>
    </row>
    <row r="553" customFormat="false" ht="1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7" t="str">
        <f aca="false">IF(B553="","",IF(COUNTIF($B$2:B553,B553)=1,MAX($AV$1:AV552)+1,""))</f>
        <v/>
      </c>
    </row>
    <row r="554" customFormat="false" ht="1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7" t="str">
        <f aca="false">IF(B554="","",IF(COUNTIF($B$2:B554,B554)=1,MAX($AV$1:AV553)+1,""))</f>
        <v/>
      </c>
    </row>
    <row r="555" customFormat="false" ht="1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7" t="str">
        <f aca="false">IF(B555="","",IF(COUNTIF($B$2:B555,B555)=1,MAX($AV$1:AV554)+1,""))</f>
        <v/>
      </c>
    </row>
    <row r="556" customFormat="false" ht="1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7" t="str">
        <f aca="false">IF(B556="","",IF(COUNTIF($B$2:B556,B556)=1,MAX($AV$1:AV555)+1,""))</f>
        <v/>
      </c>
    </row>
    <row r="557" customFormat="false" ht="1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7" t="str">
        <f aca="false">IF(B557="","",IF(COUNTIF($B$2:B557,B557)=1,MAX($AV$1:AV556)+1,""))</f>
        <v/>
      </c>
    </row>
    <row r="558" customFormat="false" ht="1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7" t="str">
        <f aca="false">IF(B558="","",IF(COUNTIF($B$2:B558,B558)=1,MAX($AV$1:AV557)+1,""))</f>
        <v/>
      </c>
    </row>
    <row r="559" customFormat="false" ht="1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7" t="str">
        <f aca="false">IF(B559="","",IF(COUNTIF($B$2:B559,B559)=1,MAX($AV$1:AV558)+1,""))</f>
        <v/>
      </c>
    </row>
    <row r="560" customFormat="false" ht="1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7" t="str">
        <f aca="false">IF(B560="","",IF(COUNTIF($B$2:B560,B560)=1,MAX($AV$1:AV559)+1,""))</f>
        <v/>
      </c>
    </row>
    <row r="561" customFormat="false" ht="1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7" t="str">
        <f aca="false">IF(B561="","",IF(COUNTIF($B$2:B561,B561)=1,MAX($AV$1:AV560)+1,""))</f>
        <v/>
      </c>
    </row>
    <row r="562" customFormat="false" ht="1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7" t="str">
        <f aca="false">IF(B562="","",IF(COUNTIF($B$2:B562,B562)=1,MAX($AV$1:AV561)+1,""))</f>
        <v/>
      </c>
    </row>
    <row r="563" customFormat="false" ht="1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7" t="str">
        <f aca="false">IF(B563="","",IF(COUNTIF($B$2:B563,B563)=1,MAX($AV$1:AV562)+1,""))</f>
        <v/>
      </c>
    </row>
    <row r="564" customFormat="false" ht="1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7" t="str">
        <f aca="false">IF(B564="","",IF(COUNTIF($B$2:B564,B564)=1,MAX($AV$1:AV563)+1,""))</f>
        <v/>
      </c>
    </row>
    <row r="565" customFormat="false" ht="1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7" t="str">
        <f aca="false">IF(B565="","",IF(COUNTIF($B$2:B565,B565)=1,MAX($AV$1:AV564)+1,""))</f>
        <v/>
      </c>
    </row>
    <row r="566" customFormat="false" ht="1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7" t="str">
        <f aca="false">IF(B566="","",IF(COUNTIF($B$2:B566,B566)=1,MAX($AV$1:AV565)+1,""))</f>
        <v/>
      </c>
    </row>
    <row r="567" customFormat="false" ht="1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7" t="str">
        <f aca="false">IF(B567="","",IF(COUNTIF($B$2:B567,B567)=1,MAX($AV$1:AV566)+1,""))</f>
        <v/>
      </c>
    </row>
    <row r="568" customFormat="false" ht="1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7" t="str">
        <f aca="false">IF(B568="","",IF(COUNTIF($B$2:B568,B568)=1,MAX($AV$1:AV567)+1,""))</f>
        <v/>
      </c>
    </row>
    <row r="569" customFormat="false" ht="1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7" t="str">
        <f aca="false">IF(B569="","",IF(COUNTIF($B$2:B569,B569)=1,MAX($AV$1:AV568)+1,""))</f>
        <v/>
      </c>
    </row>
    <row r="570" customFormat="false" ht="1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7" t="str">
        <f aca="false">IF(B570="","",IF(COUNTIF($B$2:B570,B570)=1,MAX($AV$1:AV569)+1,""))</f>
        <v/>
      </c>
    </row>
    <row r="571" customFormat="false" ht="1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7" t="str">
        <f aca="false">IF(B571="","",IF(COUNTIF($B$2:B571,B571)=1,MAX($AV$1:AV570)+1,""))</f>
        <v/>
      </c>
    </row>
    <row r="572" customFormat="false" ht="1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7" t="str">
        <f aca="false">IF(B572="","",IF(COUNTIF($B$2:B572,B572)=1,MAX($AV$1:AV571)+1,""))</f>
        <v/>
      </c>
    </row>
    <row r="573" customFormat="false" ht="1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7" t="str">
        <f aca="false">IF(B573="","",IF(COUNTIF($B$2:B573,B573)=1,MAX($AV$1:AV572)+1,""))</f>
        <v/>
      </c>
    </row>
    <row r="574" customFormat="false" ht="1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7" t="str">
        <f aca="false">IF(B574="","",IF(COUNTIF($B$2:B574,B574)=1,MAX($AV$1:AV573)+1,""))</f>
        <v/>
      </c>
    </row>
    <row r="575" customFormat="false" ht="1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7" t="str">
        <f aca="false">IF(B575="","",IF(COUNTIF($B$2:B575,B575)=1,MAX($AV$1:AV574)+1,""))</f>
        <v/>
      </c>
    </row>
    <row r="576" customFormat="false" ht="1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7" t="str">
        <f aca="false">IF(B576="","",IF(COUNTIF($B$2:B576,B576)=1,MAX($AV$1:AV575)+1,""))</f>
        <v/>
      </c>
    </row>
    <row r="577" customFormat="false" ht="1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7" t="str">
        <f aca="false">IF(B577="","",IF(COUNTIF($B$2:B577,B577)=1,MAX($AV$1:AV576)+1,""))</f>
        <v/>
      </c>
    </row>
    <row r="578" customFormat="false" ht="1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7" t="str">
        <f aca="false">IF(B578="","",IF(COUNTIF($B$2:B578,B578)=1,MAX($AV$1:AV577)+1,""))</f>
        <v/>
      </c>
    </row>
    <row r="579" customFormat="false" ht="1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7" t="str">
        <f aca="false">IF(B579="","",IF(COUNTIF($B$2:B579,B579)=1,MAX($AV$1:AV578)+1,""))</f>
        <v/>
      </c>
    </row>
    <row r="580" customFormat="false" ht="1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7" t="str">
        <f aca="false">IF(B580="","",IF(COUNTIF($B$2:B580,B580)=1,MAX($AV$1:AV579)+1,""))</f>
        <v/>
      </c>
    </row>
    <row r="581" customFormat="false" ht="1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7" t="str">
        <f aca="false">IF(B581="","",IF(COUNTIF($B$2:B581,B581)=1,MAX($AV$1:AV580)+1,""))</f>
        <v/>
      </c>
    </row>
    <row r="582" customFormat="false" ht="1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7" t="str">
        <f aca="false">IF(B582="","",IF(COUNTIF($B$2:B582,B582)=1,MAX($AV$1:AV581)+1,""))</f>
        <v/>
      </c>
    </row>
    <row r="583" customFormat="false" ht="1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7" t="str">
        <f aca="false">IF(B583="","",IF(COUNTIF($B$2:B583,B583)=1,MAX($AV$1:AV582)+1,""))</f>
        <v/>
      </c>
    </row>
    <row r="584" customFormat="false" ht="1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7" t="str">
        <f aca="false">IF(B584="","",IF(COUNTIF($B$2:B584,B584)=1,MAX($AV$1:AV583)+1,""))</f>
        <v/>
      </c>
    </row>
    <row r="585" customFormat="false" ht="1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7" t="str">
        <f aca="false">IF(B585="","",IF(COUNTIF($B$2:B585,B585)=1,MAX($AV$1:AV584)+1,""))</f>
        <v/>
      </c>
    </row>
    <row r="586" customFormat="false" ht="1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7" t="str">
        <f aca="false">IF(B586="","",IF(COUNTIF($B$2:B586,B586)=1,MAX($AV$1:AV585)+1,""))</f>
        <v/>
      </c>
    </row>
    <row r="587" customFormat="false" ht="1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7" t="str">
        <f aca="false">IF(B587="","",IF(COUNTIF($B$2:B587,B587)=1,MAX($AV$1:AV586)+1,""))</f>
        <v/>
      </c>
    </row>
    <row r="588" customFormat="false" ht="1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7" t="str">
        <f aca="false">IF(B588="","",IF(COUNTIF($B$2:B588,B588)=1,MAX($AV$1:AV587)+1,""))</f>
        <v/>
      </c>
    </row>
    <row r="589" customFormat="false" ht="1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7" t="str">
        <f aca="false">IF(B589="","",IF(COUNTIF($B$2:B589,B589)=1,MAX($AV$1:AV588)+1,""))</f>
        <v/>
      </c>
    </row>
    <row r="590" customFormat="false" ht="1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7" t="str">
        <f aca="false">IF(B590="","",IF(COUNTIF($B$2:B590,B590)=1,MAX($AV$1:AV589)+1,""))</f>
        <v/>
      </c>
    </row>
    <row r="591" customFormat="false" ht="1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7" t="str">
        <f aca="false">IF(B591="","",IF(COUNTIF($B$2:B591,B591)=1,MAX($AV$1:AV590)+1,""))</f>
        <v/>
      </c>
    </row>
    <row r="592" customFormat="false" ht="1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7" t="str">
        <f aca="false">IF(B592="","",IF(COUNTIF($B$2:B592,B592)=1,MAX($AV$1:AV591)+1,""))</f>
        <v/>
      </c>
    </row>
    <row r="593" customFormat="false" ht="1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7" t="str">
        <f aca="false">IF(B593="","",IF(COUNTIF($B$2:B593,B593)=1,MAX($AV$1:AV592)+1,""))</f>
        <v/>
      </c>
    </row>
    <row r="594" customFormat="false" ht="1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7" t="str">
        <f aca="false">IF(B594="","",IF(COUNTIF($B$2:B594,B594)=1,MAX($AV$1:AV593)+1,""))</f>
        <v/>
      </c>
    </row>
    <row r="595" customFormat="false" ht="1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7" t="str">
        <f aca="false">IF(B595="","",IF(COUNTIF($B$2:B595,B595)=1,MAX($AV$1:AV594)+1,""))</f>
        <v/>
      </c>
    </row>
    <row r="596" customFormat="false" ht="1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7" t="str">
        <f aca="false">IF(B596="","",IF(COUNTIF($B$2:B596,B596)=1,MAX($AV$1:AV595)+1,""))</f>
        <v/>
      </c>
    </row>
    <row r="597" customFormat="false" ht="1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7" t="str">
        <f aca="false">IF(B597="","",IF(COUNTIF($B$2:B597,B597)=1,MAX($AV$1:AV596)+1,""))</f>
        <v/>
      </c>
    </row>
    <row r="598" customFormat="false" ht="1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7" t="str">
        <f aca="false">IF(B598="","",IF(COUNTIF($B$2:B598,B598)=1,MAX($AV$1:AV597)+1,""))</f>
        <v/>
      </c>
    </row>
    <row r="599" customFormat="false" ht="1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7" t="str">
        <f aca="false">IF(B599="","",IF(COUNTIF($B$2:B599,B599)=1,MAX($AV$1:AV598)+1,""))</f>
        <v/>
      </c>
    </row>
    <row r="600" customFormat="false" ht="1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7" t="str">
        <f aca="false">IF(B600="","",IF(COUNTIF($B$2:B600,B600)=1,MAX($AV$1:AV599)+1,""))</f>
        <v/>
      </c>
    </row>
    <row r="601" customFormat="false" ht="1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7" t="str">
        <f aca="false">IF(B601="","",IF(COUNTIF($B$2:B601,B601)=1,MAX($AV$1:AV600)+1,""))</f>
        <v/>
      </c>
    </row>
    <row r="602" customFormat="false" ht="1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7" t="str">
        <f aca="false">IF(B602="","",IF(COUNTIF($B$2:B602,B602)=1,MAX($AV$1:AV601)+1,""))</f>
        <v/>
      </c>
    </row>
    <row r="603" customFormat="false" ht="1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7" t="str">
        <f aca="false">IF(B603="","",IF(COUNTIF($B$2:B603,B603)=1,MAX($AV$1:AV602)+1,""))</f>
        <v/>
      </c>
    </row>
    <row r="604" customFormat="false" ht="1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7" t="str">
        <f aca="false">IF(B604="","",IF(COUNTIF($B$2:B604,B604)=1,MAX($AV$1:AV603)+1,""))</f>
        <v/>
      </c>
    </row>
    <row r="605" customFormat="false" ht="1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7" t="str">
        <f aca="false">IF(B605="","",IF(COUNTIF($B$2:B605,B605)=1,MAX($AV$1:AV604)+1,""))</f>
        <v/>
      </c>
    </row>
    <row r="606" customFormat="false" ht="1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7" t="str">
        <f aca="false">IF(B606="","",IF(COUNTIF($B$2:B606,B606)=1,MAX($AV$1:AV605)+1,""))</f>
        <v/>
      </c>
    </row>
    <row r="607" customFormat="false" ht="1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7" t="str">
        <f aca="false">IF(B607="","",IF(COUNTIF($B$2:B607,B607)=1,MAX($AV$1:AV606)+1,""))</f>
        <v/>
      </c>
    </row>
    <row r="608" customFormat="false" ht="1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7" t="str">
        <f aca="false">IF(B608="","",IF(COUNTIF($B$2:B608,B608)=1,MAX($AV$1:AV607)+1,""))</f>
        <v/>
      </c>
    </row>
    <row r="609" customFormat="false" ht="1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7" t="str">
        <f aca="false">IF(B609="","",IF(COUNTIF($B$2:B609,B609)=1,MAX($AV$1:AV608)+1,""))</f>
        <v/>
      </c>
    </row>
    <row r="610" customFormat="false" ht="1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7" t="str">
        <f aca="false">IF(B610="","",IF(COUNTIF($B$2:B610,B610)=1,MAX($AV$1:AV609)+1,""))</f>
        <v/>
      </c>
    </row>
    <row r="611" customFormat="false" ht="1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7" t="str">
        <f aca="false">IF(B611="","",IF(COUNTIF($B$2:B611,B611)=1,MAX($AV$1:AV610)+1,""))</f>
        <v/>
      </c>
    </row>
    <row r="612" customFormat="false" ht="1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7" t="str">
        <f aca="false">IF(B612="","",IF(COUNTIF($B$2:B612,B612)=1,MAX($AV$1:AV611)+1,""))</f>
        <v/>
      </c>
    </row>
    <row r="613" customFormat="false" ht="1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7" t="str">
        <f aca="false">IF(B613="","",IF(COUNTIF($B$2:B613,B613)=1,MAX($AV$1:AV612)+1,""))</f>
        <v/>
      </c>
    </row>
    <row r="614" customFormat="false" ht="1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7" t="str">
        <f aca="false">IF(B614="","",IF(COUNTIF($B$2:B614,B614)=1,MAX($AV$1:AV613)+1,""))</f>
        <v/>
      </c>
    </row>
    <row r="615" customFormat="false" ht="1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7" t="str">
        <f aca="false">IF(B615="","",IF(COUNTIF($B$2:B615,B615)=1,MAX($AV$1:AV614)+1,""))</f>
        <v/>
      </c>
    </row>
    <row r="616" customFormat="false" ht="1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7" t="str">
        <f aca="false">IF(B616="","",IF(COUNTIF($B$2:B616,B616)=1,MAX($AV$1:AV615)+1,""))</f>
        <v/>
      </c>
    </row>
    <row r="617" customFormat="false" ht="1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7" t="str">
        <f aca="false">IF(B617="","",IF(COUNTIF($B$2:B617,B617)=1,MAX($AV$1:AV616)+1,""))</f>
        <v/>
      </c>
    </row>
    <row r="618" customFormat="false" ht="1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7" t="str">
        <f aca="false">IF(B618="","",IF(COUNTIF($B$2:B618,B618)=1,MAX($AV$1:AV617)+1,""))</f>
        <v/>
      </c>
    </row>
    <row r="619" customFormat="false" ht="1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7" t="str">
        <f aca="false">IF(B619="","",IF(COUNTIF($B$2:B619,B619)=1,MAX($AV$1:AV618)+1,""))</f>
        <v/>
      </c>
    </row>
    <row r="620" customFormat="false" ht="1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7" t="str">
        <f aca="false">IF(B620="","",IF(COUNTIF($B$2:B620,B620)=1,MAX($AV$1:AV619)+1,""))</f>
        <v/>
      </c>
    </row>
    <row r="621" customFormat="false" ht="1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7" t="str">
        <f aca="false">IF(B621="","",IF(COUNTIF($B$2:B621,B621)=1,MAX($AV$1:AV620)+1,""))</f>
        <v/>
      </c>
    </row>
    <row r="622" customFormat="false" ht="1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7" t="str">
        <f aca="false">IF(B622="","",IF(COUNTIF($B$2:B622,B622)=1,MAX($AV$1:AV621)+1,""))</f>
        <v/>
      </c>
    </row>
    <row r="623" customFormat="false" ht="1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7" t="str">
        <f aca="false">IF(B623="","",IF(COUNTIF($B$2:B623,B623)=1,MAX($AV$1:AV622)+1,""))</f>
        <v/>
      </c>
    </row>
    <row r="624" customFormat="false" ht="1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7" t="str">
        <f aca="false">IF(B624="","",IF(COUNTIF($B$2:B624,B624)=1,MAX($AV$1:AV623)+1,""))</f>
        <v/>
      </c>
    </row>
    <row r="625" customFormat="false" ht="1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7" t="str">
        <f aca="false">IF(B625="","",IF(COUNTIF($B$2:B625,B625)=1,MAX($AV$1:AV624)+1,""))</f>
        <v/>
      </c>
    </row>
    <row r="626" customFormat="false" ht="1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7" t="str">
        <f aca="false">IF(B626="","",IF(COUNTIF($B$2:B626,B626)=1,MAX($AV$1:AV625)+1,""))</f>
        <v/>
      </c>
    </row>
    <row r="627" customFormat="false" ht="1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7" t="str">
        <f aca="false">IF(B627="","",IF(COUNTIF($B$2:B627,B627)=1,MAX($AV$1:AV626)+1,""))</f>
        <v/>
      </c>
    </row>
    <row r="628" customFormat="false" ht="1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7" t="str">
        <f aca="false">IF(B628="","",IF(COUNTIF($B$2:B628,B628)=1,MAX($AV$1:AV627)+1,""))</f>
        <v/>
      </c>
    </row>
    <row r="629" customFormat="false" ht="1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7" t="str">
        <f aca="false">IF(B629="","",IF(COUNTIF($B$2:B629,B629)=1,MAX($AV$1:AV628)+1,""))</f>
        <v/>
      </c>
    </row>
    <row r="630" customFormat="false" ht="1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7" t="str">
        <f aca="false">IF(B630="","",IF(COUNTIF($B$2:B630,B630)=1,MAX($AV$1:AV629)+1,""))</f>
        <v/>
      </c>
    </row>
    <row r="631" customFormat="false" ht="1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7" t="str">
        <f aca="false">IF(B631="","",IF(COUNTIF($B$2:B631,B631)=1,MAX($AV$1:AV630)+1,""))</f>
        <v/>
      </c>
    </row>
    <row r="632" customFormat="false" ht="1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7" t="str">
        <f aca="false">IF(B632="","",IF(COUNTIF($B$2:B632,B632)=1,MAX($AV$1:AV631)+1,""))</f>
        <v/>
      </c>
    </row>
    <row r="633" customFormat="false" ht="1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7" t="str">
        <f aca="false">IF(B633="","",IF(COUNTIF($B$2:B633,B633)=1,MAX($AV$1:AV632)+1,""))</f>
        <v/>
      </c>
    </row>
    <row r="634" customFormat="false" ht="1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7" t="str">
        <f aca="false">IF(B634="","",IF(COUNTIF($B$2:B634,B634)=1,MAX($AV$1:AV633)+1,""))</f>
        <v/>
      </c>
    </row>
    <row r="635" customFormat="false" ht="1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7" t="str">
        <f aca="false">IF(B635="","",IF(COUNTIF($B$2:B635,B635)=1,MAX($AV$1:AV634)+1,""))</f>
        <v/>
      </c>
    </row>
    <row r="636" customFormat="false" ht="1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7" t="str">
        <f aca="false">IF(B636="","",IF(COUNTIF($B$2:B636,B636)=1,MAX($AV$1:AV635)+1,""))</f>
        <v/>
      </c>
    </row>
    <row r="637" customFormat="false" ht="1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7" t="str">
        <f aca="false">IF(B637="","",IF(COUNTIF($B$2:B637,B637)=1,MAX($AV$1:AV636)+1,""))</f>
        <v/>
      </c>
    </row>
    <row r="638" customFormat="false" ht="1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7" t="str">
        <f aca="false">IF(B638="","",IF(COUNTIF($B$2:B638,B638)=1,MAX($AV$1:AV637)+1,""))</f>
        <v/>
      </c>
    </row>
    <row r="639" customFormat="false" ht="1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7" t="str">
        <f aca="false">IF(B639="","",IF(COUNTIF($B$2:B639,B639)=1,MAX($AV$1:AV638)+1,""))</f>
        <v/>
      </c>
    </row>
    <row r="640" customFormat="false" ht="1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7" t="str">
        <f aca="false">IF(B640="","",IF(COUNTIF($B$2:B640,B640)=1,MAX($AV$1:AV639)+1,""))</f>
        <v/>
      </c>
    </row>
    <row r="641" customFormat="false" ht="1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7" t="str">
        <f aca="false">IF(B641="","",IF(COUNTIF($B$2:B641,B641)=1,MAX($AV$1:AV640)+1,""))</f>
        <v/>
      </c>
    </row>
    <row r="642" customFormat="false" ht="1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7" t="str">
        <f aca="false">IF(B642="","",IF(COUNTIF($B$2:B642,B642)=1,MAX($AV$1:AV641)+1,""))</f>
        <v/>
      </c>
    </row>
    <row r="643" customFormat="false" ht="1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7" t="str">
        <f aca="false">IF(B643="","",IF(COUNTIF($B$2:B643,B643)=1,MAX($AV$1:AV642)+1,""))</f>
        <v/>
      </c>
    </row>
    <row r="644" customFormat="false" ht="1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7" t="str">
        <f aca="false">IF(B644="","",IF(COUNTIF($B$2:B644,B644)=1,MAX($AV$1:AV643)+1,""))</f>
        <v/>
      </c>
    </row>
    <row r="645" customFormat="false" ht="1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7" t="str">
        <f aca="false">IF(B645="","",IF(COUNTIF($B$2:B645,B645)=1,MAX($AV$1:AV644)+1,""))</f>
        <v/>
      </c>
    </row>
    <row r="646" customFormat="false" ht="1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7" t="str">
        <f aca="false">IF(B646="","",IF(COUNTIF($B$2:B646,B646)=1,MAX($AV$1:AV645)+1,""))</f>
        <v/>
      </c>
    </row>
    <row r="647" customFormat="false" ht="1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7" t="str">
        <f aca="false">IF(B647="","",IF(COUNTIF($B$2:B647,B647)=1,MAX($AV$1:AV646)+1,""))</f>
        <v/>
      </c>
    </row>
    <row r="648" customFormat="false" ht="1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7" t="str">
        <f aca="false">IF(B648="","",IF(COUNTIF($B$2:B648,B648)=1,MAX($AV$1:AV647)+1,""))</f>
        <v/>
      </c>
    </row>
    <row r="649" customFormat="false" ht="1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7" t="str">
        <f aca="false">IF(B649="","",IF(COUNTIF($B$2:B649,B649)=1,MAX($AV$1:AV648)+1,""))</f>
        <v/>
      </c>
    </row>
    <row r="650" customFormat="false" ht="1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7" t="str">
        <f aca="false">IF(B650="","",IF(COUNTIF($B$2:B650,B650)=1,MAX($AV$1:AV649)+1,""))</f>
        <v/>
      </c>
    </row>
    <row r="651" customFormat="false" ht="1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7" t="str">
        <f aca="false">IF(B651="","",IF(COUNTIF($B$2:B651,B651)=1,MAX($AV$1:AV650)+1,""))</f>
        <v/>
      </c>
    </row>
    <row r="652" customFormat="false" ht="1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7" t="str">
        <f aca="false">IF(B652="","",IF(COUNTIF($B$2:B652,B652)=1,MAX($AV$1:AV651)+1,""))</f>
        <v/>
      </c>
    </row>
    <row r="653" customFormat="false" ht="1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7" t="str">
        <f aca="false">IF(B653="","",IF(COUNTIF($B$2:B653,B653)=1,MAX($AV$1:AV652)+1,""))</f>
        <v/>
      </c>
    </row>
    <row r="654" customFormat="false" ht="1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7" t="str">
        <f aca="false">IF(B654="","",IF(COUNTIF($B$2:B654,B654)=1,MAX($AV$1:AV653)+1,""))</f>
        <v/>
      </c>
    </row>
    <row r="655" customFormat="false" ht="1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7" t="str">
        <f aca="false">IF(B655="","",IF(COUNTIF($B$2:B655,B655)=1,MAX($AV$1:AV654)+1,""))</f>
        <v/>
      </c>
    </row>
    <row r="656" customFormat="false" ht="1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7" t="str">
        <f aca="false">IF(B656="","",IF(COUNTIF($B$2:B656,B656)=1,MAX($AV$1:AV655)+1,""))</f>
        <v/>
      </c>
    </row>
    <row r="657" customFormat="false" ht="1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7" t="str">
        <f aca="false">IF(B657="","",IF(COUNTIF($B$2:B657,B657)=1,MAX($AV$1:AV656)+1,""))</f>
        <v/>
      </c>
    </row>
    <row r="658" customFormat="false" ht="1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7" t="str">
        <f aca="false">IF(B658="","",IF(COUNTIF($B$2:B658,B658)=1,MAX($AV$1:AV657)+1,""))</f>
        <v/>
      </c>
    </row>
    <row r="659" customFormat="false" ht="1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7" t="str">
        <f aca="false">IF(B659="","",IF(COUNTIF($B$2:B659,B659)=1,MAX($AV$1:AV658)+1,""))</f>
        <v/>
      </c>
    </row>
    <row r="660" customFormat="false" ht="1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7" t="str">
        <f aca="false">IF(B660="","",IF(COUNTIF($B$2:B660,B660)=1,MAX($AV$1:AV659)+1,""))</f>
        <v/>
      </c>
    </row>
    <row r="661" customFormat="false" ht="1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7" t="str">
        <f aca="false">IF(B661="","",IF(COUNTIF($B$2:B661,B661)=1,MAX($AV$1:AV660)+1,""))</f>
        <v/>
      </c>
    </row>
    <row r="662" customFormat="false" ht="1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7" t="str">
        <f aca="false">IF(B662="","",IF(COUNTIF($B$2:B662,B662)=1,MAX($AV$1:AV661)+1,""))</f>
        <v/>
      </c>
    </row>
    <row r="663" customFormat="false" ht="1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7" t="str">
        <f aca="false">IF(B663="","",IF(COUNTIF($B$2:B663,B663)=1,MAX($AV$1:AV662)+1,""))</f>
        <v/>
      </c>
    </row>
    <row r="664" customFormat="false" ht="1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7" t="str">
        <f aca="false">IF(B664="","",IF(COUNTIF($B$2:B664,B664)=1,MAX($AV$1:AV663)+1,""))</f>
        <v/>
      </c>
    </row>
    <row r="665" customFormat="false" ht="1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7" t="str">
        <f aca="false">IF(B665="","",IF(COUNTIF($B$2:B665,B665)=1,MAX($AV$1:AV664)+1,""))</f>
        <v/>
      </c>
    </row>
    <row r="666" customFormat="false" ht="1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7" t="str">
        <f aca="false">IF(B666="","",IF(COUNTIF($B$2:B666,B666)=1,MAX($AV$1:AV665)+1,""))</f>
        <v/>
      </c>
    </row>
    <row r="667" customFormat="false" ht="1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7" t="str">
        <f aca="false">IF(B667="","",IF(COUNTIF($B$2:B667,B667)=1,MAX($AV$1:AV666)+1,""))</f>
        <v/>
      </c>
    </row>
    <row r="668" customFormat="false" ht="1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7" t="str">
        <f aca="false">IF(B668="","",IF(COUNTIF($B$2:B668,B668)=1,MAX($AV$1:AV667)+1,""))</f>
        <v/>
      </c>
    </row>
    <row r="669" customFormat="false" ht="1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7" t="str">
        <f aca="false">IF(B669="","",IF(COUNTIF($B$2:B669,B669)=1,MAX($AV$1:AV668)+1,""))</f>
        <v/>
      </c>
    </row>
    <row r="670" customFormat="false" ht="1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7" t="str">
        <f aca="false">IF(B670="","",IF(COUNTIF($B$2:B670,B670)=1,MAX($AV$1:AV669)+1,""))</f>
        <v/>
      </c>
    </row>
    <row r="671" customFormat="false" ht="1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7" t="str">
        <f aca="false">IF(B671="","",IF(COUNTIF($B$2:B671,B671)=1,MAX($AV$1:AV670)+1,""))</f>
        <v/>
      </c>
    </row>
    <row r="672" customFormat="false" ht="1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7" t="str">
        <f aca="false">IF(B672="","",IF(COUNTIF($B$2:B672,B672)=1,MAX($AV$1:AV671)+1,""))</f>
        <v/>
      </c>
    </row>
    <row r="673" customFormat="false" ht="1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7" t="str">
        <f aca="false">IF(B673="","",IF(COUNTIF($B$2:B673,B673)=1,MAX($AV$1:AV672)+1,""))</f>
        <v/>
      </c>
    </row>
    <row r="674" customFormat="false" ht="1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7" t="str">
        <f aca="false">IF(B674="","",IF(COUNTIF($B$2:B674,B674)=1,MAX($AV$1:AV673)+1,""))</f>
        <v/>
      </c>
    </row>
    <row r="675" customFormat="false" ht="1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7" t="str">
        <f aca="false">IF(B675="","",IF(COUNTIF($B$2:B675,B675)=1,MAX($AV$1:AV674)+1,""))</f>
        <v/>
      </c>
    </row>
    <row r="676" customFormat="false" ht="1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7" t="str">
        <f aca="false">IF(B676="","",IF(COUNTIF($B$2:B676,B676)=1,MAX($AV$1:AV675)+1,""))</f>
        <v/>
      </c>
    </row>
    <row r="677" customFormat="false" ht="1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7" t="str">
        <f aca="false">IF(B677="","",IF(COUNTIF($B$2:B677,B677)=1,MAX($AV$1:AV676)+1,""))</f>
        <v/>
      </c>
    </row>
    <row r="678" customFormat="false" ht="1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7" t="str">
        <f aca="false">IF(B678="","",IF(COUNTIF($B$2:B678,B678)=1,MAX($AV$1:AV677)+1,""))</f>
        <v/>
      </c>
    </row>
    <row r="679" customFormat="false" ht="1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7" t="str">
        <f aca="false">IF(B679="","",IF(COUNTIF($B$2:B679,B679)=1,MAX($AV$1:AV678)+1,""))</f>
        <v/>
      </c>
    </row>
    <row r="680" customFormat="false" ht="1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7" t="str">
        <f aca="false">IF(B680="","",IF(COUNTIF($B$2:B680,B680)=1,MAX($AV$1:AV679)+1,""))</f>
        <v/>
      </c>
    </row>
    <row r="681" customFormat="false" ht="1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7" t="str">
        <f aca="false">IF(B681="","",IF(COUNTIF($B$2:B681,B681)=1,MAX($AV$1:AV680)+1,""))</f>
        <v/>
      </c>
    </row>
    <row r="682" customFormat="false" ht="1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7" t="str">
        <f aca="false">IF(B682="","",IF(COUNTIF($B$2:B682,B682)=1,MAX($AV$1:AV681)+1,""))</f>
        <v/>
      </c>
    </row>
    <row r="683" customFormat="false" ht="1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7" t="str">
        <f aca="false">IF(B683="","",IF(COUNTIF($B$2:B683,B683)=1,MAX($AV$1:AV682)+1,""))</f>
        <v/>
      </c>
    </row>
    <row r="684" customFormat="false" ht="1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7" t="str">
        <f aca="false">IF(B684="","",IF(COUNTIF($B$2:B684,B684)=1,MAX($AV$1:AV683)+1,""))</f>
        <v/>
      </c>
    </row>
    <row r="685" customFormat="false" ht="1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7" t="str">
        <f aca="false">IF(B685="","",IF(COUNTIF($B$2:B685,B685)=1,MAX($AV$1:AV684)+1,""))</f>
        <v/>
      </c>
    </row>
    <row r="686" customFormat="false" ht="1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7" t="str">
        <f aca="false">IF(B686="","",IF(COUNTIF($B$2:B686,B686)=1,MAX($AV$1:AV685)+1,""))</f>
        <v/>
      </c>
    </row>
    <row r="687" customFormat="false" ht="1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7" t="str">
        <f aca="false">IF(B687="","",IF(COUNTIF($B$2:B687,B687)=1,MAX($AV$1:AV686)+1,""))</f>
        <v/>
      </c>
    </row>
    <row r="688" customFormat="false" ht="1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7" t="str">
        <f aca="false">IF(B688="","",IF(COUNTIF($B$2:B688,B688)=1,MAX($AV$1:AV687)+1,""))</f>
        <v/>
      </c>
    </row>
    <row r="689" customFormat="false" ht="1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7" t="str">
        <f aca="false">IF(B689="","",IF(COUNTIF($B$2:B689,B689)=1,MAX($AV$1:AV688)+1,""))</f>
        <v/>
      </c>
    </row>
    <row r="690" customFormat="false" ht="1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7" t="str">
        <f aca="false">IF(B690="","",IF(COUNTIF($B$2:B690,B690)=1,MAX($AV$1:AV689)+1,""))</f>
        <v/>
      </c>
    </row>
    <row r="691" customFormat="false" ht="1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7" t="str">
        <f aca="false">IF(B691="","",IF(COUNTIF($B$2:B691,B691)=1,MAX($AV$1:AV690)+1,""))</f>
        <v/>
      </c>
    </row>
    <row r="692" customFormat="false" ht="1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7" t="str">
        <f aca="false">IF(B692="","",IF(COUNTIF($B$2:B692,B692)=1,MAX($AV$1:AV691)+1,""))</f>
        <v/>
      </c>
    </row>
    <row r="693" customFormat="false" ht="1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7" t="str">
        <f aca="false">IF(B693="","",IF(COUNTIF($B$2:B693,B693)=1,MAX($AV$1:AV692)+1,""))</f>
        <v/>
      </c>
    </row>
    <row r="694" customFormat="false" ht="1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7" t="str">
        <f aca="false">IF(B694="","",IF(COUNTIF($B$2:B694,B694)=1,MAX($AV$1:AV693)+1,""))</f>
        <v/>
      </c>
    </row>
    <row r="695" customFormat="false" ht="1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7" t="str">
        <f aca="false">IF(B695="","",IF(COUNTIF($B$2:B695,B695)=1,MAX($AV$1:AV694)+1,""))</f>
        <v/>
      </c>
    </row>
    <row r="696" customFormat="false" ht="1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7" t="str">
        <f aca="false">IF(B696="","",IF(COUNTIF($B$2:B696,B696)=1,MAX($AV$1:AV695)+1,""))</f>
        <v/>
      </c>
    </row>
    <row r="697" customFormat="false" ht="1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7" t="str">
        <f aca="false">IF(B697="","",IF(COUNTIF($B$2:B697,B697)=1,MAX($AV$1:AV696)+1,""))</f>
        <v/>
      </c>
    </row>
    <row r="698" customFormat="false" ht="1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7" t="str">
        <f aca="false">IF(B698="","",IF(COUNTIF($B$2:B698,B698)=1,MAX($AV$1:AV697)+1,""))</f>
        <v/>
      </c>
    </row>
    <row r="699" customFormat="false" ht="1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7" t="str">
        <f aca="false">IF(B699="","",IF(COUNTIF($B$2:B699,B699)=1,MAX($AV$1:AV698)+1,""))</f>
        <v/>
      </c>
    </row>
    <row r="700" customFormat="false" ht="1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7" t="str">
        <f aca="false">IF(B700="","",IF(COUNTIF($B$2:B700,B700)=1,MAX($AV$1:AV699)+1,""))</f>
        <v/>
      </c>
    </row>
    <row r="701" customFormat="false" ht="1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7" t="str">
        <f aca="false">IF(B701="","",IF(COUNTIF($B$2:B701,B701)=1,MAX($AV$1:AV700)+1,""))</f>
        <v/>
      </c>
    </row>
    <row r="702" customFormat="false" ht="1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7" t="str">
        <f aca="false">IF(B702="","",IF(COUNTIF($B$2:B702,B702)=1,MAX($AV$1:AV701)+1,""))</f>
        <v/>
      </c>
    </row>
    <row r="703" customFormat="false" ht="1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7" t="str">
        <f aca="false">IF(B703="","",IF(COUNTIF($B$2:B703,B703)=1,MAX($AV$1:AV702)+1,""))</f>
        <v/>
      </c>
    </row>
    <row r="704" customFormat="false" ht="1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7" t="str">
        <f aca="false">IF(B704="","",IF(COUNTIF($B$2:B704,B704)=1,MAX($AV$1:AV703)+1,""))</f>
        <v/>
      </c>
    </row>
    <row r="705" customFormat="false" ht="1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7" t="str">
        <f aca="false">IF(B705="","",IF(COUNTIF($B$2:B705,B705)=1,MAX($AV$1:AV704)+1,""))</f>
        <v/>
      </c>
    </row>
    <row r="706" customFormat="false" ht="1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7" t="str">
        <f aca="false">IF(B706="","",IF(COUNTIF($B$2:B706,B706)=1,MAX($AV$1:AV705)+1,""))</f>
        <v/>
      </c>
    </row>
    <row r="707" customFormat="false" ht="1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7" t="str">
        <f aca="false">IF(B707="","",IF(COUNTIF($B$2:B707,B707)=1,MAX($AV$1:AV706)+1,""))</f>
        <v/>
      </c>
    </row>
    <row r="708" customFormat="false" ht="1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7" t="str">
        <f aca="false">IF(B708="","",IF(COUNTIF($B$2:B708,B708)=1,MAX($AV$1:AV707)+1,""))</f>
        <v/>
      </c>
    </row>
    <row r="709" customFormat="false" ht="1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7" t="str">
        <f aca="false">IF(B709="","",IF(COUNTIF($B$2:B709,B709)=1,MAX($AV$1:AV708)+1,""))</f>
        <v/>
      </c>
    </row>
    <row r="710" customFormat="false" ht="1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7" t="str">
        <f aca="false">IF(B710="","",IF(COUNTIF($B$2:B710,B710)=1,MAX($AV$1:AV709)+1,""))</f>
        <v/>
      </c>
    </row>
    <row r="711" customFormat="false" ht="1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7" t="str">
        <f aca="false">IF(B711="","",IF(COUNTIF($B$2:B711,B711)=1,MAX($AV$1:AV710)+1,""))</f>
        <v/>
      </c>
    </row>
    <row r="712" customFormat="false" ht="1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7" t="str">
        <f aca="false">IF(B712="","",IF(COUNTIF($B$2:B712,B712)=1,MAX($AV$1:AV711)+1,""))</f>
        <v/>
      </c>
    </row>
    <row r="713" customFormat="false" ht="1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7" t="str">
        <f aca="false">IF(B713="","",IF(COUNTIF($B$2:B713,B713)=1,MAX($AV$1:AV712)+1,""))</f>
        <v/>
      </c>
    </row>
    <row r="714" customFormat="false" ht="1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7" t="str">
        <f aca="false">IF(B714="","",IF(COUNTIF($B$2:B714,B714)=1,MAX($AV$1:AV713)+1,""))</f>
        <v/>
      </c>
    </row>
    <row r="715" customFormat="false" ht="1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7" t="str">
        <f aca="false">IF(B715="","",IF(COUNTIF($B$2:B715,B715)=1,MAX($AV$1:AV714)+1,""))</f>
        <v/>
      </c>
    </row>
    <row r="716" customFormat="false" ht="1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7" t="str">
        <f aca="false">IF(B716="","",IF(COUNTIF($B$2:B716,B716)=1,MAX($AV$1:AV715)+1,""))</f>
        <v/>
      </c>
    </row>
    <row r="717" customFormat="false" ht="1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7" t="str">
        <f aca="false">IF(B717="","",IF(COUNTIF($B$2:B717,B717)=1,MAX($AV$1:AV716)+1,""))</f>
        <v/>
      </c>
    </row>
    <row r="718" customFormat="false" ht="1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7" t="str">
        <f aca="false">IF(B718="","",IF(COUNTIF($B$2:B718,B718)=1,MAX($AV$1:AV717)+1,""))</f>
        <v/>
      </c>
    </row>
    <row r="719" customFormat="false" ht="1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7" t="str">
        <f aca="false">IF(B719="","",IF(COUNTIF($B$2:B719,B719)=1,MAX($AV$1:AV718)+1,""))</f>
        <v/>
      </c>
    </row>
    <row r="720" customFormat="false" ht="1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7" t="str">
        <f aca="false">IF(B720="","",IF(COUNTIF($B$2:B720,B720)=1,MAX($AV$1:AV719)+1,""))</f>
        <v/>
      </c>
    </row>
    <row r="721" customFormat="false" ht="1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7" t="str">
        <f aca="false">IF(B721="","",IF(COUNTIF($B$2:B721,B721)=1,MAX($AV$1:AV720)+1,""))</f>
        <v/>
      </c>
    </row>
    <row r="722" customFormat="false" ht="1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7" t="str">
        <f aca="false">IF(B722="","",IF(COUNTIF($B$2:B722,B722)=1,MAX($AV$1:AV721)+1,""))</f>
        <v/>
      </c>
    </row>
    <row r="723" customFormat="false" ht="1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7" t="str">
        <f aca="false">IF(B723="","",IF(COUNTIF($B$2:B723,B723)=1,MAX($AV$1:AV722)+1,""))</f>
        <v/>
      </c>
    </row>
    <row r="724" customFormat="false" ht="1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7" t="str">
        <f aca="false">IF(B724="","",IF(COUNTIF($B$2:B724,B724)=1,MAX($AV$1:AV723)+1,""))</f>
        <v/>
      </c>
    </row>
    <row r="725" customFormat="false" ht="1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7" t="str">
        <f aca="false">IF(B725="","",IF(COUNTIF($B$2:B725,B725)=1,MAX($AV$1:AV724)+1,""))</f>
        <v/>
      </c>
    </row>
    <row r="726" customFormat="false" ht="1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7" t="str">
        <f aca="false">IF(B726="","",IF(COUNTIF($B$2:B726,B726)=1,MAX($AV$1:AV725)+1,""))</f>
        <v/>
      </c>
    </row>
    <row r="727" customFormat="false" ht="1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7" t="str">
        <f aca="false">IF(B727="","",IF(COUNTIF($B$2:B727,B727)=1,MAX($AV$1:AV726)+1,""))</f>
        <v/>
      </c>
    </row>
    <row r="728" customFormat="false" ht="1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7" t="str">
        <f aca="false">IF(B728="","",IF(COUNTIF($B$2:B728,B728)=1,MAX($AV$1:AV727)+1,""))</f>
        <v/>
      </c>
    </row>
    <row r="729" customFormat="false" ht="1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7" t="str">
        <f aca="false">IF(B729="","",IF(COUNTIF($B$2:B729,B729)=1,MAX($AV$1:AV728)+1,""))</f>
        <v/>
      </c>
    </row>
    <row r="730" customFormat="false" ht="1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7" t="str">
        <f aca="false">IF(B730="","",IF(COUNTIF($B$2:B730,B730)=1,MAX($AV$1:AV729)+1,""))</f>
        <v/>
      </c>
    </row>
    <row r="731" customFormat="false" ht="1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7" t="str">
        <f aca="false">IF(B731="","",IF(COUNTIF($B$2:B731,B731)=1,MAX($AV$1:AV730)+1,""))</f>
        <v/>
      </c>
    </row>
    <row r="732" customFormat="false" ht="1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7" t="str">
        <f aca="false">IF(B732="","",IF(COUNTIF($B$2:B732,B732)=1,MAX($AV$1:AV731)+1,""))</f>
        <v/>
      </c>
    </row>
    <row r="733" customFormat="false" ht="1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7" t="str">
        <f aca="false">IF(B733="","",IF(COUNTIF($B$2:B733,B733)=1,MAX($AV$1:AV732)+1,""))</f>
        <v/>
      </c>
    </row>
    <row r="734" customFormat="false" ht="1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7" t="str">
        <f aca="false">IF(B734="","",IF(COUNTIF($B$2:B734,B734)=1,MAX($AV$1:AV733)+1,""))</f>
        <v/>
      </c>
    </row>
    <row r="735" customFormat="false" ht="1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7" t="str">
        <f aca="false">IF(B735="","",IF(COUNTIF($B$2:B735,B735)=1,MAX($AV$1:AV734)+1,""))</f>
        <v/>
      </c>
    </row>
    <row r="736" customFormat="false" ht="1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7" t="str">
        <f aca="false">IF(B736="","",IF(COUNTIF($B$2:B736,B736)=1,MAX($AV$1:AV735)+1,""))</f>
        <v/>
      </c>
    </row>
    <row r="737" customFormat="false" ht="1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7" t="str">
        <f aca="false">IF(B737="","",IF(COUNTIF($B$2:B737,B737)=1,MAX($AV$1:AV736)+1,""))</f>
        <v/>
      </c>
    </row>
    <row r="738" customFormat="false" ht="1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7" t="str">
        <f aca="false">IF(B738="","",IF(COUNTIF($B$2:B738,B738)=1,MAX($AV$1:AV737)+1,""))</f>
        <v/>
      </c>
    </row>
    <row r="739" customFormat="false" ht="1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7" t="str">
        <f aca="false">IF(B739="","",IF(COUNTIF($B$2:B739,B739)=1,MAX($AV$1:AV738)+1,""))</f>
        <v/>
      </c>
    </row>
    <row r="740" customFormat="false" ht="1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7" t="str">
        <f aca="false">IF(B740="","",IF(COUNTIF($B$2:B740,B740)=1,MAX($AV$1:AV739)+1,""))</f>
        <v/>
      </c>
    </row>
    <row r="741" customFormat="false" ht="1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7" t="str">
        <f aca="false">IF(B741="","",IF(COUNTIF($B$2:B741,B741)=1,MAX($AV$1:AV740)+1,""))</f>
        <v/>
      </c>
    </row>
    <row r="742" customFormat="false" ht="1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7" t="str">
        <f aca="false">IF(B742="","",IF(COUNTIF($B$2:B742,B742)=1,MAX($AV$1:AV741)+1,""))</f>
        <v/>
      </c>
    </row>
    <row r="743" customFormat="false" ht="1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7" t="str">
        <f aca="false">IF(B743="","",IF(COUNTIF($B$2:B743,B743)=1,MAX($AV$1:AV742)+1,""))</f>
        <v/>
      </c>
    </row>
    <row r="744" customFormat="false" ht="1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7" t="str">
        <f aca="false">IF(B744="","",IF(COUNTIF($B$2:B744,B744)=1,MAX($AV$1:AV743)+1,""))</f>
        <v/>
      </c>
    </row>
    <row r="745" customFormat="false" ht="1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7" t="str">
        <f aca="false">IF(B745="","",IF(COUNTIF($B$2:B745,B745)=1,MAX($AV$1:AV744)+1,""))</f>
        <v/>
      </c>
    </row>
    <row r="746" customFormat="false" ht="1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7" t="str">
        <f aca="false">IF(B746="","",IF(COUNTIF($B$2:B746,B746)=1,MAX($AV$1:AV745)+1,""))</f>
        <v/>
      </c>
    </row>
    <row r="747" customFormat="false" ht="1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7" t="str">
        <f aca="false">IF(B747="","",IF(COUNTIF($B$2:B747,B747)=1,MAX($AV$1:AV746)+1,""))</f>
        <v/>
      </c>
    </row>
    <row r="748" customFormat="false" ht="1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7" t="str">
        <f aca="false">IF(B748="","",IF(COUNTIF($B$2:B748,B748)=1,MAX($AV$1:AV747)+1,""))</f>
        <v/>
      </c>
    </row>
    <row r="749" customFormat="false" ht="1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7" t="str">
        <f aca="false">IF(B749="","",IF(COUNTIF($B$2:B749,B749)=1,MAX($AV$1:AV748)+1,""))</f>
        <v/>
      </c>
    </row>
    <row r="750" customFormat="false" ht="1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7" t="str">
        <f aca="false">IF(B750="","",IF(COUNTIF($B$2:B750,B750)=1,MAX($AV$1:AV749)+1,""))</f>
        <v/>
      </c>
    </row>
    <row r="751" customFormat="false" ht="1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7" t="str">
        <f aca="false">IF(B751="","",IF(COUNTIF($B$2:B751,B751)=1,MAX($AV$1:AV750)+1,""))</f>
        <v/>
      </c>
    </row>
    <row r="752" customFormat="false" ht="1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7" t="str">
        <f aca="false">IF(B752="","",IF(COUNTIF($B$2:B752,B752)=1,MAX($AV$1:AV751)+1,""))</f>
        <v/>
      </c>
    </row>
    <row r="753" customFormat="false" ht="1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7" t="str">
        <f aca="false">IF(B753="","",IF(COUNTIF($B$2:B753,B753)=1,MAX($AV$1:AV752)+1,""))</f>
        <v/>
      </c>
    </row>
    <row r="754" customFormat="false" ht="1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7" t="str">
        <f aca="false">IF(B754="","",IF(COUNTIF($B$2:B754,B754)=1,MAX($AV$1:AV753)+1,""))</f>
        <v/>
      </c>
    </row>
    <row r="755" customFormat="false" ht="1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7" t="str">
        <f aca="false">IF(B755="","",IF(COUNTIF($B$2:B755,B755)=1,MAX($AV$1:AV754)+1,""))</f>
        <v/>
      </c>
    </row>
    <row r="756" customFormat="false" ht="1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7" t="str">
        <f aca="false">IF(B756="","",IF(COUNTIF($B$2:B756,B756)=1,MAX($AV$1:AV755)+1,""))</f>
        <v/>
      </c>
    </row>
    <row r="757" customFormat="false" ht="1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7" t="str">
        <f aca="false">IF(B757="","",IF(COUNTIF($B$2:B757,B757)=1,MAX($AV$1:AV756)+1,""))</f>
        <v/>
      </c>
    </row>
    <row r="758" customFormat="false" ht="1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7" t="str">
        <f aca="false">IF(B758="","",IF(COUNTIF($B$2:B758,B758)=1,MAX($AV$1:AV757)+1,""))</f>
        <v/>
      </c>
    </row>
    <row r="759" customFormat="false" ht="1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7" t="str">
        <f aca="false">IF(B759="","",IF(COUNTIF($B$2:B759,B759)=1,MAX($AV$1:AV758)+1,""))</f>
        <v/>
      </c>
    </row>
    <row r="760" customFormat="false" ht="1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7" t="str">
        <f aca="false">IF(B760="","",IF(COUNTIF($B$2:B760,B760)=1,MAX($AV$1:AV759)+1,""))</f>
        <v/>
      </c>
    </row>
    <row r="761" customFormat="false" ht="1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7" t="str">
        <f aca="false">IF(B761="","",IF(COUNTIF($B$2:B761,B761)=1,MAX($AV$1:AV760)+1,""))</f>
        <v/>
      </c>
    </row>
    <row r="762" customFormat="false" ht="1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7" t="str">
        <f aca="false">IF(B762="","",IF(COUNTIF($B$2:B762,B762)=1,MAX($AV$1:AV761)+1,""))</f>
        <v/>
      </c>
    </row>
    <row r="763" customFormat="false" ht="1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7" t="str">
        <f aca="false">IF(B763="","",IF(COUNTIF($B$2:B763,B763)=1,MAX($AV$1:AV762)+1,""))</f>
        <v/>
      </c>
    </row>
    <row r="764" customFormat="false" ht="1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7" t="str">
        <f aca="false">IF(B764="","",IF(COUNTIF($B$2:B764,B764)=1,MAX($AV$1:AV763)+1,""))</f>
        <v/>
      </c>
    </row>
    <row r="765" customFormat="false" ht="1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7" t="str">
        <f aca="false">IF(B765="","",IF(COUNTIF($B$2:B765,B765)=1,MAX($AV$1:AV764)+1,""))</f>
        <v/>
      </c>
    </row>
    <row r="766" customFormat="false" ht="1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7" t="str">
        <f aca="false">IF(B766="","",IF(COUNTIF($B$2:B766,B766)=1,MAX($AV$1:AV765)+1,""))</f>
        <v/>
      </c>
    </row>
    <row r="767" customFormat="false" ht="1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7" t="str">
        <f aca="false">IF(B767="","",IF(COUNTIF($B$2:B767,B767)=1,MAX($AV$1:AV766)+1,""))</f>
        <v/>
      </c>
    </row>
    <row r="768" customFormat="false" ht="1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7" t="str">
        <f aca="false">IF(B768="","",IF(COUNTIF($B$2:B768,B768)=1,MAX($AV$1:AV767)+1,""))</f>
        <v/>
      </c>
    </row>
    <row r="769" customFormat="false" ht="1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7" t="str">
        <f aca="false">IF(B769="","",IF(COUNTIF($B$2:B769,B769)=1,MAX($AV$1:AV768)+1,""))</f>
        <v/>
      </c>
    </row>
    <row r="770" customFormat="false" ht="1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7" t="str">
        <f aca="false">IF(B770="","",IF(COUNTIF($B$2:B770,B770)=1,MAX($AV$1:AV769)+1,""))</f>
        <v/>
      </c>
    </row>
    <row r="771" customFormat="false" ht="1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7" t="str">
        <f aca="false">IF(B771="","",IF(COUNTIF($B$2:B771,B771)=1,MAX($AV$1:AV770)+1,""))</f>
        <v/>
      </c>
    </row>
    <row r="772" customFormat="false" ht="1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7" t="str">
        <f aca="false">IF(B772="","",IF(COUNTIF($B$2:B772,B772)=1,MAX($AV$1:AV771)+1,""))</f>
        <v/>
      </c>
    </row>
    <row r="773" customFormat="false" ht="1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7" t="str">
        <f aca="false">IF(B773="","",IF(COUNTIF($B$2:B773,B773)=1,MAX($AV$1:AV772)+1,""))</f>
        <v/>
      </c>
    </row>
    <row r="774" customFormat="false" ht="1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7" t="str">
        <f aca="false">IF(B774="","",IF(COUNTIF($B$2:B774,B774)=1,MAX($AV$1:AV773)+1,""))</f>
        <v/>
      </c>
    </row>
    <row r="775" customFormat="false" ht="1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7" t="str">
        <f aca="false">IF(B775="","",IF(COUNTIF($B$2:B775,B775)=1,MAX($AV$1:AV774)+1,""))</f>
        <v/>
      </c>
    </row>
    <row r="776" customFormat="false" ht="1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7" t="str">
        <f aca="false">IF(B776="","",IF(COUNTIF($B$2:B776,B776)=1,MAX($AV$1:AV775)+1,""))</f>
        <v/>
      </c>
    </row>
    <row r="777" customFormat="false" ht="1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7" t="str">
        <f aca="false">IF(B777="","",IF(COUNTIF($B$2:B777,B777)=1,MAX($AV$1:AV776)+1,""))</f>
        <v/>
      </c>
    </row>
    <row r="778" customFormat="false" ht="1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7" t="str">
        <f aca="false">IF(B778="","",IF(COUNTIF($B$2:B778,B778)=1,MAX($AV$1:AV777)+1,""))</f>
        <v/>
      </c>
    </row>
    <row r="779" customFormat="false" ht="1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7" t="str">
        <f aca="false">IF(B779="","",IF(COUNTIF($B$2:B779,B779)=1,MAX($AV$1:AV778)+1,""))</f>
        <v/>
      </c>
    </row>
    <row r="780" customFormat="false" ht="1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7" t="str">
        <f aca="false">IF(B780="","",IF(COUNTIF($B$2:B780,B780)=1,MAX($AV$1:AV779)+1,""))</f>
        <v/>
      </c>
    </row>
    <row r="781" customFormat="false" ht="1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7" t="str">
        <f aca="false">IF(B781="","",IF(COUNTIF($B$2:B781,B781)=1,MAX($AV$1:AV780)+1,""))</f>
        <v/>
      </c>
    </row>
    <row r="782" customFormat="false" ht="1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7" t="str">
        <f aca="false">IF(B782="","",IF(COUNTIF($B$2:B782,B782)=1,MAX($AV$1:AV781)+1,""))</f>
        <v/>
      </c>
    </row>
    <row r="783" customFormat="false" ht="1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7" t="str">
        <f aca="false">IF(B783="","",IF(COUNTIF($B$2:B783,B783)=1,MAX($AV$1:AV782)+1,""))</f>
        <v/>
      </c>
    </row>
    <row r="784" customFormat="false" ht="1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7" t="str">
        <f aca="false">IF(B784="","",IF(COUNTIF($B$2:B784,B784)=1,MAX($AV$1:AV783)+1,""))</f>
        <v/>
      </c>
    </row>
    <row r="785" customFormat="false" ht="1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7" t="str">
        <f aca="false">IF(B785="","",IF(COUNTIF($B$2:B785,B785)=1,MAX($AV$1:AV784)+1,""))</f>
        <v/>
      </c>
    </row>
    <row r="786" customFormat="false" ht="1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7" t="str">
        <f aca="false">IF(B786="","",IF(COUNTIF($B$2:B786,B786)=1,MAX($AV$1:AV785)+1,""))</f>
        <v/>
      </c>
    </row>
    <row r="787" customFormat="false" ht="1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7" t="str">
        <f aca="false">IF(B787="","",IF(COUNTIF($B$2:B787,B787)=1,MAX($AV$1:AV786)+1,""))</f>
        <v/>
      </c>
    </row>
    <row r="788" customFormat="false" ht="1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7" t="str">
        <f aca="false">IF(B788="","",IF(COUNTIF($B$2:B788,B788)=1,MAX($AV$1:AV787)+1,""))</f>
        <v/>
      </c>
    </row>
    <row r="789" customFormat="false" ht="1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7" t="str">
        <f aca="false">IF(B789="","",IF(COUNTIF($B$2:B789,B789)=1,MAX($AV$1:AV788)+1,""))</f>
        <v/>
      </c>
    </row>
    <row r="790" customFormat="false" ht="1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7" t="str">
        <f aca="false">IF(B790="","",IF(COUNTIF($B$2:B790,B790)=1,MAX($AV$1:AV789)+1,""))</f>
        <v/>
      </c>
    </row>
    <row r="791" customFormat="false" ht="1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7" t="str">
        <f aca="false">IF(B791="","",IF(COUNTIF($B$2:B791,B791)=1,MAX($AV$1:AV790)+1,""))</f>
        <v/>
      </c>
    </row>
    <row r="792" customFormat="false" ht="1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7" t="str">
        <f aca="false">IF(B792="","",IF(COUNTIF($B$2:B792,B792)=1,MAX($AV$1:AV791)+1,""))</f>
        <v/>
      </c>
    </row>
    <row r="793" customFormat="false" ht="1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7" t="str">
        <f aca="false">IF(B793="","",IF(COUNTIF($B$2:B793,B793)=1,MAX($AV$1:AV792)+1,""))</f>
        <v/>
      </c>
    </row>
    <row r="794" customFormat="false" ht="1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7" t="str">
        <f aca="false">IF(B794="","",IF(COUNTIF($B$2:B794,B794)=1,MAX($AV$1:AV793)+1,""))</f>
        <v/>
      </c>
    </row>
    <row r="795" customFormat="false" ht="1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7" t="str">
        <f aca="false">IF(B795="","",IF(COUNTIF($B$2:B795,B795)=1,MAX($AV$1:AV794)+1,""))</f>
        <v/>
      </c>
    </row>
    <row r="796" customFormat="false" ht="1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7" t="str">
        <f aca="false">IF(B796="","",IF(COUNTIF($B$2:B796,B796)=1,MAX($AV$1:AV795)+1,""))</f>
        <v/>
      </c>
    </row>
    <row r="797" customFormat="false" ht="1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7" t="str">
        <f aca="false">IF(B797="","",IF(COUNTIF($B$2:B797,B797)=1,MAX($AV$1:AV796)+1,""))</f>
        <v/>
      </c>
    </row>
    <row r="798" customFormat="false" ht="1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7" t="str">
        <f aca="false">IF(B798="","",IF(COUNTIF($B$2:B798,B798)=1,MAX($AV$1:AV797)+1,""))</f>
        <v/>
      </c>
    </row>
    <row r="799" customFormat="false" ht="1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7" t="str">
        <f aca="false">IF(B799="","",IF(COUNTIF($B$2:B799,B799)=1,MAX($AV$1:AV798)+1,""))</f>
        <v/>
      </c>
    </row>
    <row r="800" customFormat="false" ht="1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7" t="str">
        <f aca="false">IF(B800="","",IF(COUNTIF($B$2:B800,B800)=1,MAX($AV$1:AV799)+1,""))</f>
        <v/>
      </c>
    </row>
    <row r="801" customFormat="false" ht="1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7" t="str">
        <f aca="false">IF(B801="","",IF(COUNTIF($B$2:B801,B801)=1,MAX($AV$1:AV800)+1,""))</f>
        <v/>
      </c>
    </row>
    <row r="802" customFormat="false" ht="1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7" t="str">
        <f aca="false">IF(B802="","",IF(COUNTIF($B$2:B802,B802)=1,MAX($AV$1:AV801)+1,""))</f>
        <v/>
      </c>
    </row>
    <row r="803" customFormat="false" ht="1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7" t="str">
        <f aca="false">IF(B803="","",IF(COUNTIF($B$2:B803,B803)=1,MAX($AV$1:AV802)+1,""))</f>
        <v/>
      </c>
    </row>
    <row r="804" customFormat="false" ht="1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7" t="str">
        <f aca="false">IF(B804="","",IF(COUNTIF($B$2:B804,B804)=1,MAX($AV$1:AV803)+1,""))</f>
        <v/>
      </c>
    </row>
    <row r="805" customFormat="false" ht="1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7" t="str">
        <f aca="false">IF(B805="","",IF(COUNTIF($B$2:B805,B805)=1,MAX($AV$1:AV804)+1,""))</f>
        <v/>
      </c>
    </row>
    <row r="806" customFormat="false" ht="1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7" t="str">
        <f aca="false">IF(B806="","",IF(COUNTIF($B$2:B806,B806)=1,MAX($AV$1:AV805)+1,""))</f>
        <v/>
      </c>
    </row>
    <row r="807" customFormat="false" ht="1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7" t="str">
        <f aca="false">IF(B807="","",IF(COUNTIF($B$2:B807,B807)=1,MAX($AV$1:AV806)+1,""))</f>
        <v/>
      </c>
    </row>
    <row r="808" customFormat="false" ht="1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7" t="str">
        <f aca="false">IF(B808="","",IF(COUNTIF($B$2:B808,B808)=1,MAX($AV$1:AV807)+1,""))</f>
        <v/>
      </c>
    </row>
    <row r="809" customFormat="false" ht="1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7" t="str">
        <f aca="false">IF(B809="","",IF(COUNTIF($B$2:B809,B809)=1,MAX($AV$1:AV808)+1,""))</f>
        <v/>
      </c>
    </row>
    <row r="810" customFormat="false" ht="1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7" t="str">
        <f aca="false">IF(B810="","",IF(COUNTIF($B$2:B810,B810)=1,MAX($AV$1:AV809)+1,""))</f>
        <v/>
      </c>
    </row>
    <row r="811" customFormat="false" ht="1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7" t="str">
        <f aca="false">IF(B811="","",IF(COUNTIF($B$2:B811,B811)=1,MAX($AV$1:AV810)+1,""))</f>
        <v/>
      </c>
    </row>
    <row r="812" customFormat="false" ht="1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7" t="str">
        <f aca="false">IF(B812="","",IF(COUNTIF($B$2:B812,B812)=1,MAX($AV$1:AV811)+1,""))</f>
        <v/>
      </c>
    </row>
    <row r="813" customFormat="false" ht="1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7" t="str">
        <f aca="false">IF(B813="","",IF(COUNTIF($B$2:B813,B813)=1,MAX($AV$1:AV812)+1,""))</f>
        <v/>
      </c>
    </row>
    <row r="814" customFormat="false" ht="1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7" t="str">
        <f aca="false">IF(B814="","",IF(COUNTIF($B$2:B814,B814)=1,MAX($AV$1:AV813)+1,""))</f>
        <v/>
      </c>
    </row>
    <row r="815" customFormat="false" ht="1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7" t="str">
        <f aca="false">IF(B815="","",IF(COUNTIF($B$2:B815,B815)=1,MAX($AV$1:AV814)+1,""))</f>
        <v/>
      </c>
    </row>
    <row r="816" customFormat="false" ht="1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7" t="str">
        <f aca="false">IF(B816="","",IF(COUNTIF($B$2:B816,B816)=1,MAX($AV$1:AV815)+1,""))</f>
        <v/>
      </c>
    </row>
    <row r="817" customFormat="false" ht="1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7" t="str">
        <f aca="false">IF(B817="","",IF(COUNTIF($B$2:B817,B817)=1,MAX($AV$1:AV816)+1,""))</f>
        <v/>
      </c>
    </row>
    <row r="818" customFormat="false" ht="1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7" t="str">
        <f aca="false">IF(B818="","",IF(COUNTIF($B$2:B818,B818)=1,MAX($AV$1:AV817)+1,""))</f>
        <v/>
      </c>
    </row>
    <row r="819" customFormat="false" ht="1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7" t="str">
        <f aca="false">IF(B819="","",IF(COUNTIF($B$2:B819,B819)=1,MAX($AV$1:AV818)+1,""))</f>
        <v/>
      </c>
    </row>
    <row r="820" customFormat="false" ht="1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7" t="str">
        <f aca="false">IF(B820="","",IF(COUNTIF($B$2:B820,B820)=1,MAX($AV$1:AV819)+1,""))</f>
        <v/>
      </c>
    </row>
    <row r="821" customFormat="false" ht="1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7" t="str">
        <f aca="false">IF(B821="","",IF(COUNTIF($B$2:B821,B821)=1,MAX($AV$1:AV820)+1,""))</f>
        <v/>
      </c>
    </row>
    <row r="822" customFormat="false" ht="1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7" t="str">
        <f aca="false">IF(B822="","",IF(COUNTIF($B$2:B822,B822)=1,MAX($AV$1:AV821)+1,""))</f>
        <v/>
      </c>
    </row>
    <row r="823" customFormat="false" ht="1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7" t="str">
        <f aca="false">IF(B823="","",IF(COUNTIF($B$2:B823,B823)=1,MAX($AV$1:AV822)+1,""))</f>
        <v/>
      </c>
    </row>
    <row r="824" customFormat="false" ht="1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7" t="str">
        <f aca="false">IF(B824="","",IF(COUNTIF($B$2:B824,B824)=1,MAX($AV$1:AV823)+1,""))</f>
        <v/>
      </c>
    </row>
    <row r="825" customFormat="false" ht="1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7" t="str">
        <f aca="false">IF(B825="","",IF(COUNTIF($B$2:B825,B825)=1,MAX($AV$1:AV824)+1,""))</f>
        <v/>
      </c>
    </row>
    <row r="826" customFormat="false" ht="1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7" t="str">
        <f aca="false">IF(B826="","",IF(COUNTIF($B$2:B826,B826)=1,MAX($AV$1:AV825)+1,""))</f>
        <v/>
      </c>
    </row>
    <row r="827" customFormat="false" ht="1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7" t="str">
        <f aca="false">IF(B827="","",IF(COUNTIF($B$2:B827,B827)=1,MAX($AV$1:AV826)+1,""))</f>
        <v/>
      </c>
    </row>
    <row r="828" customFormat="false" ht="1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7" t="str">
        <f aca="false">IF(B828="","",IF(COUNTIF($B$2:B828,B828)=1,MAX($AV$1:AV827)+1,""))</f>
        <v/>
      </c>
    </row>
    <row r="829" customFormat="false" ht="1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7" t="str">
        <f aca="false">IF(B829="","",IF(COUNTIF($B$2:B829,B829)=1,MAX($AV$1:AV828)+1,""))</f>
        <v/>
      </c>
    </row>
    <row r="830" customFormat="false" ht="1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7" t="str">
        <f aca="false">IF(B830="","",IF(COUNTIF($B$2:B830,B830)=1,MAX($AV$1:AV829)+1,""))</f>
        <v/>
      </c>
    </row>
    <row r="831" customFormat="false" ht="1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7" t="str">
        <f aca="false">IF(B831="","",IF(COUNTIF($B$2:B831,B831)=1,MAX($AV$1:AV830)+1,""))</f>
        <v/>
      </c>
    </row>
    <row r="832" customFormat="false" ht="1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7" t="str">
        <f aca="false">IF(B832="","",IF(COUNTIF($B$2:B832,B832)=1,MAX($AV$1:AV831)+1,""))</f>
        <v/>
      </c>
    </row>
    <row r="833" customFormat="false" ht="1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7" t="str">
        <f aca="false">IF(B833="","",IF(COUNTIF($B$2:B833,B833)=1,MAX($AV$1:AV832)+1,""))</f>
        <v/>
      </c>
    </row>
    <row r="834" customFormat="false" ht="1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7" t="str">
        <f aca="false">IF(B834="","",IF(COUNTIF($B$2:B834,B834)=1,MAX($AV$1:AV833)+1,""))</f>
        <v/>
      </c>
    </row>
    <row r="835" customFormat="false" ht="1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7" t="str">
        <f aca="false">IF(B835="","",IF(COUNTIF($B$2:B835,B835)=1,MAX($AV$1:AV834)+1,""))</f>
        <v/>
      </c>
    </row>
    <row r="836" customFormat="false" ht="1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7" t="str">
        <f aca="false">IF(B836="","",IF(COUNTIF($B$2:B836,B836)=1,MAX($AV$1:AV835)+1,""))</f>
        <v/>
      </c>
    </row>
    <row r="837" customFormat="false" ht="1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7" t="str">
        <f aca="false">IF(B837="","",IF(COUNTIF($B$2:B837,B837)=1,MAX($AV$1:AV836)+1,""))</f>
        <v/>
      </c>
    </row>
    <row r="838" customFormat="false" ht="1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7" t="str">
        <f aca="false">IF(B838="","",IF(COUNTIF($B$2:B838,B838)=1,MAX($AV$1:AV837)+1,""))</f>
        <v/>
      </c>
    </row>
    <row r="839" customFormat="false" ht="1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7" t="str">
        <f aca="false">IF(B839="","",IF(COUNTIF($B$2:B839,B839)=1,MAX($AV$1:AV838)+1,""))</f>
        <v/>
      </c>
    </row>
    <row r="840" customFormat="false" ht="1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7" t="str">
        <f aca="false">IF(B840="","",IF(COUNTIF($B$2:B840,B840)=1,MAX($AV$1:AV839)+1,""))</f>
        <v/>
      </c>
    </row>
    <row r="841" customFormat="false" ht="1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7" t="str">
        <f aca="false">IF(B841="","",IF(COUNTIF($B$2:B841,B841)=1,MAX($AV$1:AV840)+1,""))</f>
        <v/>
      </c>
    </row>
    <row r="842" customFormat="false" ht="1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7" t="str">
        <f aca="false">IF(B842="","",IF(COUNTIF($B$2:B842,B842)=1,MAX($AV$1:AV841)+1,""))</f>
        <v/>
      </c>
    </row>
    <row r="843" customFormat="false" ht="1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7" t="str">
        <f aca="false">IF(B843="","",IF(COUNTIF($B$2:B843,B843)=1,MAX($AV$1:AV842)+1,""))</f>
        <v/>
      </c>
    </row>
    <row r="844" customFormat="false" ht="1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7" t="str">
        <f aca="false">IF(B844="","",IF(COUNTIF($B$2:B844,B844)=1,MAX($AV$1:AV843)+1,""))</f>
        <v/>
      </c>
    </row>
    <row r="845" customFormat="false" ht="1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7" t="str">
        <f aca="false">IF(B845="","",IF(COUNTIF($B$2:B845,B845)=1,MAX($AV$1:AV844)+1,""))</f>
        <v/>
      </c>
    </row>
    <row r="846" customFormat="false" ht="1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7" t="str">
        <f aca="false">IF(B846="","",IF(COUNTIF($B$2:B846,B846)=1,MAX($AV$1:AV845)+1,""))</f>
        <v/>
      </c>
    </row>
    <row r="847" customFormat="false" ht="1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7" t="str">
        <f aca="false">IF(B847="","",IF(COUNTIF($B$2:B847,B847)=1,MAX($AV$1:AV846)+1,""))</f>
        <v/>
      </c>
    </row>
    <row r="848" customFormat="false" ht="1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7" t="str">
        <f aca="false">IF(B848="","",IF(COUNTIF($B$2:B848,B848)=1,MAX($AV$1:AV847)+1,""))</f>
        <v/>
      </c>
    </row>
    <row r="849" customFormat="false" ht="1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7" t="str">
        <f aca="false">IF(B849="","",IF(COUNTIF($B$2:B849,B849)=1,MAX($AV$1:AV848)+1,""))</f>
        <v/>
      </c>
    </row>
    <row r="850" customFormat="false" ht="1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7" t="str">
        <f aca="false">IF(B850="","",IF(COUNTIF($B$2:B850,B850)=1,MAX($AV$1:AV849)+1,""))</f>
        <v/>
      </c>
    </row>
    <row r="851" customFormat="false" ht="1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7" t="str">
        <f aca="false">IF(B851="","",IF(COUNTIF($B$2:B851,B851)=1,MAX($AV$1:AV850)+1,""))</f>
        <v/>
      </c>
    </row>
    <row r="852" customFormat="false" ht="1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7" t="str">
        <f aca="false">IF(B852="","",IF(COUNTIF($B$2:B852,B852)=1,MAX($AV$1:AV851)+1,""))</f>
        <v/>
      </c>
    </row>
    <row r="853" customFormat="false" ht="1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7" t="str">
        <f aca="false">IF(B853="","",IF(COUNTIF($B$2:B853,B853)=1,MAX($AV$1:AV852)+1,""))</f>
        <v/>
      </c>
    </row>
    <row r="854" customFormat="false" ht="1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7" t="str">
        <f aca="false">IF(B854="","",IF(COUNTIF($B$2:B854,B854)=1,MAX($AV$1:AV853)+1,""))</f>
        <v/>
      </c>
    </row>
    <row r="855" customFormat="false" ht="1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7" t="str">
        <f aca="false">IF(B855="","",IF(COUNTIF($B$2:B855,B855)=1,MAX($AV$1:AV854)+1,""))</f>
        <v/>
      </c>
    </row>
    <row r="856" customFormat="false" ht="1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7" t="str">
        <f aca="false">IF(B856="","",IF(COUNTIF($B$2:B856,B856)=1,MAX($AV$1:AV855)+1,""))</f>
        <v/>
      </c>
    </row>
    <row r="857" customFormat="false" ht="1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7" t="str">
        <f aca="false">IF(B857="","",IF(COUNTIF($B$2:B857,B857)=1,MAX($AV$1:AV856)+1,""))</f>
        <v/>
      </c>
    </row>
    <row r="858" customFormat="false" ht="1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7" t="str">
        <f aca="false">IF(B858="","",IF(COUNTIF($B$2:B858,B858)=1,MAX($AV$1:AV857)+1,""))</f>
        <v/>
      </c>
    </row>
    <row r="859" customFormat="false" ht="1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7" t="str">
        <f aca="false">IF(B859="","",IF(COUNTIF($B$2:B859,B859)=1,MAX($AV$1:AV858)+1,""))</f>
        <v/>
      </c>
    </row>
    <row r="860" customFormat="false" ht="1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7" t="str">
        <f aca="false">IF(B860="","",IF(COUNTIF($B$2:B860,B860)=1,MAX($AV$1:AV859)+1,""))</f>
        <v/>
      </c>
    </row>
    <row r="861" customFormat="false" ht="1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7" t="str">
        <f aca="false">IF(B861="","",IF(COUNTIF($B$2:B861,B861)=1,MAX($AV$1:AV860)+1,""))</f>
        <v/>
      </c>
    </row>
    <row r="862" customFormat="false" ht="1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7" t="str">
        <f aca="false">IF(B862="","",IF(COUNTIF($B$2:B862,B862)=1,MAX($AV$1:AV861)+1,""))</f>
        <v/>
      </c>
    </row>
    <row r="863" customFormat="false" ht="1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7" t="str">
        <f aca="false">IF(B863="","",IF(COUNTIF($B$2:B863,B863)=1,MAX($AV$1:AV862)+1,""))</f>
        <v/>
      </c>
    </row>
    <row r="864" customFormat="false" ht="1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7" t="str">
        <f aca="false">IF(B864="","",IF(COUNTIF($B$2:B864,B864)=1,MAX($AV$1:AV863)+1,""))</f>
        <v/>
      </c>
    </row>
    <row r="865" customFormat="false" ht="1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7" t="str">
        <f aca="false">IF(B865="","",IF(COUNTIF($B$2:B865,B865)=1,MAX($AV$1:AV864)+1,""))</f>
        <v/>
      </c>
    </row>
    <row r="866" customFormat="false" ht="1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7" t="str">
        <f aca="false">IF(B866="","",IF(COUNTIF($B$2:B866,B866)=1,MAX($AV$1:AV865)+1,""))</f>
        <v/>
      </c>
    </row>
    <row r="867" customFormat="false" ht="1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7" t="str">
        <f aca="false">IF(B867="","",IF(COUNTIF($B$2:B867,B867)=1,MAX($AV$1:AV866)+1,""))</f>
        <v/>
      </c>
    </row>
    <row r="868" customFormat="false" ht="1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7" t="str">
        <f aca="false">IF(B868="","",IF(COUNTIF($B$2:B868,B868)=1,MAX($AV$1:AV867)+1,""))</f>
        <v/>
      </c>
    </row>
    <row r="869" customFormat="false" ht="1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7" t="str">
        <f aca="false">IF(B869="","",IF(COUNTIF($B$2:B869,B869)=1,MAX($AV$1:AV868)+1,""))</f>
        <v/>
      </c>
    </row>
    <row r="870" customFormat="false" ht="1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7" t="str">
        <f aca="false">IF(B870="","",IF(COUNTIF($B$2:B870,B870)=1,MAX($AV$1:AV869)+1,""))</f>
        <v/>
      </c>
    </row>
    <row r="871" customFormat="false" ht="1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7" t="str">
        <f aca="false">IF(B871="","",IF(COUNTIF($B$2:B871,B871)=1,MAX($AV$1:AV870)+1,""))</f>
        <v/>
      </c>
    </row>
    <row r="872" customFormat="false" ht="1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7" t="str">
        <f aca="false">IF(B872="","",IF(COUNTIF($B$2:B872,B872)=1,MAX($AV$1:AV871)+1,""))</f>
        <v/>
      </c>
    </row>
    <row r="873" customFormat="false" ht="1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7" t="str">
        <f aca="false">IF(B873="","",IF(COUNTIF($B$2:B873,B873)=1,MAX($AV$1:AV872)+1,""))</f>
        <v/>
      </c>
    </row>
    <row r="874" customFormat="false" ht="1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7" t="str">
        <f aca="false">IF(B874="","",IF(COUNTIF($B$2:B874,B874)=1,MAX($AV$1:AV873)+1,""))</f>
        <v/>
      </c>
    </row>
    <row r="875" customFormat="false" ht="1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7" t="str">
        <f aca="false">IF(B875="","",IF(COUNTIF($B$2:B875,B875)=1,MAX($AV$1:AV874)+1,""))</f>
        <v/>
      </c>
    </row>
    <row r="876" customFormat="false" ht="1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7" t="str">
        <f aca="false">IF(B876="","",IF(COUNTIF($B$2:B876,B876)=1,MAX($AV$1:AV875)+1,""))</f>
        <v/>
      </c>
    </row>
    <row r="877" customFormat="false" ht="1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7" t="str">
        <f aca="false">IF(B877="","",IF(COUNTIF($B$2:B877,B877)=1,MAX($AV$1:AV876)+1,""))</f>
        <v/>
      </c>
    </row>
    <row r="878" customFormat="false" ht="1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7" t="str">
        <f aca="false">IF(B878="","",IF(COUNTIF($B$2:B878,B878)=1,MAX($AV$1:AV877)+1,""))</f>
        <v/>
      </c>
    </row>
    <row r="879" customFormat="false" ht="1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7" t="str">
        <f aca="false">IF(B879="","",IF(COUNTIF($B$2:B879,B879)=1,MAX($AV$1:AV878)+1,""))</f>
        <v/>
      </c>
    </row>
    <row r="880" customFormat="false" ht="1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7" t="str">
        <f aca="false">IF(B880="","",IF(COUNTIF($B$2:B880,B880)=1,MAX($AV$1:AV879)+1,""))</f>
        <v/>
      </c>
    </row>
    <row r="881" customFormat="false" ht="1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7" t="str">
        <f aca="false">IF(B881="","",IF(COUNTIF($B$2:B881,B881)=1,MAX($AV$1:AV880)+1,""))</f>
        <v/>
      </c>
    </row>
    <row r="882" customFormat="false" ht="1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7" t="str">
        <f aca="false">IF(B882="","",IF(COUNTIF($B$2:B882,B882)=1,MAX($AV$1:AV881)+1,""))</f>
        <v/>
      </c>
    </row>
    <row r="883" customFormat="false" ht="1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7" t="str">
        <f aca="false">IF(B883="","",IF(COUNTIF($B$2:B883,B883)=1,MAX($AV$1:AV882)+1,""))</f>
        <v/>
      </c>
    </row>
    <row r="884" customFormat="false" ht="1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7" t="str">
        <f aca="false">IF(B884="","",IF(COUNTIF($B$2:B884,B884)=1,MAX($AV$1:AV883)+1,""))</f>
        <v/>
      </c>
    </row>
    <row r="885" customFormat="false" ht="1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7" t="str">
        <f aca="false">IF(B885="","",IF(COUNTIF($B$2:B885,B885)=1,MAX($AV$1:AV884)+1,""))</f>
        <v/>
      </c>
    </row>
    <row r="886" customFormat="false" ht="1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7" t="str">
        <f aca="false">IF(B886="","",IF(COUNTIF($B$2:B886,B886)=1,MAX($AV$1:AV885)+1,""))</f>
        <v/>
      </c>
    </row>
    <row r="887" customFormat="false" ht="1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7" t="str">
        <f aca="false">IF(B887="","",IF(COUNTIF($B$2:B887,B887)=1,MAX($AV$1:AV886)+1,""))</f>
        <v/>
      </c>
    </row>
    <row r="888" customFormat="false" ht="1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7" t="str">
        <f aca="false">IF(B888="","",IF(COUNTIF($B$2:B888,B888)=1,MAX($AV$1:AV887)+1,""))</f>
        <v/>
      </c>
    </row>
    <row r="889" customFormat="false" ht="1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7" t="str">
        <f aca="false">IF(B889="","",IF(COUNTIF($B$2:B889,B889)=1,MAX($AV$1:AV888)+1,""))</f>
        <v/>
      </c>
    </row>
    <row r="890" customFormat="false" ht="1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7" t="str">
        <f aca="false">IF(B890="","",IF(COUNTIF($B$2:B890,B890)=1,MAX($AV$1:AV889)+1,""))</f>
        <v/>
      </c>
    </row>
    <row r="891" customFormat="false" ht="1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7" t="str">
        <f aca="false">IF(B891="","",IF(COUNTIF($B$2:B891,B891)=1,MAX($AV$1:AV890)+1,""))</f>
        <v/>
      </c>
    </row>
    <row r="892" customFormat="false" ht="1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7" t="str">
        <f aca="false">IF(B892="","",IF(COUNTIF($B$2:B892,B892)=1,MAX($AV$1:AV891)+1,""))</f>
        <v/>
      </c>
    </row>
    <row r="893" customFormat="false" ht="1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7" t="str">
        <f aca="false">IF(B893="","",IF(COUNTIF($B$2:B893,B893)=1,MAX($AV$1:AV892)+1,""))</f>
        <v/>
      </c>
    </row>
    <row r="894" customFormat="false" ht="1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7" t="str">
        <f aca="false">IF(B894="","",IF(COUNTIF($B$2:B894,B894)=1,MAX($AV$1:AV893)+1,""))</f>
        <v/>
      </c>
    </row>
    <row r="895" customFormat="false" ht="1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7" t="str">
        <f aca="false">IF(B895="","",IF(COUNTIF($B$2:B895,B895)=1,MAX($AV$1:AV894)+1,""))</f>
        <v/>
      </c>
    </row>
    <row r="896" customFormat="false" ht="1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7" t="str">
        <f aca="false">IF(B896="","",IF(COUNTIF($B$2:B896,B896)=1,MAX($AV$1:AV895)+1,""))</f>
        <v/>
      </c>
    </row>
    <row r="897" customFormat="false" ht="1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7" t="str">
        <f aca="false">IF(B897="","",IF(COUNTIF($B$2:B897,B897)=1,MAX($AV$1:AV896)+1,""))</f>
        <v/>
      </c>
    </row>
    <row r="898" customFormat="false" ht="1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7" t="str">
        <f aca="false">IF(B898="","",IF(COUNTIF($B$2:B898,B898)=1,MAX($AV$1:AV897)+1,""))</f>
        <v/>
      </c>
    </row>
    <row r="899" customFormat="false" ht="1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7" t="str">
        <f aca="false">IF(B899="","",IF(COUNTIF($B$2:B899,B899)=1,MAX($AV$1:AV898)+1,""))</f>
        <v/>
      </c>
    </row>
    <row r="900" customFormat="false" ht="1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7" t="str">
        <f aca="false">IF(B900="","",IF(COUNTIF($B$2:B900,B900)=1,MAX($AV$1:AV899)+1,""))</f>
        <v/>
      </c>
    </row>
    <row r="901" customFormat="false" ht="1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7" t="str">
        <f aca="false">IF(B901="","",IF(COUNTIF($B$2:B901,B901)=1,MAX($AV$1:AV900)+1,""))</f>
        <v/>
      </c>
    </row>
    <row r="902" customFormat="false" ht="1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7" t="str">
        <f aca="false">IF(B902="","",IF(COUNTIF($B$2:B902,B902)=1,MAX($AV$1:AV901)+1,""))</f>
        <v/>
      </c>
    </row>
    <row r="903" customFormat="false" ht="1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7" t="str">
        <f aca="false">IF(B903="","",IF(COUNTIF($B$2:B903,B903)=1,MAX($AV$1:AV902)+1,""))</f>
        <v/>
      </c>
    </row>
    <row r="904" customFormat="false" ht="1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7" t="str">
        <f aca="false">IF(B904="","",IF(COUNTIF($B$2:B904,B904)=1,MAX($AV$1:AV903)+1,""))</f>
        <v/>
      </c>
    </row>
    <row r="905" customFormat="false" ht="1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7" t="str">
        <f aca="false">IF(B905="","",IF(COUNTIF($B$2:B905,B905)=1,MAX($AV$1:AV904)+1,""))</f>
        <v/>
      </c>
    </row>
    <row r="906" customFormat="false" ht="1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7" t="str">
        <f aca="false">IF(B906="","",IF(COUNTIF($B$2:B906,B906)=1,MAX($AV$1:AV905)+1,""))</f>
        <v/>
      </c>
    </row>
    <row r="907" customFormat="false" ht="1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7" t="str">
        <f aca="false">IF(B907="","",IF(COUNTIF($B$2:B907,B907)=1,MAX($AV$1:AV906)+1,""))</f>
        <v/>
      </c>
    </row>
    <row r="908" customFormat="false" ht="1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7" t="str">
        <f aca="false">IF(B908="","",IF(COUNTIF($B$2:B908,B908)=1,MAX($AV$1:AV907)+1,""))</f>
        <v/>
      </c>
    </row>
    <row r="909" customFormat="false" ht="1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7" t="str">
        <f aca="false">IF(B909="","",IF(COUNTIF($B$2:B909,B909)=1,MAX($AV$1:AV908)+1,""))</f>
        <v/>
      </c>
    </row>
    <row r="910" customFormat="false" ht="1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7" t="str">
        <f aca="false">IF(B910="","",IF(COUNTIF($B$2:B910,B910)=1,MAX($AV$1:AV909)+1,""))</f>
        <v/>
      </c>
    </row>
    <row r="911" customFormat="false" ht="1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7" t="str">
        <f aca="false">IF(B911="","",IF(COUNTIF($B$2:B911,B911)=1,MAX($AV$1:AV910)+1,""))</f>
        <v/>
      </c>
    </row>
    <row r="912" customFormat="false" ht="1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7" t="str">
        <f aca="false">IF(B912="","",IF(COUNTIF($B$2:B912,B912)=1,MAX($AV$1:AV911)+1,""))</f>
        <v/>
      </c>
    </row>
    <row r="913" customFormat="false" ht="1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7" t="str">
        <f aca="false">IF(B913="","",IF(COUNTIF($B$2:B913,B913)=1,MAX($AV$1:AV912)+1,""))</f>
        <v/>
      </c>
    </row>
    <row r="914" customFormat="false" ht="1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7" t="str">
        <f aca="false">IF(B914="","",IF(COUNTIF($B$2:B914,B914)=1,MAX($AV$1:AV913)+1,""))</f>
        <v/>
      </c>
    </row>
    <row r="915" customFormat="false" ht="1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7" t="str">
        <f aca="false">IF(B915="","",IF(COUNTIF($B$2:B915,B915)=1,MAX($AV$1:AV914)+1,""))</f>
        <v/>
      </c>
    </row>
    <row r="916" customFormat="false" ht="1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7" t="str">
        <f aca="false">IF(B916="","",IF(COUNTIF($B$2:B916,B916)=1,MAX($AV$1:AV915)+1,""))</f>
        <v/>
      </c>
    </row>
    <row r="917" customFormat="false" ht="1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7" t="str">
        <f aca="false">IF(B917="","",IF(COUNTIF($B$2:B917,B917)=1,MAX($AV$1:AV916)+1,""))</f>
        <v/>
      </c>
    </row>
    <row r="918" customFormat="false" ht="1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7" t="str">
        <f aca="false">IF(B918="","",IF(COUNTIF($B$2:B918,B918)=1,MAX($AV$1:AV917)+1,""))</f>
        <v/>
      </c>
    </row>
    <row r="919" customFormat="false" ht="1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7" t="str">
        <f aca="false">IF(B919="","",IF(COUNTIF($B$2:B919,B919)=1,MAX($AV$1:AV918)+1,""))</f>
        <v/>
      </c>
    </row>
    <row r="920" customFormat="false" ht="1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7" t="str">
        <f aca="false">IF(B920="","",IF(COUNTIF($B$2:B920,B920)=1,MAX($AV$1:AV919)+1,""))</f>
        <v/>
      </c>
    </row>
    <row r="921" customFormat="false" ht="1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7" t="str">
        <f aca="false">IF(B921="","",IF(COUNTIF($B$2:B921,B921)=1,MAX($AV$1:AV920)+1,""))</f>
        <v/>
      </c>
    </row>
    <row r="922" customFormat="false" ht="1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7" t="str">
        <f aca="false">IF(B922="","",IF(COUNTIF($B$2:B922,B922)=1,MAX($AV$1:AV921)+1,""))</f>
        <v/>
      </c>
    </row>
    <row r="923" customFormat="false" ht="1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7" t="str">
        <f aca="false">IF(B923="","",IF(COUNTIF($B$2:B923,B923)=1,MAX($AV$1:AV922)+1,""))</f>
        <v/>
      </c>
    </row>
    <row r="924" customFormat="false" ht="1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7" t="str">
        <f aca="false">IF(B924="","",IF(COUNTIF($B$2:B924,B924)=1,MAX($AV$1:AV923)+1,""))</f>
        <v/>
      </c>
    </row>
    <row r="925" customFormat="false" ht="1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7" t="str">
        <f aca="false">IF(B925="","",IF(COUNTIF($B$2:B925,B925)=1,MAX($AV$1:AV924)+1,""))</f>
        <v/>
      </c>
    </row>
    <row r="926" customFormat="false" ht="1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7" t="str">
        <f aca="false">IF(B926="","",IF(COUNTIF($B$2:B926,B926)=1,MAX($AV$1:AV925)+1,""))</f>
        <v/>
      </c>
    </row>
    <row r="927" customFormat="false" ht="1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7" t="str">
        <f aca="false">IF(B927="","",IF(COUNTIF($B$2:B927,B927)=1,MAX($AV$1:AV926)+1,""))</f>
        <v/>
      </c>
    </row>
    <row r="928" customFormat="false" ht="1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7" t="str">
        <f aca="false">IF(B928="","",IF(COUNTIF($B$2:B928,B928)=1,MAX($AV$1:AV927)+1,""))</f>
        <v/>
      </c>
    </row>
    <row r="929" customFormat="false" ht="1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7" t="str">
        <f aca="false">IF(B929="","",IF(COUNTIF($B$2:B929,B929)=1,MAX($AV$1:AV928)+1,""))</f>
        <v/>
      </c>
    </row>
    <row r="930" customFormat="false" ht="1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7" t="str">
        <f aca="false">IF(B930="","",IF(COUNTIF($B$2:B930,B930)=1,MAX($AV$1:AV929)+1,""))</f>
        <v/>
      </c>
    </row>
    <row r="931" customFormat="false" ht="1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7" t="str">
        <f aca="false">IF(B931="","",IF(COUNTIF($B$2:B931,B931)=1,MAX($AV$1:AV930)+1,""))</f>
        <v/>
      </c>
    </row>
    <row r="932" customFormat="false" ht="1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7" t="str">
        <f aca="false">IF(B932="","",IF(COUNTIF($B$2:B932,B932)=1,MAX($AV$1:AV931)+1,""))</f>
        <v/>
      </c>
    </row>
    <row r="933" customFormat="false" ht="1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7" t="str">
        <f aca="false">IF(B933="","",IF(COUNTIF($B$2:B933,B933)=1,MAX($AV$1:AV932)+1,""))</f>
        <v/>
      </c>
    </row>
    <row r="934" customFormat="false" ht="1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7" t="str">
        <f aca="false">IF(B934="","",IF(COUNTIF($B$2:B934,B934)=1,MAX($AV$1:AV933)+1,""))</f>
        <v/>
      </c>
    </row>
    <row r="935" customFormat="false" ht="1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7" t="str">
        <f aca="false">IF(B935="","",IF(COUNTIF($B$2:B935,B935)=1,MAX($AV$1:AV934)+1,""))</f>
        <v/>
      </c>
    </row>
    <row r="936" customFormat="false" ht="1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7" t="str">
        <f aca="false">IF(B936="","",IF(COUNTIF($B$2:B936,B936)=1,MAX($AV$1:AV935)+1,""))</f>
        <v/>
      </c>
    </row>
    <row r="937" customFormat="false" ht="1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7" t="str">
        <f aca="false">IF(B937="","",IF(COUNTIF($B$2:B937,B937)=1,MAX($AV$1:AV936)+1,""))</f>
        <v/>
      </c>
    </row>
    <row r="938" customFormat="false" ht="1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7" t="str">
        <f aca="false">IF(B938="","",IF(COUNTIF($B$2:B938,B938)=1,MAX($AV$1:AV937)+1,""))</f>
        <v/>
      </c>
    </row>
    <row r="939" customFormat="false" ht="1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7" t="str">
        <f aca="false">IF(B939="","",IF(COUNTIF($B$2:B939,B939)=1,MAX($AV$1:AV938)+1,""))</f>
        <v/>
      </c>
    </row>
    <row r="940" customFormat="false" ht="1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7" t="str">
        <f aca="false">IF(B940="","",IF(COUNTIF($B$2:B940,B940)=1,MAX($AV$1:AV939)+1,""))</f>
        <v/>
      </c>
    </row>
    <row r="941" customFormat="false" ht="1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7" t="str">
        <f aca="false">IF(B941="","",IF(COUNTIF($B$2:B941,B941)=1,MAX($AV$1:AV940)+1,""))</f>
        <v/>
      </c>
    </row>
    <row r="942" customFormat="false" ht="1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7" t="str">
        <f aca="false">IF(B942="","",IF(COUNTIF($B$2:B942,B942)=1,MAX($AV$1:AV941)+1,""))</f>
        <v/>
      </c>
    </row>
    <row r="943" customFormat="false" ht="1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7" t="str">
        <f aca="false">IF(B943="","",IF(COUNTIF($B$2:B943,B943)=1,MAX($AV$1:AV942)+1,""))</f>
        <v/>
      </c>
    </row>
    <row r="944" customFormat="false" ht="1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7" t="str">
        <f aca="false">IF(B944="","",IF(COUNTIF($B$2:B944,B944)=1,MAX($AV$1:AV943)+1,""))</f>
        <v/>
      </c>
    </row>
    <row r="945" customFormat="false" ht="1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7" t="str">
        <f aca="false">IF(B945="","",IF(COUNTIF($B$2:B945,B945)=1,MAX($AV$1:AV944)+1,""))</f>
        <v/>
      </c>
    </row>
    <row r="946" customFormat="false" ht="1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7" t="str">
        <f aca="false">IF(B946="","",IF(COUNTIF($B$2:B946,B946)=1,MAX($AV$1:AV945)+1,""))</f>
        <v/>
      </c>
    </row>
    <row r="947" customFormat="false" ht="1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7" t="str">
        <f aca="false">IF(B947="","",IF(COUNTIF($B$2:B947,B947)=1,MAX($AV$1:AV946)+1,""))</f>
        <v/>
      </c>
    </row>
    <row r="948" customFormat="false" ht="1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7" t="str">
        <f aca="false">IF(B948="","",IF(COUNTIF($B$2:B948,B948)=1,MAX($AV$1:AV947)+1,""))</f>
        <v/>
      </c>
    </row>
    <row r="949" customFormat="false" ht="1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7" t="str">
        <f aca="false">IF(B949="","",IF(COUNTIF($B$2:B949,B949)=1,MAX($AV$1:AV948)+1,""))</f>
        <v/>
      </c>
    </row>
    <row r="950" customFormat="false" ht="1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7" t="str">
        <f aca="false">IF(B950="","",IF(COUNTIF($B$2:B950,B950)=1,MAX($AV$1:AV949)+1,""))</f>
        <v/>
      </c>
    </row>
    <row r="951" customFormat="false" ht="1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7" t="str">
        <f aca="false">IF(B951="","",IF(COUNTIF($B$2:B951,B951)=1,MAX($AV$1:AV950)+1,""))</f>
        <v/>
      </c>
    </row>
    <row r="952" customFormat="false" ht="1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7" t="str">
        <f aca="false">IF(B952="","",IF(COUNTIF($B$2:B952,B952)=1,MAX($AV$1:AV951)+1,""))</f>
        <v/>
      </c>
    </row>
    <row r="953" customFormat="false" ht="1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7" t="str">
        <f aca="false">IF(B953="","",IF(COUNTIF($B$2:B953,B953)=1,MAX($AV$1:AV952)+1,""))</f>
        <v/>
      </c>
    </row>
    <row r="954" customFormat="false" ht="1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7" t="str">
        <f aca="false">IF(B954="","",IF(COUNTIF($B$2:B954,B954)=1,MAX($AV$1:AV953)+1,""))</f>
        <v/>
      </c>
    </row>
    <row r="955" customFormat="false" ht="1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7" t="str">
        <f aca="false">IF(B955="","",IF(COUNTIF($B$2:B955,B955)=1,MAX($AV$1:AV954)+1,""))</f>
        <v/>
      </c>
    </row>
    <row r="956" customFormat="false" ht="1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7" t="str">
        <f aca="false">IF(B956="","",IF(COUNTIF($B$2:B956,B956)=1,MAX($AV$1:AV955)+1,""))</f>
        <v/>
      </c>
    </row>
    <row r="957" customFormat="false" ht="1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7" t="str">
        <f aca="false">IF(B957="","",IF(COUNTIF($B$2:B957,B957)=1,MAX($AV$1:AV956)+1,""))</f>
        <v/>
      </c>
    </row>
    <row r="958" customFormat="false" ht="1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7" t="str">
        <f aca="false">IF(B958="","",IF(COUNTIF($B$2:B958,B958)=1,MAX($AV$1:AV957)+1,""))</f>
        <v/>
      </c>
    </row>
    <row r="959" customFormat="false" ht="1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7" t="str">
        <f aca="false">IF(B959="","",IF(COUNTIF($B$2:B959,B959)=1,MAX($AV$1:AV958)+1,""))</f>
        <v/>
      </c>
    </row>
    <row r="960" customFormat="false" ht="1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7" t="str">
        <f aca="false">IF(B960="","",IF(COUNTIF($B$2:B960,B960)=1,MAX($AV$1:AV959)+1,""))</f>
        <v/>
      </c>
    </row>
    <row r="961" customFormat="false" ht="1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7" t="str">
        <f aca="false">IF(B961="","",IF(COUNTIF($B$2:B961,B961)=1,MAX($AV$1:AV960)+1,""))</f>
        <v/>
      </c>
    </row>
    <row r="962" customFormat="false" ht="1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7" t="str">
        <f aca="false">IF(B962="","",IF(COUNTIF($B$2:B962,B962)=1,MAX($AV$1:AV961)+1,""))</f>
        <v/>
      </c>
    </row>
    <row r="963" customFormat="false" ht="1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7" t="str">
        <f aca="false">IF(B963="","",IF(COUNTIF($B$2:B963,B963)=1,MAX($AV$1:AV962)+1,""))</f>
        <v/>
      </c>
    </row>
    <row r="964" customFormat="false" ht="1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7" t="str">
        <f aca="false">IF(B964="","",IF(COUNTIF($B$2:B964,B964)=1,MAX($AV$1:AV963)+1,""))</f>
        <v/>
      </c>
    </row>
    <row r="965" customFormat="false" ht="1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7" t="str">
        <f aca="false">IF(B965="","",IF(COUNTIF($B$2:B965,B965)=1,MAX($AV$1:AV964)+1,""))</f>
        <v/>
      </c>
    </row>
    <row r="966" customFormat="false" ht="1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7" t="str">
        <f aca="false">IF(B966="","",IF(COUNTIF($B$2:B966,B966)=1,MAX($AV$1:AV965)+1,""))</f>
        <v/>
      </c>
    </row>
    <row r="967" customFormat="false" ht="1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7" t="str">
        <f aca="false">IF(B967="","",IF(COUNTIF($B$2:B967,B967)=1,MAX($AV$1:AV966)+1,""))</f>
        <v/>
      </c>
    </row>
    <row r="968" customFormat="false" ht="1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7" t="str">
        <f aca="false">IF(B968="","",IF(COUNTIF($B$2:B968,B968)=1,MAX($AV$1:AV967)+1,""))</f>
        <v/>
      </c>
    </row>
    <row r="969" customFormat="false" ht="1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7" t="str">
        <f aca="false">IF(B969="","",IF(COUNTIF($B$2:B969,B969)=1,MAX($AV$1:AV968)+1,""))</f>
        <v/>
      </c>
    </row>
    <row r="970" customFormat="false" ht="1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7" t="str">
        <f aca="false">IF(B970="","",IF(COUNTIF($B$2:B970,B970)=1,MAX($AV$1:AV969)+1,""))</f>
        <v/>
      </c>
    </row>
    <row r="971" customFormat="false" ht="1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7" t="str">
        <f aca="false">IF(B971="","",IF(COUNTIF($B$2:B971,B971)=1,MAX($AV$1:AV970)+1,""))</f>
        <v/>
      </c>
    </row>
    <row r="972" customFormat="false" ht="1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7" t="str">
        <f aca="false">IF(B972="","",IF(COUNTIF($B$2:B972,B972)=1,MAX($AV$1:AV971)+1,""))</f>
        <v/>
      </c>
    </row>
    <row r="973" customFormat="false" ht="1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7" t="str">
        <f aca="false">IF(B973="","",IF(COUNTIF($B$2:B973,B973)=1,MAX($AV$1:AV972)+1,""))</f>
        <v/>
      </c>
    </row>
    <row r="974" customFormat="false" ht="1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7" t="str">
        <f aca="false">IF(B974="","",IF(COUNTIF($B$2:B974,B974)=1,MAX($AV$1:AV973)+1,""))</f>
        <v/>
      </c>
    </row>
    <row r="975" customFormat="false" ht="1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7" t="str">
        <f aca="false">IF(B975="","",IF(COUNTIF($B$2:B975,B975)=1,MAX($AV$1:AV974)+1,""))</f>
        <v/>
      </c>
    </row>
    <row r="976" customFormat="false" ht="1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7" t="str">
        <f aca="false">IF(B976="","",IF(COUNTIF($B$2:B976,B976)=1,MAX($AV$1:AV975)+1,""))</f>
        <v/>
      </c>
    </row>
    <row r="977" customFormat="false" ht="1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7" t="str">
        <f aca="false">IF(B977="","",IF(COUNTIF($B$2:B977,B977)=1,MAX($AV$1:AV976)+1,""))</f>
        <v/>
      </c>
    </row>
    <row r="978" customFormat="false" ht="1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7" t="str">
        <f aca="false">IF(B978="","",IF(COUNTIF($B$2:B978,B978)=1,MAX($AV$1:AV977)+1,""))</f>
        <v/>
      </c>
    </row>
    <row r="979" customFormat="false" ht="1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7" t="str">
        <f aca="false">IF(B979="","",IF(COUNTIF($B$2:B979,B979)=1,MAX($AV$1:AV978)+1,""))</f>
        <v/>
      </c>
    </row>
    <row r="980" customFormat="false" ht="1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7" t="str">
        <f aca="false">IF(B980="","",IF(COUNTIF($B$2:B980,B980)=1,MAX($AV$1:AV979)+1,""))</f>
        <v/>
      </c>
    </row>
    <row r="981" customFormat="false" ht="1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7" t="str">
        <f aca="false">IF(B981="","",IF(COUNTIF($B$2:B981,B981)=1,MAX($AV$1:AV980)+1,""))</f>
        <v/>
      </c>
    </row>
    <row r="982" customFormat="false" ht="1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7" t="str">
        <f aca="false">IF(B982="","",IF(COUNTIF($B$2:B982,B982)=1,MAX($AV$1:AV981)+1,""))</f>
        <v/>
      </c>
    </row>
    <row r="983" customFormat="false" ht="1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7" t="str">
        <f aca="false">IF(B983="","",IF(COUNTIF($B$2:B983,B983)=1,MAX($AV$1:AV982)+1,""))</f>
        <v/>
      </c>
    </row>
    <row r="984" customFormat="false" ht="1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7" t="str">
        <f aca="false">IF(B984="","",IF(COUNTIF($B$2:B984,B984)=1,MAX($AV$1:AV983)+1,""))</f>
        <v/>
      </c>
    </row>
    <row r="985" customFormat="false" ht="1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7" t="str">
        <f aca="false">IF(B985="","",IF(COUNTIF($B$2:B985,B985)=1,MAX($AV$1:AV984)+1,""))</f>
        <v/>
      </c>
    </row>
    <row r="986" customFormat="false" ht="1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7" t="str">
        <f aca="false">IF(B986="","",IF(COUNTIF($B$2:B986,B986)=1,MAX($AV$1:AV985)+1,""))</f>
        <v/>
      </c>
    </row>
    <row r="987" customFormat="false" ht="1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7" t="str">
        <f aca="false">IF(B987="","",IF(COUNTIF($B$2:B987,B987)=1,MAX($AV$1:AV986)+1,""))</f>
        <v/>
      </c>
    </row>
    <row r="988" customFormat="false" ht="1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7" t="str">
        <f aca="false">IF(B988="","",IF(COUNTIF($B$2:B988,B988)=1,MAX($AV$1:AV987)+1,""))</f>
        <v/>
      </c>
    </row>
    <row r="989" customFormat="false" ht="1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7" t="str">
        <f aca="false">IF(B989="","",IF(COUNTIF($B$2:B989,B989)=1,MAX($AV$1:AV988)+1,""))</f>
        <v/>
      </c>
    </row>
    <row r="990" customFormat="false" ht="1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7" t="str">
        <f aca="false">IF(B990="","",IF(COUNTIF($B$2:B990,B990)=1,MAX($AV$1:AV989)+1,""))</f>
        <v/>
      </c>
    </row>
    <row r="991" customFormat="false" ht="1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7" t="str">
        <f aca="false">IF(B991="","",IF(COUNTIF($B$2:B991,B991)=1,MAX($AV$1:AV990)+1,""))</f>
        <v/>
      </c>
    </row>
    <row r="992" customFormat="false" ht="1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7" t="str">
        <f aca="false">IF(B992="","",IF(COUNTIF($B$2:B992,B992)=1,MAX($AV$1:AV991)+1,""))</f>
        <v/>
      </c>
    </row>
    <row r="993" customFormat="false" ht="1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7" t="str">
        <f aca="false">IF(B993="","",IF(COUNTIF($B$2:B993,B993)=1,MAX($AV$1:AV992)+1,""))</f>
        <v/>
      </c>
    </row>
    <row r="994" customFormat="false" ht="1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7" t="str">
        <f aca="false">IF(B994="","",IF(COUNTIF($B$2:B994,B994)=1,MAX($AV$1:AV993)+1,""))</f>
        <v/>
      </c>
    </row>
    <row r="995" customFormat="false" ht="1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7" t="str">
        <f aca="false">IF(B995="","",IF(COUNTIF($B$2:B995,B995)=1,MAX($AV$1:AV994)+1,""))</f>
        <v/>
      </c>
    </row>
    <row r="996" customFormat="false" ht="1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7" t="str">
        <f aca="false">IF(B996="","",IF(COUNTIF($B$2:B996,B996)=1,MAX($AV$1:AV995)+1,""))</f>
        <v/>
      </c>
    </row>
    <row r="997" customFormat="false" ht="1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7" t="str">
        <f aca="false">IF(B997="","",IF(COUNTIF($B$2:B997,B997)=1,MAX($AV$1:AV996)+1,""))</f>
        <v/>
      </c>
    </row>
    <row r="998" customFormat="false" ht="1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7" t="str">
        <f aca="false">IF(B998="","",IF(COUNTIF($B$2:B998,B998)=1,MAX($AV$1:AV997)+1,""))</f>
        <v/>
      </c>
    </row>
    <row r="999" customFormat="false" ht="1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7" t="str">
        <f aca="false">IF(B999="","",IF(COUNTIF($B$2:B999,B999)=1,MAX($AV$1:AV998)+1,""))</f>
        <v/>
      </c>
    </row>
    <row r="1000" customFormat="false" ht="1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7" t="str">
        <f aca="false">IF(B1000="","",IF(COUNTIF($B$2:B1000,B1000)=1,MAX($AV$1:AV999)+1,""))</f>
        <v/>
      </c>
    </row>
    <row r="1001" customFormat="false" ht="1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7" t="str">
        <f aca="false">IF(B1001="","",IF(COUNTIF($B$2:B1001,B1001)=1,MAX($AV$1:AV1000)+1,""))</f>
        <v/>
      </c>
    </row>
    <row r="1002" customFormat="false" ht="15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7" t="str">
        <f aca="false">IF(B1002="","",IF(COUNTIF($B$2:B1002,B1002)=1,MAX($AV$1:AV1001)+1,""))</f>
        <v/>
      </c>
    </row>
    <row r="1003" customFormat="false" ht="15" hidden="false" customHeight="fals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7" t="str">
        <f aca="false">IF(B1003="","",IF(COUNTIF($B$2:B1003,B1003)=1,MAX($AV$1:AV1002)+1,""))</f>
        <v/>
      </c>
    </row>
    <row r="1004" customFormat="false" ht="15" hidden="false" customHeight="false" outlineLevel="0" collapsed="false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7" t="str">
        <f aca="false">IF(B1004="","",IF(COUNTIF($B$2:B1004,B1004)=1,MAX($AV$1:AV1003)+1,""))</f>
        <v/>
      </c>
    </row>
    <row r="1005" customFormat="false" ht="15" hidden="false" customHeight="false" outlineLevel="0" collapsed="false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7" t="str">
        <f aca="false">IF(B1005="","",IF(COUNTIF($B$2:B1005,B1005)=1,MAX($AV$1:AV1004)+1,""))</f>
        <v/>
      </c>
    </row>
    <row r="1006" customFormat="false" ht="15" hidden="false" customHeight="false" outlineLevel="0" collapsed="false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7" t="str">
        <f aca="false">IF(B1006="","",IF(COUNTIF($B$2:B1006,B1006)=1,MAX($AV$1:AV1005)+1,""))</f>
        <v/>
      </c>
    </row>
    <row r="1007" customFormat="false" ht="15" hidden="false" customHeight="false" outlineLevel="0" collapsed="false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7" t="str">
        <f aca="false">IF(B1007="","",IF(COUNTIF($B$2:B1007,B1007)=1,MAX($AV$1:AV1006)+1,""))</f>
        <v/>
      </c>
    </row>
    <row r="1008" customFormat="false" ht="15" hidden="false" customHeight="false" outlineLevel="0" collapsed="false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7" t="str">
        <f aca="false">IF(B1008="","",IF(COUNTIF($B$2:B1008,B1008)=1,MAX($AV$1:AV1007)+1,""))</f>
        <v/>
      </c>
    </row>
    <row r="1009" customFormat="false" ht="15" hidden="false" customHeight="false" outlineLevel="0" collapsed="false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7" t="str">
        <f aca="false">IF(B1009="","",IF(COUNTIF($B$2:B1009,B1009)=1,MAX($AV$1:AV1008)+1,""))</f>
        <v/>
      </c>
    </row>
    <row r="1010" customFormat="false" ht="15" hidden="false" customHeight="false" outlineLevel="0" collapsed="false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7" t="str">
        <f aca="false">IF(B1010="","",IF(COUNTIF($B$2:B1010,B1010)=1,MAX($AV$1:AV1009)+1,""))</f>
        <v/>
      </c>
    </row>
    <row r="1011" customFormat="false" ht="15" hidden="false" customHeight="false" outlineLevel="0" collapsed="false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7" t="str">
        <f aca="false">IF(B1011="","",IF(COUNTIF($B$2:B1011,B1011)=1,MAX($AV$1:AV1010)+1,""))</f>
        <v/>
      </c>
    </row>
    <row r="1012" customFormat="false" ht="15" hidden="false" customHeight="false" outlineLevel="0" collapsed="false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7" t="str">
        <f aca="false">IF(B1012="","",IF(COUNTIF($B$2:B1012,B1012)=1,MAX($AV$1:AV1011)+1,""))</f>
        <v/>
      </c>
    </row>
    <row r="1013" customFormat="false" ht="15" hidden="false" customHeight="false" outlineLevel="0" collapsed="false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7" t="str">
        <f aca="false">IF(B1013="","",IF(COUNTIF($B$2:B1013,B1013)=1,MAX($AV$1:AV1012)+1,""))</f>
        <v/>
      </c>
    </row>
    <row r="1014" customFormat="false" ht="15" hidden="false" customHeight="false" outlineLevel="0" collapsed="false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7" t="str">
        <f aca="false">IF(B1014="","",IF(COUNTIF($B$2:B1014,B1014)=1,MAX($AV$1:AV1013)+1,""))</f>
        <v/>
      </c>
    </row>
    <row r="1015" customFormat="false" ht="15" hidden="false" customHeight="false" outlineLevel="0" collapsed="false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7" t="str">
        <f aca="false">IF(B1015="","",IF(COUNTIF($B$2:B1015,B1015)=1,MAX($AV$1:AV1014)+1,""))</f>
        <v/>
      </c>
    </row>
    <row r="1016" customFormat="false" ht="15" hidden="false" customHeight="false" outlineLevel="0" collapsed="false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7" t="str">
        <f aca="false">IF(B1016="","",IF(COUNTIF($B$2:B1016,B1016)=1,MAX($AV$1:AV1015)+1,""))</f>
        <v/>
      </c>
    </row>
    <row r="1017" customFormat="false" ht="15" hidden="false" customHeight="false" outlineLevel="0" collapsed="false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7" t="str">
        <f aca="false">IF(B1017="","",IF(COUNTIF($B$2:B1017,B1017)=1,MAX($AV$1:AV1016)+1,""))</f>
        <v/>
      </c>
    </row>
    <row r="1018" customFormat="false" ht="15" hidden="false" customHeight="false" outlineLevel="0" collapsed="false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7" t="str">
        <f aca="false">IF(B1018="","",IF(COUNTIF($B$2:B1018,B1018)=1,MAX($AV$1:AV1017)+1,""))</f>
        <v/>
      </c>
    </row>
    <row r="1019" customFormat="false" ht="15" hidden="false" customHeight="false" outlineLevel="0" collapsed="false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7" t="str">
        <f aca="false">IF(B1019="","",IF(COUNTIF($B$2:B1019,B1019)=1,MAX($AV$1:AV1018)+1,""))</f>
        <v/>
      </c>
    </row>
    <row r="1020" customFormat="false" ht="15" hidden="false" customHeight="false" outlineLevel="0" collapsed="false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7" t="str">
        <f aca="false">IF(B1020="","",IF(COUNTIF($B$2:B1020,B1020)=1,MAX($AV$1:AV1019)+1,""))</f>
        <v/>
      </c>
    </row>
    <row r="1021" customFormat="false" ht="15" hidden="false" customHeight="false" outlineLevel="0" collapsed="false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7" t="str">
        <f aca="false">IF(B1021="","",IF(COUNTIF($B$2:B1021,B1021)=1,MAX($AV$1:AV1020)+1,""))</f>
        <v/>
      </c>
    </row>
    <row r="1022" customFormat="false" ht="15" hidden="false" customHeight="false" outlineLevel="0" collapsed="false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7" t="str">
        <f aca="false">IF(B1022="","",IF(COUNTIF($B$2:B1022,B1022)=1,MAX($AV$1:AV1021)+1,""))</f>
        <v/>
      </c>
    </row>
    <row r="1023" customFormat="false" ht="15" hidden="false" customHeight="false" outlineLevel="0" collapsed="false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7" t="str">
        <f aca="false">IF(B1023="","",IF(COUNTIF($B$2:B1023,B1023)=1,MAX($AV$1:AV1022)+1,""))</f>
        <v/>
      </c>
    </row>
    <row r="1024" customFormat="false" ht="15" hidden="false" customHeight="false" outlineLevel="0" collapsed="false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7" t="str">
        <f aca="false">IF(B1024="","",IF(COUNTIF($B$2:B1024,B1024)=1,MAX($AV$1:AV1023)+1,""))</f>
        <v/>
      </c>
    </row>
    <row r="1025" customFormat="false" ht="15" hidden="false" customHeight="false" outlineLevel="0" collapsed="false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7" t="str">
        <f aca="false">IF(B1025="","",IF(COUNTIF($B$2:B1025,B1025)=1,MAX($AV$1:AV1024)+1,""))</f>
        <v/>
      </c>
    </row>
    <row r="1026" customFormat="false" ht="15" hidden="false" customHeight="false" outlineLevel="0" collapsed="false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7" t="str">
        <f aca="false">IF(B1026="","",IF(COUNTIF($B$2:B1026,B1026)=1,MAX($AV$1:AV1025)+1,""))</f>
        <v/>
      </c>
    </row>
    <row r="1027" customFormat="false" ht="15" hidden="false" customHeight="false" outlineLevel="0" collapsed="false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7" t="str">
        <f aca="false">IF(B1027="","",IF(COUNTIF($B$2:B1027,B1027)=1,MAX($AV$1:AV1026)+1,""))</f>
        <v/>
      </c>
    </row>
    <row r="1028" customFormat="false" ht="15" hidden="false" customHeight="false" outlineLevel="0" collapsed="false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7" t="str">
        <f aca="false">IF(B1028="","",IF(COUNTIF($B$2:B1028,B1028)=1,MAX($AV$1:AV1027)+1,""))</f>
        <v/>
      </c>
    </row>
    <row r="1029" customFormat="false" ht="15" hidden="false" customHeight="false" outlineLevel="0" collapsed="false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7" t="str">
        <f aca="false">IF(B1029="","",IF(COUNTIF($B$2:B1029,B1029)=1,MAX($AV$1:AV1028)+1,""))</f>
        <v/>
      </c>
    </row>
    <row r="1030" customFormat="false" ht="15" hidden="false" customHeight="false" outlineLevel="0" collapsed="false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7" t="str">
        <f aca="false">IF(B1030="","",IF(COUNTIF($B$2:B1030,B1030)=1,MAX($AV$1:AV1029)+1,""))</f>
        <v/>
      </c>
    </row>
    <row r="1031" customFormat="false" ht="15" hidden="false" customHeight="false" outlineLevel="0" collapsed="false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7" t="str">
        <f aca="false">IF(B1031="","",IF(COUNTIF($B$2:B1031,B1031)=1,MAX($AV$1:AV1030)+1,""))</f>
        <v/>
      </c>
    </row>
    <row r="1032" customFormat="false" ht="15" hidden="false" customHeight="false" outlineLevel="0" collapsed="false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7" t="str">
        <f aca="false">IF(B1032="","",IF(COUNTIF($B$2:B1032,B1032)=1,MAX($AV$1:AV1031)+1,""))</f>
        <v/>
      </c>
    </row>
    <row r="1033" customFormat="false" ht="15" hidden="false" customHeight="false" outlineLevel="0" collapsed="false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7" t="str">
        <f aca="false">IF(B1033="","",IF(COUNTIF($B$2:B1033,B1033)=1,MAX($AV$1:AV1032)+1,""))</f>
        <v/>
      </c>
    </row>
    <row r="1034" customFormat="false" ht="15" hidden="false" customHeight="false" outlineLevel="0" collapsed="false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7" t="str">
        <f aca="false">IF(B1034="","",IF(COUNTIF($B$2:B1034,B1034)=1,MAX($AV$1:AV1033)+1,""))</f>
        <v/>
      </c>
    </row>
    <row r="1035" customFormat="false" ht="15" hidden="false" customHeight="false" outlineLevel="0" collapsed="false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7" t="str">
        <f aca="false">IF(B1035="","",IF(COUNTIF($B$2:B1035,B1035)=1,MAX($AV$1:AV1034)+1,""))</f>
        <v/>
      </c>
    </row>
    <row r="1036" customFormat="false" ht="15" hidden="false" customHeight="false" outlineLevel="0" collapsed="false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7" t="str">
        <f aca="false">IF(B1036="","",IF(COUNTIF($B$2:B1036,B1036)=1,MAX($AV$1:AV1035)+1,""))</f>
        <v/>
      </c>
    </row>
    <row r="1037" customFormat="false" ht="15" hidden="false" customHeight="false" outlineLevel="0" collapsed="false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7" t="str">
        <f aca="false">IF(B1037="","",IF(COUNTIF($B$2:B1037,B1037)=1,MAX($AV$1:AV1036)+1,""))</f>
        <v/>
      </c>
    </row>
    <row r="1038" customFormat="false" ht="15" hidden="false" customHeight="false" outlineLevel="0" collapsed="false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7" t="str">
        <f aca="false">IF(B1038="","",IF(COUNTIF($B$2:B1038,B1038)=1,MAX($AV$1:AV1037)+1,""))</f>
        <v/>
      </c>
    </row>
    <row r="1039" customFormat="false" ht="15" hidden="false" customHeight="false" outlineLevel="0" collapsed="false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7" t="str">
        <f aca="false">IF(B1039="","",IF(COUNTIF($B$2:B1039,B1039)=1,MAX($AV$1:AV1038)+1,""))</f>
        <v/>
      </c>
    </row>
    <row r="1040" customFormat="false" ht="15" hidden="false" customHeight="false" outlineLevel="0" collapsed="false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7" t="str">
        <f aca="false">IF(B1040="","",IF(COUNTIF($B$2:B1040,B1040)=1,MAX($AV$1:AV1039)+1,""))</f>
        <v/>
      </c>
    </row>
    <row r="1041" customFormat="false" ht="15" hidden="false" customHeight="false" outlineLevel="0" collapsed="false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7" t="str">
        <f aca="false">IF(B1041="","",IF(COUNTIF($B$2:B1041,B1041)=1,MAX($AV$1:AV1040)+1,""))</f>
        <v/>
      </c>
    </row>
    <row r="1042" customFormat="false" ht="15" hidden="false" customHeight="false" outlineLevel="0" collapsed="false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7" t="str">
        <f aca="false">IF(B1042="","",IF(COUNTIF($B$2:B1042,B1042)=1,MAX($AV$1:AV1041)+1,""))</f>
        <v/>
      </c>
    </row>
    <row r="1043" customFormat="false" ht="15" hidden="false" customHeight="false" outlineLevel="0" collapsed="false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7" t="str">
        <f aca="false">IF(B1043="","",IF(COUNTIF($B$2:B1043,B1043)=1,MAX($AV$1:AV1042)+1,""))</f>
        <v/>
      </c>
    </row>
    <row r="1044" customFormat="false" ht="15" hidden="false" customHeight="false" outlineLevel="0" collapsed="false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7" t="str">
        <f aca="false">IF(B1044="","",IF(COUNTIF($B$2:B1044,B1044)=1,MAX($AV$1:AV1043)+1,""))</f>
        <v/>
      </c>
    </row>
    <row r="1045" customFormat="false" ht="15" hidden="false" customHeight="false" outlineLevel="0" collapsed="false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7" t="str">
        <f aca="false">IF(B1045="","",IF(COUNTIF($B$2:B1045,B1045)=1,MAX($AV$1:AV1044)+1,""))</f>
        <v/>
      </c>
    </row>
    <row r="1046" customFormat="false" ht="15" hidden="false" customHeight="false" outlineLevel="0" collapsed="false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7" t="str">
        <f aca="false">IF(B1046="","",IF(COUNTIF($B$2:B1046,B1046)=1,MAX($AV$1:AV1045)+1,""))</f>
        <v/>
      </c>
    </row>
    <row r="1047" customFormat="false" ht="15" hidden="false" customHeight="false" outlineLevel="0" collapsed="false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7" t="str">
        <f aca="false">IF(B1047="","",IF(COUNTIF($B$2:B1047,B1047)=1,MAX($AV$1:AV1046)+1,""))</f>
        <v/>
      </c>
    </row>
    <row r="1048" customFormat="false" ht="15" hidden="false" customHeight="false" outlineLevel="0" collapsed="false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7" t="str">
        <f aca="false">IF(B1048="","",IF(COUNTIF($B$2:B1048,B1048)=1,MAX($AV$1:AV1047)+1,""))</f>
        <v/>
      </c>
    </row>
    <row r="1049" customFormat="false" ht="15" hidden="false" customHeight="false" outlineLevel="0" collapsed="false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7" t="str">
        <f aca="false">IF(B1049="","",IF(COUNTIF($B$2:B1049,B1049)=1,MAX($AV$1:AV1048)+1,""))</f>
        <v/>
      </c>
    </row>
    <row r="1050" customFormat="false" ht="15" hidden="false" customHeight="false" outlineLevel="0" collapsed="false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7" t="str">
        <f aca="false">IF(B1050="","",IF(COUNTIF($B$2:B1050,B1050)=1,MAX($AV$1:AV1049)+1,""))</f>
        <v/>
      </c>
    </row>
    <row r="1051" customFormat="false" ht="15" hidden="false" customHeight="false" outlineLevel="0" collapsed="false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7" t="str">
        <f aca="false">IF(B1051="","",IF(COUNTIF($B$2:B1051,B1051)=1,MAX($AV$1:AV1050)+1,""))</f>
        <v/>
      </c>
    </row>
    <row r="1052" customFormat="false" ht="15" hidden="false" customHeight="false" outlineLevel="0" collapsed="false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7" t="str">
        <f aca="false">IF(B1052="","",IF(COUNTIF($B$2:B1052,B1052)=1,MAX($AV$1:AV1051)+1,""))</f>
        <v/>
      </c>
    </row>
    <row r="1053" customFormat="false" ht="15" hidden="false" customHeight="false" outlineLevel="0" collapsed="false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7" t="str">
        <f aca="false">IF(B1053="","",IF(COUNTIF($B$2:B1053,B1053)=1,MAX($AV$1:AV1052)+1,""))</f>
        <v/>
      </c>
    </row>
    <row r="1054" customFormat="false" ht="15" hidden="false" customHeight="false" outlineLevel="0" collapsed="false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7" t="str">
        <f aca="false">IF(B1054="","",IF(COUNTIF($B$2:B1054,B1054)=1,MAX($AV$1:AV1053)+1,""))</f>
        <v/>
      </c>
    </row>
    <row r="1055" customFormat="false" ht="15" hidden="false" customHeight="false" outlineLevel="0" collapsed="false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7" t="str">
        <f aca="false">IF(B1055="","",IF(COUNTIF($B$2:B1055,B1055)=1,MAX($AV$1:AV1054)+1,""))</f>
        <v/>
      </c>
    </row>
    <row r="1056" customFormat="false" ht="15" hidden="false" customHeight="false" outlineLevel="0" collapsed="false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7" t="str">
        <f aca="false">IF(B1056="","",IF(COUNTIF($B$2:B1056,B1056)=1,MAX($AV$1:AV1055)+1,""))</f>
        <v/>
      </c>
    </row>
    <row r="1057" customFormat="false" ht="15" hidden="false" customHeight="false" outlineLevel="0" collapsed="false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7" t="str">
        <f aca="false">IF(B1057="","",IF(COUNTIF($B$2:B1057,B1057)=1,MAX($AV$1:AV1056)+1,""))</f>
        <v/>
      </c>
    </row>
    <row r="1058" customFormat="false" ht="15" hidden="false" customHeight="false" outlineLevel="0" collapsed="false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7" t="str">
        <f aca="false">IF(B1058="","",IF(COUNTIF($B$2:B1058,B1058)=1,MAX($AV$1:AV1057)+1,""))</f>
        <v/>
      </c>
    </row>
    <row r="1059" customFormat="false" ht="15" hidden="false" customHeight="false" outlineLevel="0" collapsed="false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7" t="str">
        <f aca="false">IF(B1059="","",IF(COUNTIF($B$2:B1059,B1059)=1,MAX($AV$1:AV1058)+1,""))</f>
        <v/>
      </c>
    </row>
    <row r="1060" customFormat="false" ht="15" hidden="false" customHeight="false" outlineLevel="0" collapsed="false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7" t="str">
        <f aca="false">IF(B1060="","",IF(COUNTIF($B$2:B1060,B1060)=1,MAX($AV$1:AV1059)+1,""))</f>
        <v/>
      </c>
    </row>
    <row r="1061" customFormat="false" ht="15" hidden="false" customHeight="false" outlineLevel="0" collapsed="false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7" t="str">
        <f aca="false">IF(B1061="","",IF(COUNTIF($B$2:B1061,B1061)=1,MAX($AV$1:AV1060)+1,""))</f>
        <v/>
      </c>
    </row>
    <row r="1062" customFormat="false" ht="15" hidden="false" customHeight="false" outlineLevel="0" collapsed="false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7" t="str">
        <f aca="false">IF(B1062="","",IF(COUNTIF($B$2:B1062,B1062)=1,MAX($AV$1:AV1061)+1,""))</f>
        <v/>
      </c>
    </row>
    <row r="1063" customFormat="false" ht="15" hidden="false" customHeight="false" outlineLevel="0" collapsed="false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7" t="str">
        <f aca="false">IF(B1063="","",IF(COUNTIF($B$2:B1063,B1063)=1,MAX($AV$1:AV1062)+1,""))</f>
        <v/>
      </c>
    </row>
    <row r="1064" customFormat="false" ht="15" hidden="false" customHeight="false" outlineLevel="0" collapsed="false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7" t="str">
        <f aca="false">IF(B1064="","",IF(COUNTIF($B$2:B1064,B1064)=1,MAX($AV$1:AV1063)+1,""))</f>
        <v/>
      </c>
    </row>
    <row r="1065" customFormat="false" ht="15" hidden="false" customHeight="false" outlineLevel="0" collapsed="false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7" t="str">
        <f aca="false">IF(B1065="","",IF(COUNTIF($B$2:B1065,B1065)=1,MAX($AV$1:AV1064)+1,""))</f>
        <v/>
      </c>
    </row>
    <row r="1066" customFormat="false" ht="15" hidden="false" customHeight="false" outlineLevel="0" collapsed="false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7" t="str">
        <f aca="false">IF(B1066="","",IF(COUNTIF($B$2:B1066,B1066)=1,MAX($AV$1:AV1065)+1,""))</f>
        <v/>
      </c>
    </row>
    <row r="1067" customFormat="false" ht="15" hidden="false" customHeight="false" outlineLevel="0" collapsed="false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7" t="str">
        <f aca="false">IF(B1067="","",IF(COUNTIF($B$2:B1067,B1067)=1,MAX($AV$1:AV1066)+1,""))</f>
        <v/>
      </c>
    </row>
    <row r="1068" customFormat="false" ht="15" hidden="false" customHeight="false" outlineLevel="0" collapsed="false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7" t="str">
        <f aca="false">IF(B1068="","",IF(COUNTIF($B$2:B1068,B1068)=1,MAX($AV$1:AV1067)+1,""))</f>
        <v/>
      </c>
    </row>
    <row r="1069" customFormat="false" ht="15" hidden="false" customHeight="false" outlineLevel="0" collapsed="false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7" t="str">
        <f aca="false">IF(B1069="","",IF(COUNTIF($B$2:B1069,B1069)=1,MAX($AV$1:AV1068)+1,""))</f>
        <v/>
      </c>
    </row>
    <row r="1070" customFormat="false" ht="15" hidden="false" customHeight="false" outlineLevel="0" collapsed="false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7" t="str">
        <f aca="false">IF(B1070="","",IF(COUNTIF($B$2:B1070,B1070)=1,MAX($AV$1:AV1069)+1,""))</f>
        <v/>
      </c>
    </row>
    <row r="1071" customFormat="false" ht="15" hidden="false" customHeight="false" outlineLevel="0" collapsed="false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7" t="str">
        <f aca="false">IF(B1071="","",IF(COUNTIF($B$2:B1071,B1071)=1,MAX($AV$1:AV1070)+1,""))</f>
        <v/>
      </c>
    </row>
    <row r="1072" customFormat="false" ht="15" hidden="false" customHeight="false" outlineLevel="0" collapsed="false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7" t="str">
        <f aca="false">IF(B1072="","",IF(COUNTIF($B$2:B1072,B1072)=1,MAX($AV$1:AV1071)+1,""))</f>
        <v/>
      </c>
    </row>
    <row r="1073" customFormat="false" ht="15" hidden="false" customHeight="false" outlineLevel="0" collapsed="false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7" t="str">
        <f aca="false">IF(B1073="","",IF(COUNTIF($B$2:B1073,B1073)=1,MAX($AV$1:AV1072)+1,""))</f>
        <v/>
      </c>
    </row>
    <row r="1074" customFormat="false" ht="15" hidden="false" customHeight="false" outlineLevel="0" collapsed="false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7" t="str">
        <f aca="false">IF(B1074="","",IF(COUNTIF($B$2:B1074,B1074)=1,MAX($AV$1:AV1073)+1,""))</f>
        <v/>
      </c>
    </row>
    <row r="1075" customFormat="false" ht="15" hidden="false" customHeight="false" outlineLevel="0" collapsed="false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7" t="str">
        <f aca="false">IF(B1075="","",IF(COUNTIF($B$2:B1075,B1075)=1,MAX($AV$1:AV1074)+1,""))</f>
        <v/>
      </c>
    </row>
    <row r="1076" customFormat="false" ht="15" hidden="false" customHeight="false" outlineLevel="0" collapsed="false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7" t="str">
        <f aca="false">IF(B1076="","",IF(COUNTIF($B$2:B1076,B1076)=1,MAX($AV$1:AV1075)+1,""))</f>
        <v/>
      </c>
    </row>
    <row r="1077" customFormat="false" ht="15" hidden="false" customHeight="false" outlineLevel="0" collapsed="false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7" t="str">
        <f aca="false">IF(B1077="","",IF(COUNTIF($B$2:B1077,B1077)=1,MAX($AV$1:AV1076)+1,""))</f>
        <v/>
      </c>
    </row>
    <row r="1078" customFormat="false" ht="15" hidden="false" customHeight="false" outlineLevel="0" collapsed="false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7" t="str">
        <f aca="false">IF(B1078="","",IF(COUNTIF($B$2:B1078,B1078)=1,MAX($AV$1:AV1077)+1,""))</f>
        <v/>
      </c>
    </row>
    <row r="1079" customFormat="false" ht="15" hidden="false" customHeight="false" outlineLevel="0" collapsed="false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7" t="str">
        <f aca="false">IF(B1079="","",IF(COUNTIF($B$2:B1079,B1079)=1,MAX($AV$1:AV1078)+1,""))</f>
        <v/>
      </c>
    </row>
    <row r="1080" customFormat="false" ht="15" hidden="false" customHeight="false" outlineLevel="0" collapsed="false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7" t="str">
        <f aca="false">IF(B1080="","",IF(COUNTIF($B$2:B1080,B1080)=1,MAX($AV$1:AV1079)+1,""))</f>
        <v/>
      </c>
    </row>
    <row r="1081" customFormat="false" ht="15" hidden="false" customHeight="false" outlineLevel="0" collapsed="false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7" t="str">
        <f aca="false">IF(B1081="","",IF(COUNTIF($B$2:B1081,B1081)=1,MAX($AV$1:AV1080)+1,""))</f>
        <v/>
      </c>
    </row>
    <row r="1082" customFormat="false" ht="15" hidden="false" customHeight="false" outlineLevel="0" collapsed="false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7" t="str">
        <f aca="false">IF(B1082="","",IF(COUNTIF($B$2:B1082,B1082)=1,MAX($AV$1:AV1081)+1,""))</f>
        <v/>
      </c>
    </row>
    <row r="1083" customFormat="false" ht="15" hidden="false" customHeight="false" outlineLevel="0" collapsed="false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7" t="str">
        <f aca="false">IF(B1083="","",IF(COUNTIF($B$2:B1083,B1083)=1,MAX($AV$1:AV1082)+1,""))</f>
        <v/>
      </c>
    </row>
    <row r="1084" customFormat="false" ht="15" hidden="false" customHeight="false" outlineLevel="0" collapsed="false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7" t="str">
        <f aca="false">IF(B1084="","",IF(COUNTIF($B$2:B1084,B1084)=1,MAX($AV$1:AV1083)+1,""))</f>
        <v/>
      </c>
    </row>
    <row r="1085" customFormat="false" ht="15" hidden="false" customHeight="false" outlineLevel="0" collapsed="false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7" t="str">
        <f aca="false">IF(B1085="","",IF(COUNTIF($B$2:B1085,B1085)=1,MAX($AV$1:AV1084)+1,""))</f>
        <v/>
      </c>
    </row>
    <row r="1086" customFormat="false" ht="15" hidden="false" customHeight="false" outlineLevel="0" collapsed="false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7" t="str">
        <f aca="false">IF(B1086="","",IF(COUNTIF($B$2:B1086,B1086)=1,MAX($AV$1:AV1085)+1,""))</f>
        <v/>
      </c>
    </row>
    <row r="1087" customFormat="false" ht="15" hidden="false" customHeight="false" outlineLevel="0" collapsed="false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7" t="str">
        <f aca="false">IF(B1087="","",IF(COUNTIF($B$2:B1087,B1087)=1,MAX($AV$1:AV1086)+1,""))</f>
        <v/>
      </c>
    </row>
    <row r="1088" customFormat="false" ht="15" hidden="false" customHeight="false" outlineLevel="0" collapsed="false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7" t="str">
        <f aca="false">IF(B1088="","",IF(COUNTIF($B$2:B1088,B1088)=1,MAX($AV$1:AV1087)+1,""))</f>
        <v/>
      </c>
    </row>
    <row r="1089" customFormat="false" ht="15" hidden="false" customHeight="false" outlineLevel="0" collapsed="false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7" t="str">
        <f aca="false">IF(B1089="","",IF(COUNTIF($B$2:B1089,B1089)=1,MAX($AV$1:AV1088)+1,""))</f>
        <v/>
      </c>
    </row>
    <row r="1090" customFormat="false" ht="15" hidden="false" customHeight="false" outlineLevel="0" collapsed="false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7" t="str">
        <f aca="false">IF(B1090="","",IF(COUNTIF($B$2:B1090,B1090)=1,MAX($AV$1:AV1089)+1,""))</f>
        <v/>
      </c>
    </row>
    <row r="1091" customFormat="false" ht="15" hidden="false" customHeight="false" outlineLevel="0" collapsed="false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7" t="str">
        <f aca="false">IF(B1091="","",IF(COUNTIF($B$2:B1091,B1091)=1,MAX($AV$1:AV1090)+1,""))</f>
        <v/>
      </c>
    </row>
    <row r="1092" customFormat="false" ht="15" hidden="false" customHeight="false" outlineLevel="0" collapsed="false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7" t="str">
        <f aca="false">IF(B1092="","",IF(COUNTIF($B$2:B1092,B1092)=1,MAX($AV$1:AV1091)+1,""))</f>
        <v/>
      </c>
    </row>
    <row r="1093" customFormat="false" ht="15" hidden="false" customHeight="false" outlineLevel="0" collapsed="false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7" t="str">
        <f aca="false">IF(B1093="","",IF(COUNTIF($B$2:B1093,B1093)=1,MAX($AV$1:AV1092)+1,""))</f>
        <v/>
      </c>
    </row>
    <row r="1094" customFormat="false" ht="15" hidden="false" customHeight="false" outlineLevel="0" collapsed="false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7" t="str">
        <f aca="false">IF(B1094="","",IF(COUNTIF($B$2:B1094,B1094)=1,MAX($AV$1:AV1093)+1,""))</f>
        <v/>
      </c>
    </row>
    <row r="1095" customFormat="false" ht="15" hidden="false" customHeight="false" outlineLevel="0" collapsed="false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7" t="str">
        <f aca="false">IF(B1095="","",IF(COUNTIF($B$2:B1095,B1095)=1,MAX($AV$1:AV1094)+1,""))</f>
        <v/>
      </c>
    </row>
    <row r="1096" customFormat="false" ht="15" hidden="false" customHeight="false" outlineLevel="0" collapsed="false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7" t="str">
        <f aca="false">IF(B1096="","",IF(COUNTIF($B$2:B1096,B1096)=1,MAX($AV$1:AV1095)+1,""))</f>
        <v/>
      </c>
    </row>
    <row r="1097" customFormat="false" ht="15" hidden="false" customHeight="false" outlineLevel="0" collapsed="false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7" t="str">
        <f aca="false">IF(B1097="","",IF(COUNTIF($B$2:B1097,B1097)=1,MAX($AV$1:AV1096)+1,""))</f>
        <v/>
      </c>
    </row>
    <row r="1098" customFormat="false" ht="15" hidden="false" customHeight="false" outlineLevel="0" collapsed="false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7" t="str">
        <f aca="false">IF(B1098="","",IF(COUNTIF($B$2:B1098,B1098)=1,MAX($AV$1:AV1097)+1,""))</f>
        <v/>
      </c>
    </row>
    <row r="1099" customFormat="false" ht="15" hidden="false" customHeight="false" outlineLevel="0" collapsed="false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7" t="str">
        <f aca="false">IF(B1099="","",IF(COUNTIF($B$2:B1099,B1099)=1,MAX($AV$1:AV1098)+1,""))</f>
        <v/>
      </c>
    </row>
    <row r="1100" customFormat="false" ht="15" hidden="false" customHeight="false" outlineLevel="0" collapsed="false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7" t="str">
        <f aca="false">IF(B1100="","",IF(COUNTIF($B$2:B1100,B1100)=1,MAX($AV$1:AV1099)+1,""))</f>
        <v/>
      </c>
    </row>
    <row r="1101" customFormat="false" ht="15" hidden="false" customHeight="false" outlineLevel="0" collapsed="false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7" t="str">
        <f aca="false">IF(B1101="","",IF(COUNTIF($B$2:B1101,B1101)=1,MAX($AV$1:AV1100)+1,""))</f>
        <v/>
      </c>
    </row>
    <row r="1102" customFormat="false" ht="15" hidden="false" customHeight="false" outlineLevel="0" collapsed="false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7" t="str">
        <f aca="false">IF(B1102="","",IF(COUNTIF($B$2:B1102,B1102)=1,MAX($AV$1:AV1101)+1,""))</f>
        <v/>
      </c>
    </row>
    <row r="1103" customFormat="false" ht="15" hidden="false" customHeight="false" outlineLevel="0" collapsed="false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7" t="str">
        <f aca="false">IF(B1103="","",IF(COUNTIF($B$2:B1103,B1103)=1,MAX($AV$1:AV1102)+1,""))</f>
        <v/>
      </c>
    </row>
    <row r="1104" customFormat="false" ht="15" hidden="false" customHeight="false" outlineLevel="0" collapsed="false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7" t="str">
        <f aca="false">IF(B1104="","",IF(COUNTIF($B$2:B1104,B1104)=1,MAX($AV$1:AV1103)+1,""))</f>
        <v/>
      </c>
    </row>
    <row r="1105" customFormat="false" ht="15" hidden="false" customHeight="false" outlineLevel="0" collapsed="false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7" t="str">
        <f aca="false">IF(B1105="","",IF(COUNTIF($B$2:B1105,B1105)=1,MAX($AV$1:AV1104)+1,""))</f>
        <v/>
      </c>
    </row>
    <row r="1106" customFormat="false" ht="15" hidden="false" customHeight="false" outlineLevel="0" collapsed="false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7" t="str">
        <f aca="false">IF(B1106="","",IF(COUNTIF($B$2:B1106,B1106)=1,MAX($AV$1:AV1105)+1,""))</f>
        <v/>
      </c>
    </row>
    <row r="1107" customFormat="false" ht="15" hidden="false" customHeight="false" outlineLevel="0" collapsed="false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7" t="str">
        <f aca="false">IF(B1107="","",IF(COUNTIF($B$2:B1107,B1107)=1,MAX($AV$1:AV1106)+1,""))</f>
        <v/>
      </c>
    </row>
    <row r="1108" customFormat="false" ht="15" hidden="false" customHeight="false" outlineLevel="0" collapsed="false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7" t="str">
        <f aca="false">IF(B1108="","",IF(COUNTIF($B$2:B1108,B1108)=1,MAX($AV$1:AV1107)+1,""))</f>
        <v/>
      </c>
    </row>
    <row r="1109" customFormat="false" ht="15" hidden="false" customHeight="false" outlineLevel="0" collapsed="false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7" t="str">
        <f aca="false">IF(B1109="","",IF(COUNTIF($B$2:B1109,B1109)=1,MAX($AV$1:AV1108)+1,""))</f>
        <v/>
      </c>
    </row>
    <row r="1110" customFormat="false" ht="15" hidden="false" customHeight="false" outlineLevel="0" collapsed="false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7" t="str">
        <f aca="false">IF(B1110="","",IF(COUNTIF($B$2:B1110,B1110)=1,MAX($AV$1:AV1109)+1,""))</f>
        <v/>
      </c>
    </row>
    <row r="1111" customFormat="false" ht="15" hidden="false" customHeight="false" outlineLevel="0" collapsed="false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7" t="str">
        <f aca="false">IF(B1111="","",IF(COUNTIF($B$2:B1111,B1111)=1,MAX($AV$1:AV1110)+1,""))</f>
        <v/>
      </c>
    </row>
    <row r="1112" customFormat="false" ht="15" hidden="false" customHeight="false" outlineLevel="0" collapsed="false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7" t="str">
        <f aca="false">IF(B1112="","",IF(COUNTIF($B$2:B1112,B1112)=1,MAX($AV$1:AV1111)+1,""))</f>
        <v/>
      </c>
    </row>
    <row r="1113" customFormat="false" ht="15" hidden="false" customHeight="false" outlineLevel="0" collapsed="false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7" t="str">
        <f aca="false">IF(B1113="","",IF(COUNTIF($B$2:B1113,B1113)=1,MAX($AV$1:AV1112)+1,""))</f>
        <v/>
      </c>
    </row>
    <row r="1114" customFormat="false" ht="15" hidden="false" customHeight="false" outlineLevel="0" collapsed="false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7" t="str">
        <f aca="false">IF(B1114="","",IF(COUNTIF($B$2:B1114,B1114)=1,MAX($AV$1:AV1113)+1,""))</f>
        <v/>
      </c>
    </row>
    <row r="1115" customFormat="false" ht="15" hidden="false" customHeight="false" outlineLevel="0" collapsed="false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7" t="str">
        <f aca="false">IF(B1115="","",IF(COUNTIF($B$2:B1115,B1115)=1,MAX($AV$1:AV1114)+1,""))</f>
        <v/>
      </c>
    </row>
    <row r="1116" customFormat="false" ht="15" hidden="false" customHeight="false" outlineLevel="0" collapsed="false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7" t="str">
        <f aca="false">IF(B1116="","",IF(COUNTIF($B$2:B1116,B1116)=1,MAX($AV$1:AV1115)+1,""))</f>
        <v/>
      </c>
    </row>
    <row r="1117" customFormat="false" ht="15" hidden="false" customHeight="false" outlineLevel="0" collapsed="false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7" t="str">
        <f aca="false">IF(B1117="","",IF(COUNTIF($B$2:B1117,B1117)=1,MAX($AV$1:AV1116)+1,""))</f>
        <v/>
      </c>
    </row>
    <row r="1118" customFormat="false" ht="15" hidden="false" customHeight="false" outlineLevel="0" collapsed="false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7" t="str">
        <f aca="false">IF(B1118="","",IF(COUNTIF($B$2:B1118,B1118)=1,MAX($AV$1:AV1117)+1,""))</f>
        <v/>
      </c>
    </row>
    <row r="1119" customFormat="false" ht="15" hidden="false" customHeight="false" outlineLevel="0" collapsed="false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7" t="str">
        <f aca="false">IF(B1119="","",IF(COUNTIF($B$2:B1119,B1119)=1,MAX($AV$1:AV1118)+1,""))</f>
        <v/>
      </c>
    </row>
    <row r="1120" customFormat="false" ht="15" hidden="false" customHeight="false" outlineLevel="0" collapsed="false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7" t="str">
        <f aca="false">IF(B1120="","",IF(COUNTIF($B$2:B1120,B1120)=1,MAX($AV$1:AV1119)+1,""))</f>
        <v/>
      </c>
    </row>
    <row r="1121" customFormat="false" ht="15" hidden="false" customHeight="false" outlineLevel="0" collapsed="false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7" t="str">
        <f aca="false">IF(B1121="","",IF(COUNTIF($B$2:B1121,B1121)=1,MAX($AV$1:AV1120)+1,""))</f>
        <v/>
      </c>
    </row>
    <row r="1122" customFormat="false" ht="15" hidden="false" customHeight="false" outlineLevel="0" collapsed="false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7" t="str">
        <f aca="false">IF(B1122="","",IF(COUNTIF($B$2:B1122,B1122)=1,MAX($AV$1:AV1121)+1,""))</f>
        <v/>
      </c>
    </row>
    <row r="1123" customFormat="false" ht="15" hidden="false" customHeight="false" outlineLevel="0" collapsed="false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7" t="str">
        <f aca="false">IF(B1123="","",IF(COUNTIF($B$2:B1123,B1123)=1,MAX($AV$1:AV1122)+1,""))</f>
        <v/>
      </c>
    </row>
    <row r="1124" customFormat="false" ht="15" hidden="false" customHeight="false" outlineLevel="0" collapsed="false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7" t="str">
        <f aca="false">IF(B1124="","",IF(COUNTIF($B$2:B1124,B1124)=1,MAX($AV$1:AV1123)+1,""))</f>
        <v/>
      </c>
    </row>
    <row r="1125" customFormat="false" ht="15" hidden="false" customHeight="false" outlineLevel="0" collapsed="false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7" t="str">
        <f aca="false">IF(B1125="","",IF(COUNTIF($B$2:B1125,B1125)=1,MAX($AV$1:AV1124)+1,""))</f>
        <v/>
      </c>
    </row>
    <row r="1126" customFormat="false" ht="15" hidden="false" customHeight="false" outlineLevel="0" collapsed="false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7" t="str">
        <f aca="false">IF(B1126="","",IF(COUNTIF($B$2:B1126,B1126)=1,MAX($AV$1:AV1125)+1,""))</f>
        <v/>
      </c>
    </row>
    <row r="1127" customFormat="false" ht="15" hidden="false" customHeight="false" outlineLevel="0" collapsed="false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7" t="str">
        <f aca="false">IF(B1127="","",IF(COUNTIF($B$2:B1127,B1127)=1,MAX($AV$1:AV1126)+1,""))</f>
        <v/>
      </c>
    </row>
    <row r="1128" customFormat="false" ht="15" hidden="false" customHeight="false" outlineLevel="0" collapsed="false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7" t="str">
        <f aca="false">IF(B1128="","",IF(COUNTIF($B$2:B1128,B1128)=1,MAX($AV$1:AV1127)+1,""))</f>
        <v/>
      </c>
    </row>
    <row r="1129" customFormat="false" ht="15" hidden="false" customHeight="false" outlineLevel="0" collapsed="false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7" t="str">
        <f aca="false">IF(B1129="","",IF(COUNTIF($B$2:B1129,B1129)=1,MAX($AV$1:AV1128)+1,""))</f>
        <v/>
      </c>
    </row>
    <row r="1130" customFormat="false" ht="15" hidden="false" customHeight="false" outlineLevel="0" collapsed="false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7" t="str">
        <f aca="false">IF(B1130="","",IF(COUNTIF($B$2:B1130,B1130)=1,MAX($AV$1:AV1129)+1,""))</f>
        <v/>
      </c>
    </row>
    <row r="1131" customFormat="false" ht="15" hidden="false" customHeight="false" outlineLevel="0" collapsed="false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7" t="str">
        <f aca="false">IF(B1131="","",IF(COUNTIF($B$2:B1131,B1131)=1,MAX($AV$1:AV1130)+1,""))</f>
        <v/>
      </c>
    </row>
    <row r="1132" customFormat="false" ht="15" hidden="false" customHeight="false" outlineLevel="0" collapsed="false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7" t="str">
        <f aca="false">IF(B1132="","",IF(COUNTIF($B$2:B1132,B1132)=1,MAX($AV$1:AV1131)+1,""))</f>
        <v/>
      </c>
    </row>
    <row r="1133" customFormat="false" ht="15" hidden="false" customHeight="false" outlineLevel="0" collapsed="false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7" t="str">
        <f aca="false">IF(B1133="","",IF(COUNTIF($B$2:B1133,B1133)=1,MAX($AV$1:AV1132)+1,""))</f>
        <v/>
      </c>
    </row>
    <row r="1134" customFormat="false" ht="15" hidden="false" customHeight="false" outlineLevel="0" collapsed="false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7" t="str">
        <f aca="false">IF(B1134="","",IF(COUNTIF($B$2:B1134,B1134)=1,MAX($AV$1:AV1133)+1,""))</f>
        <v/>
      </c>
    </row>
    <row r="1135" customFormat="false" ht="15" hidden="false" customHeight="false" outlineLevel="0" collapsed="false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7" t="str">
        <f aca="false">IF(B1135="","",IF(COUNTIF($B$2:B1135,B1135)=1,MAX($AV$1:AV1134)+1,""))</f>
        <v/>
      </c>
    </row>
    <row r="1136" customFormat="false" ht="15" hidden="false" customHeight="false" outlineLevel="0" collapsed="false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7" t="str">
        <f aca="false">IF(B1136="","",IF(COUNTIF($B$2:B1136,B1136)=1,MAX($AV$1:AV1135)+1,""))</f>
        <v/>
      </c>
    </row>
    <row r="1137" customFormat="false" ht="15" hidden="false" customHeight="false" outlineLevel="0" collapsed="false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7" t="str">
        <f aca="false">IF(B1137="","",IF(COUNTIF($B$2:B1137,B1137)=1,MAX($AV$1:AV1136)+1,""))</f>
        <v/>
      </c>
    </row>
    <row r="1138" customFormat="false" ht="15" hidden="false" customHeight="false" outlineLevel="0" collapsed="false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7" t="str">
        <f aca="false">IF(B1138="","",IF(COUNTIF($B$2:B1138,B1138)=1,MAX($AV$1:AV1137)+1,""))</f>
        <v/>
      </c>
    </row>
    <row r="1139" customFormat="false" ht="15" hidden="false" customHeight="false" outlineLevel="0" collapsed="false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7" t="str">
        <f aca="false">IF(B1139="","",IF(COUNTIF($B$2:B1139,B1139)=1,MAX($AV$1:AV1138)+1,""))</f>
        <v/>
      </c>
    </row>
    <row r="1140" customFormat="false" ht="15" hidden="false" customHeight="false" outlineLevel="0" collapsed="false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7" t="str">
        <f aca="false">IF(B1140="","",IF(COUNTIF($B$2:B1140,B1140)=1,MAX($AV$1:AV1139)+1,""))</f>
        <v/>
      </c>
    </row>
    <row r="1141" customFormat="false" ht="15" hidden="false" customHeight="false" outlineLevel="0" collapsed="false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7" t="str">
        <f aca="false">IF(B1141="","",IF(COUNTIF($B$2:B1141,B1141)=1,MAX($AV$1:AV1140)+1,""))</f>
        <v/>
      </c>
    </row>
    <row r="1142" customFormat="false" ht="15" hidden="false" customHeight="false" outlineLevel="0" collapsed="false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7" t="str">
        <f aca="false">IF(B1142="","",IF(COUNTIF($B$2:B1142,B1142)=1,MAX($AV$1:AV1141)+1,""))</f>
        <v/>
      </c>
    </row>
    <row r="1143" customFormat="false" ht="15" hidden="false" customHeight="false" outlineLevel="0" collapsed="false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7" t="str">
        <f aca="false">IF(B1143="","",IF(COUNTIF($B$2:B1143,B1143)=1,MAX($AV$1:AV1142)+1,""))</f>
        <v/>
      </c>
    </row>
    <row r="1144" customFormat="false" ht="15" hidden="false" customHeight="false" outlineLevel="0" collapsed="false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7" t="str">
        <f aca="false">IF(B1144="","",IF(COUNTIF($B$2:B1144,B1144)=1,MAX($AV$1:AV1143)+1,""))</f>
        <v/>
      </c>
    </row>
    <row r="1145" customFormat="false" ht="15" hidden="false" customHeight="false" outlineLevel="0" collapsed="false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7" t="str">
        <f aca="false">IF(B1145="","",IF(COUNTIF($B$2:B1145,B1145)=1,MAX($AV$1:AV1144)+1,""))</f>
        <v/>
      </c>
    </row>
    <row r="1146" customFormat="false" ht="15" hidden="false" customHeight="false" outlineLevel="0" collapsed="false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7" t="str">
        <f aca="false">IF(B1146="","",IF(COUNTIF($B$2:B1146,B1146)=1,MAX($AV$1:AV1145)+1,""))</f>
        <v/>
      </c>
    </row>
    <row r="1147" customFormat="false" ht="15" hidden="false" customHeight="false" outlineLevel="0" collapsed="false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7" t="str">
        <f aca="false">IF(B1147="","",IF(COUNTIF($B$2:B1147,B1147)=1,MAX($AV$1:AV1146)+1,""))</f>
        <v/>
      </c>
    </row>
    <row r="1148" customFormat="false" ht="15" hidden="false" customHeight="false" outlineLevel="0" collapsed="false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7" t="str">
        <f aca="false">IF(B1148="","",IF(COUNTIF($B$2:B1148,B1148)=1,MAX($AV$1:AV1147)+1,""))</f>
        <v/>
      </c>
    </row>
    <row r="1149" customFormat="false" ht="15" hidden="false" customHeight="false" outlineLevel="0" collapsed="false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7" t="str">
        <f aca="false">IF(B1149="","",IF(COUNTIF($B$2:B1149,B1149)=1,MAX($AV$1:AV1148)+1,""))</f>
        <v/>
      </c>
    </row>
    <row r="1150" customFormat="false" ht="15" hidden="false" customHeight="false" outlineLevel="0" collapsed="false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7" t="str">
        <f aca="false">IF(B1150="","",IF(COUNTIF($B$2:B1150,B1150)=1,MAX($AV$1:AV1149)+1,""))</f>
        <v/>
      </c>
    </row>
    <row r="1151" customFormat="false" ht="15" hidden="false" customHeight="false" outlineLevel="0" collapsed="false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7" t="str">
        <f aca="false">IF(B1151="","",IF(COUNTIF($B$2:B1151,B1151)=1,MAX($AV$1:AV1150)+1,""))</f>
        <v/>
      </c>
    </row>
    <row r="1152" customFormat="false" ht="15" hidden="false" customHeight="false" outlineLevel="0" collapsed="false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7" t="str">
        <f aca="false">IF(B1152="","",IF(COUNTIF($B$2:B1152,B1152)=1,MAX($AV$1:AV1151)+1,""))</f>
        <v/>
      </c>
    </row>
    <row r="1153" customFormat="false" ht="15" hidden="false" customHeight="false" outlineLevel="0" collapsed="false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7" t="str">
        <f aca="false">IF(B1153="","",IF(COUNTIF($B$2:B1153,B1153)=1,MAX($AV$1:AV1152)+1,""))</f>
        <v/>
      </c>
    </row>
    <row r="1154" customFormat="false" ht="15" hidden="false" customHeight="false" outlineLevel="0" collapsed="false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7" t="str">
        <f aca="false">IF(B1154="","",IF(COUNTIF($B$2:B1154,B1154)=1,MAX($AV$1:AV1153)+1,""))</f>
        <v/>
      </c>
    </row>
    <row r="1155" customFormat="false" ht="15" hidden="false" customHeight="false" outlineLevel="0" collapsed="false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7" t="str">
        <f aca="false">IF(B1155="","",IF(COUNTIF($B$2:B1155,B1155)=1,MAX($AV$1:AV1154)+1,""))</f>
        <v/>
      </c>
    </row>
    <row r="1156" customFormat="false" ht="15" hidden="false" customHeight="false" outlineLevel="0" collapsed="false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7" t="str">
        <f aca="false">IF(B1156="","",IF(COUNTIF($B$2:B1156,B1156)=1,MAX($AV$1:AV1155)+1,""))</f>
        <v/>
      </c>
    </row>
    <row r="1157" customFormat="false" ht="15" hidden="false" customHeight="false" outlineLevel="0" collapsed="false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7" t="str">
        <f aca="false">IF(B1157="","",IF(COUNTIF($B$2:B1157,B1157)=1,MAX($AV$1:AV1156)+1,""))</f>
        <v/>
      </c>
    </row>
    <row r="1158" customFormat="false" ht="15" hidden="false" customHeight="false" outlineLevel="0" collapsed="false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7" t="str">
        <f aca="false">IF(B1158="","",IF(COUNTIF($B$2:B1158,B1158)=1,MAX($AV$1:AV1157)+1,""))</f>
        <v/>
      </c>
    </row>
    <row r="1159" customFormat="false" ht="15" hidden="false" customHeight="false" outlineLevel="0" collapsed="false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7" t="str">
        <f aca="false">IF(B1159="","",IF(COUNTIF($B$2:B1159,B1159)=1,MAX($AV$1:AV1158)+1,""))</f>
        <v/>
      </c>
    </row>
    <row r="1160" customFormat="false" ht="15" hidden="false" customHeight="false" outlineLevel="0" collapsed="false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7" t="str">
        <f aca="false">IF(B1160="","",IF(COUNTIF($B$2:B1160,B1160)=1,MAX($AV$1:AV1159)+1,""))</f>
        <v/>
      </c>
    </row>
    <row r="1161" customFormat="false" ht="15" hidden="false" customHeight="false" outlineLevel="0" collapsed="false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7" t="str">
        <f aca="false">IF(B1161="","",IF(COUNTIF($B$2:B1161,B1161)=1,MAX($AV$1:AV1160)+1,""))</f>
        <v/>
      </c>
    </row>
    <row r="1162" customFormat="false" ht="15" hidden="false" customHeight="false" outlineLevel="0" collapsed="false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7" t="str">
        <f aca="false">IF(B1162="","",IF(COUNTIF($B$2:B1162,B1162)=1,MAX($AV$1:AV1161)+1,""))</f>
        <v/>
      </c>
    </row>
    <row r="1163" customFormat="false" ht="15" hidden="false" customHeight="false" outlineLevel="0" collapsed="false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7" t="str">
        <f aca="false">IF(B1163="","",IF(COUNTIF($B$2:B1163,B1163)=1,MAX($AV$1:AV1162)+1,""))</f>
        <v/>
      </c>
    </row>
    <row r="1164" customFormat="false" ht="15" hidden="false" customHeight="false" outlineLevel="0" collapsed="false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7" t="str">
        <f aca="false">IF(B1164="","",IF(COUNTIF($B$2:B1164,B1164)=1,MAX($AV$1:AV1163)+1,""))</f>
        <v/>
      </c>
    </row>
    <row r="1165" customFormat="false" ht="15" hidden="false" customHeight="false" outlineLevel="0" collapsed="false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7" t="str">
        <f aca="false">IF(B1165="","",IF(COUNTIF($B$2:B1165,B1165)=1,MAX($AV$1:AV1164)+1,""))</f>
        <v/>
      </c>
    </row>
    <row r="1166" customFormat="false" ht="15" hidden="false" customHeight="false" outlineLevel="0" collapsed="false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7" t="str">
        <f aca="false">IF(B1166="","",IF(COUNTIF($B$2:B1166,B1166)=1,MAX($AV$1:AV1165)+1,""))</f>
        <v/>
      </c>
    </row>
    <row r="1167" customFormat="false" ht="15" hidden="false" customHeight="false" outlineLevel="0" collapsed="false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7" t="str">
        <f aca="false">IF(B1167="","",IF(COUNTIF($B$2:B1167,B1167)=1,MAX($AV$1:AV1166)+1,""))</f>
        <v/>
      </c>
    </row>
    <row r="1168" customFormat="false" ht="15" hidden="false" customHeight="false" outlineLevel="0" collapsed="false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7" t="str">
        <f aca="false">IF(B1168="","",IF(COUNTIF($B$2:B1168,B1168)=1,MAX($AV$1:AV1167)+1,""))</f>
        <v/>
      </c>
    </row>
    <row r="1169" customFormat="false" ht="15" hidden="false" customHeight="false" outlineLevel="0" collapsed="false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7" t="str">
        <f aca="false">IF(B1169="","",IF(COUNTIF($B$2:B1169,B1169)=1,MAX($AV$1:AV1168)+1,""))</f>
        <v/>
      </c>
    </row>
    <row r="1170" customFormat="false" ht="15" hidden="false" customHeight="false" outlineLevel="0" collapsed="false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7" t="str">
        <f aca="false">IF(B1170="","",IF(COUNTIF($B$2:B1170,B1170)=1,MAX($AV$1:AV1169)+1,""))</f>
        <v/>
      </c>
    </row>
    <row r="1171" customFormat="false" ht="15" hidden="false" customHeight="false" outlineLevel="0" collapsed="false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7" t="str">
        <f aca="false">IF(B1171="","",IF(COUNTIF($B$2:B1171,B1171)=1,MAX($AV$1:AV1170)+1,""))</f>
        <v/>
      </c>
    </row>
    <row r="1172" customFormat="false" ht="15" hidden="false" customHeight="false" outlineLevel="0" collapsed="false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7" t="str">
        <f aca="false">IF(B1172="","",IF(COUNTIF($B$2:B1172,B1172)=1,MAX($AV$1:AV1171)+1,""))</f>
        <v/>
      </c>
    </row>
    <row r="1173" customFormat="false" ht="15" hidden="false" customHeight="false" outlineLevel="0" collapsed="false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7" t="str">
        <f aca="false">IF(B1173="","",IF(COUNTIF($B$2:B1173,B1173)=1,MAX($AV$1:AV1172)+1,""))</f>
        <v/>
      </c>
    </row>
    <row r="1174" customFormat="false" ht="15" hidden="false" customHeight="false" outlineLevel="0" collapsed="false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7" t="str">
        <f aca="false">IF(B1174="","",IF(COUNTIF($B$2:B1174,B1174)=1,MAX($AV$1:AV1173)+1,""))</f>
        <v/>
      </c>
    </row>
    <row r="1175" customFormat="false" ht="15" hidden="false" customHeight="false" outlineLevel="0" collapsed="false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7" t="str">
        <f aca="false">IF(B1175="","",IF(COUNTIF($B$2:B1175,B1175)=1,MAX($AV$1:AV1174)+1,""))</f>
        <v/>
      </c>
    </row>
    <row r="1176" customFormat="false" ht="15" hidden="false" customHeight="false" outlineLevel="0" collapsed="false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7" t="str">
        <f aca="false">IF(B1176="","",IF(COUNTIF($B$2:B1176,B1176)=1,MAX($AV$1:AV1175)+1,""))</f>
        <v/>
      </c>
    </row>
    <row r="1177" customFormat="false" ht="15" hidden="false" customHeight="false" outlineLevel="0" collapsed="false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7" t="str">
        <f aca="false">IF(B1177="","",IF(COUNTIF($B$2:B1177,B1177)=1,MAX($AV$1:AV1176)+1,""))</f>
        <v/>
      </c>
    </row>
    <row r="1178" customFormat="false" ht="15" hidden="false" customHeight="false" outlineLevel="0" collapsed="false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7" t="str">
        <f aca="false">IF(B1178="","",IF(COUNTIF($B$2:B1178,B1178)=1,MAX($AV$1:AV1177)+1,""))</f>
        <v/>
      </c>
    </row>
    <row r="1179" customFormat="false" ht="15" hidden="false" customHeight="false" outlineLevel="0" collapsed="false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7" t="str">
        <f aca="false">IF(B1179="","",IF(COUNTIF($B$2:B1179,B1179)=1,MAX($AV$1:AV1178)+1,""))</f>
        <v/>
      </c>
    </row>
    <row r="1180" customFormat="false" ht="15" hidden="false" customHeight="false" outlineLevel="0" collapsed="false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7" t="str">
        <f aca="false">IF(B1180="","",IF(COUNTIF($B$2:B1180,B1180)=1,MAX($AV$1:AV1179)+1,""))</f>
        <v/>
      </c>
    </row>
    <row r="1181" customFormat="false" ht="15" hidden="false" customHeight="false" outlineLevel="0" collapsed="false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7" t="str">
        <f aca="false">IF(B1181="","",IF(COUNTIF($B$2:B1181,B1181)=1,MAX($AV$1:AV1180)+1,""))</f>
        <v/>
      </c>
    </row>
    <row r="1182" customFormat="false" ht="15" hidden="false" customHeight="false" outlineLevel="0" collapsed="false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7" t="str">
        <f aca="false">IF(B1182="","",IF(COUNTIF($B$2:B1182,B1182)=1,MAX($AV$1:AV1181)+1,""))</f>
        <v/>
      </c>
    </row>
    <row r="1183" customFormat="false" ht="15" hidden="false" customHeight="false" outlineLevel="0" collapsed="false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7" t="str">
        <f aca="false">IF(B1183="","",IF(COUNTIF($B$2:B1183,B1183)=1,MAX($AV$1:AV1182)+1,""))</f>
        <v/>
      </c>
    </row>
    <row r="1184" customFormat="false" ht="15" hidden="false" customHeight="false" outlineLevel="0" collapsed="false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7" t="str">
        <f aca="false">IF(B1184="","",IF(COUNTIF($B$2:B1184,B1184)=1,MAX($AV$1:AV1183)+1,""))</f>
        <v/>
      </c>
    </row>
    <row r="1185" customFormat="false" ht="15" hidden="false" customHeight="false" outlineLevel="0" collapsed="false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7" t="str">
        <f aca="false">IF(B1185="","",IF(COUNTIF($B$2:B1185,B1185)=1,MAX($AV$1:AV1184)+1,""))</f>
        <v/>
      </c>
    </row>
    <row r="1186" customFormat="false" ht="15" hidden="false" customHeight="false" outlineLevel="0" collapsed="false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7" t="str">
        <f aca="false">IF(B1186="","",IF(COUNTIF($B$2:B1186,B1186)=1,MAX($AV$1:AV1185)+1,""))</f>
        <v/>
      </c>
    </row>
    <row r="1187" customFormat="false" ht="15" hidden="false" customHeight="false" outlineLevel="0" collapsed="false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7" t="str">
        <f aca="false">IF(B1187="","",IF(COUNTIF($B$2:B1187,B1187)=1,MAX($AV$1:AV1186)+1,""))</f>
        <v/>
      </c>
    </row>
    <row r="1188" customFormat="false" ht="15" hidden="false" customHeight="false" outlineLevel="0" collapsed="false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7" t="str">
        <f aca="false">IF(B1188="","",IF(COUNTIF($B$2:B1188,B1188)=1,MAX($AV$1:AV1187)+1,""))</f>
        <v/>
      </c>
    </row>
    <row r="1189" customFormat="false" ht="15" hidden="false" customHeight="false" outlineLevel="0" collapsed="false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7" t="str">
        <f aca="false">IF(B1189="","",IF(COUNTIF($B$2:B1189,B1189)=1,MAX($AV$1:AV1188)+1,""))</f>
        <v/>
      </c>
    </row>
    <row r="1190" customFormat="false" ht="15" hidden="false" customHeight="false" outlineLevel="0" collapsed="false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7" t="str">
        <f aca="false">IF(B1190="","",IF(COUNTIF($B$2:B1190,B1190)=1,MAX($AV$1:AV1189)+1,""))</f>
        <v/>
      </c>
    </row>
    <row r="1191" customFormat="false" ht="15" hidden="false" customHeight="false" outlineLevel="0" collapsed="false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7" t="str">
        <f aca="false">IF(B1191="","",IF(COUNTIF($B$2:B1191,B1191)=1,MAX($AV$1:AV1190)+1,""))</f>
        <v/>
      </c>
    </row>
    <row r="1192" customFormat="false" ht="15" hidden="false" customHeight="false" outlineLevel="0" collapsed="false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7" t="str">
        <f aca="false">IF(B1192="","",IF(COUNTIF($B$2:B1192,B1192)=1,MAX($AV$1:AV1191)+1,""))</f>
        <v/>
      </c>
    </row>
    <row r="1193" customFormat="false" ht="15" hidden="false" customHeight="false" outlineLevel="0" collapsed="false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7" t="str">
        <f aca="false">IF(B1193="","",IF(COUNTIF($B$2:B1193,B1193)=1,MAX($AV$1:AV1192)+1,""))</f>
        <v/>
      </c>
    </row>
    <row r="1194" customFormat="false" ht="15" hidden="false" customHeight="false" outlineLevel="0" collapsed="false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7" t="str">
        <f aca="false">IF(B1194="","",IF(COUNTIF($B$2:B1194,B1194)=1,MAX($AV$1:AV1193)+1,""))</f>
        <v/>
      </c>
    </row>
    <row r="1195" customFormat="false" ht="15" hidden="false" customHeight="false" outlineLevel="0" collapsed="false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7" t="str">
        <f aca="false">IF(B1195="","",IF(COUNTIF($B$2:B1195,B1195)=1,MAX($AV$1:AV1194)+1,""))</f>
        <v/>
      </c>
    </row>
    <row r="1196" customFormat="false" ht="15" hidden="false" customHeight="false" outlineLevel="0" collapsed="false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7" t="str">
        <f aca="false">IF(B1196="","",IF(COUNTIF($B$2:B1196,B1196)=1,MAX($AV$1:AV1195)+1,""))</f>
        <v/>
      </c>
    </row>
    <row r="1197" customFormat="false" ht="15" hidden="false" customHeight="false" outlineLevel="0" collapsed="false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7" t="str">
        <f aca="false">IF(B1197="","",IF(COUNTIF($B$2:B1197,B1197)=1,MAX($AV$1:AV1196)+1,""))</f>
        <v/>
      </c>
    </row>
    <row r="1198" customFormat="false" ht="15" hidden="false" customHeight="false" outlineLevel="0" collapsed="false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7" t="str">
        <f aca="false">IF(B1198="","",IF(COUNTIF($B$2:B1198,B1198)=1,MAX($AV$1:AV1197)+1,""))</f>
        <v/>
      </c>
    </row>
    <row r="1199" customFormat="false" ht="15" hidden="false" customHeight="false" outlineLevel="0" collapsed="false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7" t="str">
        <f aca="false">IF(B1199="","",IF(COUNTIF($B$2:B1199,B1199)=1,MAX($AV$1:AV1198)+1,""))</f>
        <v/>
      </c>
    </row>
    <row r="1200" customFormat="false" ht="15" hidden="false" customHeight="false" outlineLevel="0" collapsed="false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7" t="str">
        <f aca="false">IF(B1200="","",IF(COUNTIF($B$2:B1200,B1200)=1,MAX($AV$1:AV1199)+1,""))</f>
        <v/>
      </c>
    </row>
    <row r="1201" customFormat="false" ht="15" hidden="false" customHeight="false" outlineLevel="0" collapsed="false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7" t="str">
        <f aca="false">IF(B1201="","",IF(COUNTIF($B$2:B1201,B1201)=1,MAX($AV$1:AV1200)+1,""))</f>
        <v/>
      </c>
    </row>
    <row r="1202" customFormat="false" ht="15" hidden="false" customHeight="false" outlineLevel="0" collapsed="false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7" t="str">
        <f aca="false">IF(B1202="","",IF(COUNTIF($B$2:B1202,B1202)=1,MAX($AV$1:AV1201)+1,""))</f>
        <v/>
      </c>
    </row>
    <row r="1203" customFormat="false" ht="15" hidden="false" customHeight="false" outlineLevel="0" collapsed="false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7" t="str">
        <f aca="false">IF(B1203="","",IF(COUNTIF($B$2:B1203,B1203)=1,MAX($AV$1:AV1202)+1,""))</f>
        <v/>
      </c>
    </row>
    <row r="1204" customFormat="false" ht="15" hidden="false" customHeight="false" outlineLevel="0" collapsed="false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7" t="str">
        <f aca="false">IF(B1204="","",IF(COUNTIF($B$2:B1204,B1204)=1,MAX($AV$1:AV1203)+1,""))</f>
        <v/>
      </c>
    </row>
    <row r="1205" customFormat="false" ht="15" hidden="false" customHeight="false" outlineLevel="0" collapsed="false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7" t="str">
        <f aca="false">IF(B1205="","",IF(COUNTIF($B$2:B1205,B1205)=1,MAX($AV$1:AV1204)+1,""))</f>
        <v/>
      </c>
    </row>
    <row r="1206" customFormat="false" ht="15" hidden="false" customHeight="false" outlineLevel="0" collapsed="false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7" t="str">
        <f aca="false">IF(B1206="","",IF(COUNTIF($B$2:B1206,B1206)=1,MAX($AV$1:AV1205)+1,""))</f>
        <v/>
      </c>
    </row>
    <row r="1207" customFormat="false" ht="15" hidden="false" customHeight="false" outlineLevel="0" collapsed="false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7" t="str">
        <f aca="false">IF(B1207="","",IF(COUNTIF($B$2:B1207,B1207)=1,MAX($AV$1:AV1206)+1,""))</f>
        <v/>
      </c>
    </row>
    <row r="1208" customFormat="false" ht="15" hidden="false" customHeight="false" outlineLevel="0" collapsed="false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7" t="str">
        <f aca="false">IF(B1208="","",IF(COUNTIF($B$2:B1208,B1208)=1,MAX($AV$1:AV1207)+1,""))</f>
        <v/>
      </c>
    </row>
    <row r="1209" customFormat="false" ht="15" hidden="false" customHeight="false" outlineLevel="0" collapsed="false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7" t="str">
        <f aca="false">IF(B1209="","",IF(COUNTIF($B$2:B1209,B1209)=1,MAX($AV$1:AV1208)+1,""))</f>
        <v/>
      </c>
    </row>
    <row r="1210" customFormat="false" ht="15" hidden="false" customHeight="false" outlineLevel="0" collapsed="false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7" t="str">
        <f aca="false">IF(B1210="","",IF(COUNTIF($B$2:B1210,B1210)=1,MAX($AV$1:AV1209)+1,""))</f>
        <v/>
      </c>
    </row>
    <row r="1211" customFormat="false" ht="15" hidden="false" customHeight="false" outlineLevel="0" collapsed="false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7" t="str">
        <f aca="false">IF(B1211="","",IF(COUNTIF($B$2:B1211,B1211)=1,MAX($AV$1:AV1210)+1,""))</f>
        <v/>
      </c>
    </row>
    <row r="1212" customFormat="false" ht="15" hidden="false" customHeight="false" outlineLevel="0" collapsed="false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7" t="str">
        <f aca="false">IF(B1212="","",IF(COUNTIF($B$2:B1212,B1212)=1,MAX($AV$1:AV1211)+1,""))</f>
        <v/>
      </c>
    </row>
    <row r="1213" customFormat="false" ht="15" hidden="false" customHeight="false" outlineLevel="0" collapsed="false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7" t="str">
        <f aca="false">IF(B1213="","",IF(COUNTIF($B$2:B1213,B1213)=1,MAX($AV$1:AV1212)+1,""))</f>
        <v/>
      </c>
    </row>
    <row r="1214" customFormat="false" ht="15" hidden="false" customHeight="false" outlineLevel="0" collapsed="false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7" t="str">
        <f aca="false">IF(B1214="","",IF(COUNTIF($B$2:B1214,B1214)=1,MAX($AV$1:AV1213)+1,""))</f>
        <v/>
      </c>
    </row>
    <row r="1215" customFormat="false" ht="15" hidden="false" customHeight="false" outlineLevel="0" collapsed="false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7" t="str">
        <f aca="false">IF(B1215="","",IF(COUNTIF($B$2:B1215,B1215)=1,MAX($AV$1:AV1214)+1,""))</f>
        <v/>
      </c>
    </row>
    <row r="1216" customFormat="false" ht="15" hidden="false" customHeight="false" outlineLevel="0" collapsed="false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7" t="str">
        <f aca="false">IF(B1216="","",IF(COUNTIF($B$2:B1216,B1216)=1,MAX($AV$1:AV1215)+1,""))</f>
        <v/>
      </c>
    </row>
    <row r="1217" customFormat="false" ht="15" hidden="false" customHeight="false" outlineLevel="0" collapsed="false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7" t="str">
        <f aca="false">IF(B1217="","",IF(COUNTIF($B$2:B1217,B1217)=1,MAX($AV$1:AV1216)+1,""))</f>
        <v/>
      </c>
    </row>
    <row r="1218" customFormat="false" ht="15" hidden="false" customHeight="false" outlineLevel="0" collapsed="false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7" t="str">
        <f aca="false">IF(B1218="","",IF(COUNTIF($B$2:B1218,B1218)=1,MAX($AV$1:AV1217)+1,""))</f>
        <v/>
      </c>
    </row>
    <row r="1219" customFormat="false" ht="15" hidden="false" customHeight="false" outlineLevel="0" collapsed="false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7" t="str">
        <f aca="false">IF(B1219="","",IF(COUNTIF($B$2:B1219,B1219)=1,MAX($AV$1:AV1218)+1,""))</f>
        <v/>
      </c>
    </row>
    <row r="1220" customFormat="false" ht="15" hidden="false" customHeight="false" outlineLevel="0" collapsed="false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7" t="str">
        <f aca="false">IF(B1220="","",IF(COUNTIF($B$2:B1220,B1220)=1,MAX($AV$1:AV1219)+1,""))</f>
        <v/>
      </c>
    </row>
    <row r="1221" customFormat="false" ht="15" hidden="false" customHeight="false" outlineLevel="0" collapsed="false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7" t="str">
        <f aca="false">IF(B1221="","",IF(COUNTIF($B$2:B1221,B1221)=1,MAX($AV$1:AV1220)+1,""))</f>
        <v/>
      </c>
    </row>
    <row r="1222" customFormat="false" ht="15" hidden="false" customHeight="false" outlineLevel="0" collapsed="false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7" t="str">
        <f aca="false">IF(B1222="","",IF(COUNTIF($B$2:B1222,B1222)=1,MAX($AV$1:AV1221)+1,""))</f>
        <v/>
      </c>
    </row>
    <row r="1223" customFormat="false" ht="15" hidden="false" customHeight="false" outlineLevel="0" collapsed="false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7" t="str">
        <f aca="false">IF(B1223="","",IF(COUNTIF($B$2:B1223,B1223)=1,MAX($AV$1:AV1222)+1,""))</f>
        <v/>
      </c>
    </row>
    <row r="1224" customFormat="false" ht="15" hidden="false" customHeight="false" outlineLevel="0" collapsed="false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7" t="str">
        <f aca="false">IF(B1224="","",IF(COUNTIF($B$2:B1224,B1224)=1,MAX($AV$1:AV1223)+1,""))</f>
        <v/>
      </c>
    </row>
    <row r="1225" customFormat="false" ht="15" hidden="false" customHeight="false" outlineLevel="0" collapsed="false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7" t="str">
        <f aca="false">IF(B1225="","",IF(COUNTIF($B$2:B1225,B1225)=1,MAX($AV$1:AV1224)+1,""))</f>
        <v/>
      </c>
    </row>
    <row r="1226" customFormat="false" ht="15" hidden="false" customHeight="false" outlineLevel="0" collapsed="false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7" t="str">
        <f aca="false">IF(B1226="","",IF(COUNTIF($B$2:B1226,B1226)=1,MAX($AV$1:AV1225)+1,""))</f>
        <v/>
      </c>
    </row>
    <row r="1227" customFormat="false" ht="15" hidden="false" customHeight="false" outlineLevel="0" collapsed="false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7" t="str">
        <f aca="false">IF(B1227="","",IF(COUNTIF($B$2:B1227,B1227)=1,MAX($AV$1:AV1226)+1,""))</f>
        <v/>
      </c>
    </row>
    <row r="1228" customFormat="false" ht="15" hidden="false" customHeight="false" outlineLevel="0" collapsed="false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7" t="str">
        <f aca="false">IF(B1228="","",IF(COUNTIF($B$2:B1228,B1228)=1,MAX($AV$1:AV1227)+1,""))</f>
        <v/>
      </c>
    </row>
    <row r="1229" customFormat="false" ht="15" hidden="false" customHeight="false" outlineLevel="0" collapsed="false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7" t="str">
        <f aca="false">IF(B1229="","",IF(COUNTIF($B$2:B1229,B1229)=1,MAX($AV$1:AV1228)+1,""))</f>
        <v/>
      </c>
    </row>
    <row r="1230" customFormat="false" ht="15" hidden="false" customHeight="false" outlineLevel="0" collapsed="false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7" t="str">
        <f aca="false">IF(B1230="","",IF(COUNTIF($B$2:B1230,B1230)=1,MAX($AV$1:AV1229)+1,""))</f>
        <v/>
      </c>
    </row>
    <row r="1231" customFormat="false" ht="15" hidden="false" customHeight="false" outlineLevel="0" collapsed="false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7" t="str">
        <f aca="false">IF(B1231="","",IF(COUNTIF($B$2:B1231,B1231)=1,MAX($AV$1:AV1230)+1,""))</f>
        <v/>
      </c>
    </row>
    <row r="1232" customFormat="false" ht="15" hidden="false" customHeight="false" outlineLevel="0" collapsed="false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7" t="str">
        <f aca="false">IF(B1232="","",IF(COUNTIF($B$2:B1232,B1232)=1,MAX($AV$1:AV1231)+1,""))</f>
        <v/>
      </c>
    </row>
    <row r="1233" customFormat="false" ht="15" hidden="false" customHeight="false" outlineLevel="0" collapsed="false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7" t="str">
        <f aca="false">IF(B1233="","",IF(COUNTIF($B$2:B1233,B1233)=1,MAX($AV$1:AV1232)+1,""))</f>
        <v/>
      </c>
    </row>
    <row r="1234" customFormat="false" ht="15" hidden="false" customHeight="false" outlineLevel="0" collapsed="false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7" t="str">
        <f aca="false">IF(B1234="","",IF(COUNTIF($B$2:B1234,B1234)=1,MAX($AV$1:AV1233)+1,""))</f>
        <v/>
      </c>
    </row>
    <row r="1235" customFormat="false" ht="15" hidden="false" customHeight="false" outlineLevel="0" collapsed="false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7" t="str">
        <f aca="false">IF(B1235="","",IF(COUNTIF($B$2:B1235,B1235)=1,MAX($AV$1:AV1234)+1,""))</f>
        <v/>
      </c>
    </row>
    <row r="1236" customFormat="false" ht="15" hidden="false" customHeight="false" outlineLevel="0" collapsed="false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7" t="str">
        <f aca="false">IF(B1236="","",IF(COUNTIF($B$2:B1236,B1236)=1,MAX($AV$1:AV1235)+1,""))</f>
        <v/>
      </c>
    </row>
    <row r="1237" customFormat="false" ht="15" hidden="false" customHeight="false" outlineLevel="0" collapsed="false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7" t="str">
        <f aca="false">IF(B1237="","",IF(COUNTIF($B$2:B1237,B1237)=1,MAX($AV$1:AV1236)+1,""))</f>
        <v/>
      </c>
    </row>
    <row r="1238" customFormat="false" ht="15" hidden="false" customHeight="false" outlineLevel="0" collapsed="false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7" t="str">
        <f aca="false">IF(B1238="","",IF(COUNTIF($B$2:B1238,B1238)=1,MAX($AV$1:AV1237)+1,""))</f>
        <v/>
      </c>
    </row>
    <row r="1239" customFormat="false" ht="15" hidden="false" customHeight="false" outlineLevel="0" collapsed="false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7" t="str">
        <f aca="false">IF(B1239="","",IF(COUNTIF($B$2:B1239,B1239)=1,MAX($AV$1:AV1238)+1,""))</f>
        <v/>
      </c>
    </row>
    <row r="1240" customFormat="false" ht="15" hidden="false" customHeight="false" outlineLevel="0" collapsed="false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7" t="str">
        <f aca="false">IF(B1240="","",IF(COUNTIF($B$2:B1240,B1240)=1,MAX($AV$1:AV1239)+1,""))</f>
        <v/>
      </c>
    </row>
    <row r="1241" customFormat="false" ht="15" hidden="false" customHeight="false" outlineLevel="0" collapsed="false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7" t="str">
        <f aca="false">IF(B1241="","",IF(COUNTIF($B$2:B1241,B1241)=1,MAX($AV$1:AV1240)+1,""))</f>
        <v/>
      </c>
    </row>
    <row r="1242" customFormat="false" ht="15" hidden="false" customHeight="false" outlineLevel="0" collapsed="false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7" t="str">
        <f aca="false">IF(B1242="","",IF(COUNTIF($B$2:B1242,B1242)=1,MAX($AV$1:AV1241)+1,""))</f>
        <v/>
      </c>
    </row>
    <row r="1243" customFormat="false" ht="15" hidden="false" customHeight="false" outlineLevel="0" collapsed="false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7" t="str">
        <f aca="false">IF(B1243="","",IF(COUNTIF($B$2:B1243,B1243)=1,MAX($AV$1:AV1242)+1,""))</f>
        <v/>
      </c>
    </row>
    <row r="1244" customFormat="false" ht="15" hidden="false" customHeight="false" outlineLevel="0" collapsed="false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7" t="str">
        <f aca="false">IF(B1244="","",IF(COUNTIF($B$2:B1244,B1244)=1,MAX($AV$1:AV1243)+1,""))</f>
        <v/>
      </c>
    </row>
    <row r="1245" customFormat="false" ht="15" hidden="false" customHeight="false" outlineLevel="0" collapsed="false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7" t="str">
        <f aca="false">IF(B1245="","",IF(COUNTIF($B$2:B1245,B1245)=1,MAX($AV$1:AV1244)+1,""))</f>
        <v/>
      </c>
    </row>
    <row r="1246" customFormat="false" ht="15" hidden="false" customHeight="false" outlineLevel="0" collapsed="false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7" t="str">
        <f aca="false">IF(B1246="","",IF(COUNTIF($B$2:B1246,B1246)=1,MAX($AV$1:AV1245)+1,""))</f>
        <v/>
      </c>
    </row>
    <row r="1247" customFormat="false" ht="15" hidden="false" customHeight="false" outlineLevel="0" collapsed="false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7" t="str">
        <f aca="false">IF(B1247="","",IF(COUNTIF($B$2:B1247,B1247)=1,MAX($AV$1:AV1246)+1,""))</f>
        <v/>
      </c>
    </row>
    <row r="1248" customFormat="false" ht="15" hidden="false" customHeight="false" outlineLevel="0" collapsed="false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7" t="str">
        <f aca="false">IF(B1248="","",IF(COUNTIF($B$2:B1248,B1248)=1,MAX($AV$1:AV1247)+1,""))</f>
        <v/>
      </c>
    </row>
    <row r="1249" customFormat="false" ht="15" hidden="false" customHeight="false" outlineLevel="0" collapsed="false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7" t="str">
        <f aca="false">IF(B1249="","",IF(COUNTIF($B$2:B1249,B1249)=1,MAX($AV$1:AV1248)+1,""))</f>
        <v/>
      </c>
    </row>
    <row r="1250" customFormat="false" ht="15" hidden="false" customHeight="false" outlineLevel="0" collapsed="false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7" t="str">
        <f aca="false">IF(B1250="","",IF(COUNTIF($B$2:B1250,B1250)=1,MAX($AV$1:AV1249)+1,""))</f>
        <v/>
      </c>
    </row>
    <row r="1251" customFormat="false" ht="15" hidden="false" customHeight="false" outlineLevel="0" collapsed="false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7" t="str">
        <f aca="false">IF(B1251="","",IF(COUNTIF($B$2:B1251,B1251)=1,MAX($AV$1:AV1250)+1,""))</f>
        <v/>
      </c>
    </row>
    <row r="1252" customFormat="false" ht="15" hidden="false" customHeight="false" outlineLevel="0" collapsed="false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7" t="str">
        <f aca="false">IF(B1252="","",IF(COUNTIF($B$2:B1252,B1252)=1,MAX($AV$1:AV1251)+1,""))</f>
        <v/>
      </c>
    </row>
    <row r="1253" customFormat="false" ht="15" hidden="false" customHeight="false" outlineLevel="0" collapsed="false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7" t="str">
        <f aca="false">IF(B1253="","",IF(COUNTIF($B$2:B1253,B1253)=1,MAX($AV$1:AV1252)+1,""))</f>
        <v/>
      </c>
    </row>
    <row r="1254" customFormat="false" ht="15" hidden="false" customHeight="false" outlineLevel="0" collapsed="false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7" t="str">
        <f aca="false">IF(B1254="","",IF(COUNTIF($B$2:B1254,B1254)=1,MAX($AV$1:AV1253)+1,""))</f>
        <v/>
      </c>
    </row>
    <row r="1255" customFormat="false" ht="15" hidden="false" customHeight="false" outlineLevel="0" collapsed="false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7" t="str">
        <f aca="false">IF(B1255="","",IF(COUNTIF($B$2:B1255,B1255)=1,MAX($AV$1:AV1254)+1,""))</f>
        <v/>
      </c>
    </row>
    <row r="1256" customFormat="false" ht="15" hidden="false" customHeight="false" outlineLevel="0" collapsed="false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7" t="str">
        <f aca="false">IF(B1256="","",IF(COUNTIF($B$2:B1256,B1256)=1,MAX($AV$1:AV1255)+1,""))</f>
        <v/>
      </c>
    </row>
    <row r="1257" customFormat="false" ht="15" hidden="false" customHeight="false" outlineLevel="0" collapsed="false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7" t="str">
        <f aca="false">IF(B1257="","",IF(COUNTIF($B$2:B1257,B1257)=1,MAX($AV$1:AV1256)+1,""))</f>
        <v/>
      </c>
    </row>
    <row r="1258" customFormat="false" ht="15" hidden="false" customHeight="false" outlineLevel="0" collapsed="false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7" t="str">
        <f aca="false">IF(B1258="","",IF(COUNTIF($B$2:B1258,B1258)=1,MAX($AV$1:AV1257)+1,""))</f>
        <v/>
      </c>
    </row>
    <row r="1259" customFormat="false" ht="15" hidden="false" customHeight="false" outlineLevel="0" collapsed="false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7" t="str">
        <f aca="false">IF(B1259="","",IF(COUNTIF($B$2:B1259,B1259)=1,MAX($AV$1:AV1258)+1,""))</f>
        <v/>
      </c>
    </row>
    <row r="1260" customFormat="false" ht="15" hidden="false" customHeight="false" outlineLevel="0" collapsed="false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7" t="str">
        <f aca="false">IF(B1260="","",IF(COUNTIF($B$2:B1260,B1260)=1,MAX($AV$1:AV1259)+1,""))</f>
        <v/>
      </c>
    </row>
    <row r="1261" customFormat="false" ht="15" hidden="false" customHeight="false" outlineLevel="0" collapsed="false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7" t="str">
        <f aca="false">IF(B1261="","",IF(COUNTIF($B$2:B1261,B1261)=1,MAX($AV$1:AV1260)+1,""))</f>
        <v/>
      </c>
    </row>
    <row r="1262" customFormat="false" ht="15" hidden="false" customHeight="false" outlineLevel="0" collapsed="false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7" t="str">
        <f aca="false">IF(B1262="","",IF(COUNTIF($B$2:B1262,B1262)=1,MAX($AV$1:AV1261)+1,""))</f>
        <v/>
      </c>
    </row>
    <row r="1263" customFormat="false" ht="15" hidden="false" customHeight="false" outlineLevel="0" collapsed="false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7" t="str">
        <f aca="false">IF(B1263="","",IF(COUNTIF($B$2:B1263,B1263)=1,MAX($AV$1:AV1262)+1,""))</f>
        <v/>
      </c>
    </row>
    <row r="1264" customFormat="false" ht="15" hidden="false" customHeight="false" outlineLevel="0" collapsed="false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7" t="str">
        <f aca="false">IF(B1264="","",IF(COUNTIF($B$2:B1264,B1264)=1,MAX($AV$1:AV1263)+1,""))</f>
        <v/>
      </c>
    </row>
    <row r="1265" customFormat="false" ht="15" hidden="false" customHeight="false" outlineLevel="0" collapsed="false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7" t="str">
        <f aca="false">IF(B1265="","",IF(COUNTIF($B$2:B1265,B1265)=1,MAX($AV$1:AV1264)+1,""))</f>
        <v/>
      </c>
    </row>
    <row r="1266" customFormat="false" ht="15" hidden="false" customHeight="false" outlineLevel="0" collapsed="false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7" t="str">
        <f aca="false">IF(B1266="","",IF(COUNTIF($B$2:B1266,B1266)=1,MAX($AV$1:AV1265)+1,""))</f>
        <v/>
      </c>
    </row>
    <row r="1267" customFormat="false" ht="15" hidden="false" customHeight="false" outlineLevel="0" collapsed="false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7" t="str">
        <f aca="false">IF(B1267="","",IF(COUNTIF($B$2:B1267,B1267)=1,MAX($AV$1:AV1266)+1,""))</f>
        <v/>
      </c>
    </row>
    <row r="1268" customFormat="false" ht="15" hidden="false" customHeight="false" outlineLevel="0" collapsed="false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7" t="str">
        <f aca="false">IF(B1268="","",IF(COUNTIF($B$2:B1268,B1268)=1,MAX($AV$1:AV1267)+1,""))</f>
        <v/>
      </c>
    </row>
    <row r="1269" customFormat="false" ht="15" hidden="false" customHeight="false" outlineLevel="0" collapsed="false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7" t="str">
        <f aca="false">IF(B1269="","",IF(COUNTIF($B$2:B1269,B1269)=1,MAX($AV$1:AV1268)+1,""))</f>
        <v/>
      </c>
    </row>
    <row r="1270" customFormat="false" ht="15" hidden="false" customHeight="false" outlineLevel="0" collapsed="false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7" t="str">
        <f aca="false">IF(B1270="","",IF(COUNTIF($B$2:B1270,B1270)=1,MAX($AV$1:AV1269)+1,""))</f>
        <v/>
      </c>
    </row>
    <row r="1271" customFormat="false" ht="15" hidden="false" customHeight="false" outlineLevel="0" collapsed="false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7" t="str">
        <f aca="false">IF(B1271="","",IF(COUNTIF($B$2:B1271,B1271)=1,MAX($AV$1:AV1270)+1,""))</f>
        <v/>
      </c>
    </row>
    <row r="1272" customFormat="false" ht="15" hidden="false" customHeight="false" outlineLevel="0" collapsed="false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7" t="str">
        <f aca="false">IF(B1272="","",IF(COUNTIF($B$2:B1272,B1272)=1,MAX($AV$1:AV1271)+1,""))</f>
        <v/>
      </c>
    </row>
    <row r="1273" customFormat="false" ht="15" hidden="false" customHeight="false" outlineLevel="0" collapsed="false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7" t="str">
        <f aca="false">IF(B1273="","",IF(COUNTIF($B$2:B1273,B1273)=1,MAX($AV$1:AV1272)+1,""))</f>
        <v/>
      </c>
    </row>
    <row r="1274" customFormat="false" ht="15" hidden="false" customHeight="false" outlineLevel="0" collapsed="false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7" t="str">
        <f aca="false">IF(B1274="","",IF(COUNTIF($B$2:B1274,B1274)=1,MAX($AV$1:AV1273)+1,""))</f>
        <v/>
      </c>
    </row>
    <row r="1275" customFormat="false" ht="15" hidden="false" customHeight="false" outlineLevel="0" collapsed="false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7" t="str">
        <f aca="false">IF(B1275="","",IF(COUNTIF($B$2:B1275,B1275)=1,MAX($AV$1:AV1274)+1,""))</f>
        <v/>
      </c>
    </row>
    <row r="1276" customFormat="false" ht="15" hidden="false" customHeight="false" outlineLevel="0" collapsed="false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7" t="str">
        <f aca="false">IF(B1276="","",IF(COUNTIF($B$2:B1276,B1276)=1,MAX($AV$1:AV1275)+1,""))</f>
        <v/>
      </c>
    </row>
    <row r="1277" customFormat="false" ht="15" hidden="false" customHeight="false" outlineLevel="0" collapsed="false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7" t="str">
        <f aca="false">IF(B1277="","",IF(COUNTIF($B$2:B1277,B1277)=1,MAX($AV$1:AV1276)+1,""))</f>
        <v/>
      </c>
    </row>
    <row r="1278" customFormat="false" ht="15" hidden="false" customHeight="false" outlineLevel="0" collapsed="false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7" t="str">
        <f aca="false">IF(B1278="","",IF(COUNTIF($B$2:B1278,B1278)=1,MAX($AV$1:AV1277)+1,""))</f>
        <v/>
      </c>
    </row>
    <row r="1279" customFormat="false" ht="15" hidden="false" customHeight="false" outlineLevel="0" collapsed="false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7" t="str">
        <f aca="false">IF(B1279="","",IF(COUNTIF($B$2:B1279,B1279)=1,MAX($AV$1:AV1278)+1,""))</f>
        <v/>
      </c>
    </row>
    <row r="1280" customFormat="false" ht="15" hidden="false" customHeight="false" outlineLevel="0" collapsed="false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7" t="str">
        <f aca="false">IF(B1280="","",IF(COUNTIF($B$2:B1280,B1280)=1,MAX($AV$1:AV1279)+1,""))</f>
        <v/>
      </c>
    </row>
    <row r="1281" customFormat="false" ht="15" hidden="false" customHeight="false" outlineLevel="0" collapsed="false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7" t="str">
        <f aca="false">IF(B1281="","",IF(COUNTIF($B$2:B1281,B1281)=1,MAX($AV$1:AV1280)+1,""))</f>
        <v/>
      </c>
    </row>
    <row r="1282" customFormat="false" ht="15" hidden="false" customHeight="false" outlineLevel="0" collapsed="false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7" t="str">
        <f aca="false">IF(B1282="","",IF(COUNTIF($B$2:B1282,B1282)=1,MAX($AV$1:AV1281)+1,""))</f>
        <v/>
      </c>
    </row>
    <row r="1283" customFormat="false" ht="15" hidden="false" customHeight="false" outlineLevel="0" collapsed="false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7" t="str">
        <f aca="false">IF(B1283="","",IF(COUNTIF($B$2:B1283,B1283)=1,MAX($AV$1:AV1282)+1,""))</f>
        <v/>
      </c>
    </row>
    <row r="1284" customFormat="false" ht="15" hidden="false" customHeight="false" outlineLevel="0" collapsed="false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7" t="str">
        <f aca="false">IF(B1284="","",IF(COUNTIF($B$2:B1284,B1284)=1,MAX($AV$1:AV1283)+1,""))</f>
        <v/>
      </c>
    </row>
    <row r="1285" customFormat="false" ht="15" hidden="false" customHeight="false" outlineLevel="0" collapsed="false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7" t="str">
        <f aca="false">IF(B1285="","",IF(COUNTIF($B$2:B1285,B1285)=1,MAX($AV$1:AV1284)+1,""))</f>
        <v/>
      </c>
    </row>
    <row r="1286" customFormat="false" ht="15" hidden="false" customHeight="false" outlineLevel="0" collapsed="false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7" t="str">
        <f aca="false">IF(B1286="","",IF(COUNTIF($B$2:B1286,B1286)=1,MAX($AV$1:AV1285)+1,""))</f>
        <v/>
      </c>
    </row>
    <row r="1287" customFormat="false" ht="15" hidden="false" customHeight="false" outlineLevel="0" collapsed="false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7" t="str">
        <f aca="false">IF(B1287="","",IF(COUNTIF($B$2:B1287,B1287)=1,MAX($AV$1:AV1286)+1,""))</f>
        <v/>
      </c>
    </row>
    <row r="1288" customFormat="false" ht="15" hidden="false" customHeight="false" outlineLevel="0" collapsed="false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7" t="str">
        <f aca="false">IF(B1288="","",IF(COUNTIF($B$2:B1288,B1288)=1,MAX($AV$1:AV1287)+1,""))</f>
        <v/>
      </c>
    </row>
    <row r="1289" customFormat="false" ht="15" hidden="false" customHeight="false" outlineLevel="0" collapsed="false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7" t="str">
        <f aca="false">IF(B1289="","",IF(COUNTIF($B$2:B1289,B1289)=1,MAX($AV$1:AV1288)+1,""))</f>
        <v/>
      </c>
    </row>
    <row r="1290" customFormat="false" ht="15" hidden="false" customHeight="false" outlineLevel="0" collapsed="false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7" t="str">
        <f aca="false">IF(B1290="","",IF(COUNTIF($B$2:B1290,B1290)=1,MAX($AV$1:AV1289)+1,""))</f>
        <v/>
      </c>
    </row>
    <row r="1291" customFormat="false" ht="15" hidden="false" customHeight="false" outlineLevel="0" collapsed="false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7" t="str">
        <f aca="false">IF(B1291="","",IF(COUNTIF($B$2:B1291,B1291)=1,MAX($AV$1:AV1290)+1,""))</f>
        <v/>
      </c>
    </row>
    <row r="1292" customFormat="false" ht="15" hidden="false" customHeight="false" outlineLevel="0" collapsed="false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7" t="str">
        <f aca="false">IF(B1292="","",IF(COUNTIF($B$2:B1292,B1292)=1,MAX($AV$1:AV1291)+1,""))</f>
        <v/>
      </c>
    </row>
    <row r="1293" customFormat="false" ht="15" hidden="false" customHeight="false" outlineLevel="0" collapsed="false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7" t="str">
        <f aca="false">IF(B1293="","",IF(COUNTIF($B$2:B1293,B1293)=1,MAX($AV$1:AV1292)+1,""))</f>
        <v/>
      </c>
    </row>
    <row r="1294" customFormat="false" ht="15" hidden="false" customHeight="false" outlineLevel="0" collapsed="false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7" t="str">
        <f aca="false">IF(B1294="","",IF(COUNTIF($B$2:B1294,B1294)=1,MAX($AV$1:AV1293)+1,""))</f>
        <v/>
      </c>
    </row>
    <row r="1295" customFormat="false" ht="15" hidden="false" customHeight="false" outlineLevel="0" collapsed="false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7" t="str">
        <f aca="false">IF(B1295="","",IF(COUNTIF($B$2:B1295,B1295)=1,MAX($AV$1:AV1294)+1,""))</f>
        <v/>
      </c>
    </row>
    <row r="1296" customFormat="false" ht="15" hidden="false" customHeight="false" outlineLevel="0" collapsed="false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7" t="str">
        <f aca="false">IF(B1296="","",IF(COUNTIF($B$2:B1296,B1296)=1,MAX($AV$1:AV1295)+1,""))</f>
        <v/>
      </c>
    </row>
    <row r="1297" customFormat="false" ht="15" hidden="false" customHeight="false" outlineLevel="0" collapsed="false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7" t="str">
        <f aca="false">IF(B1297="","",IF(COUNTIF($B$2:B1297,B1297)=1,MAX($AV$1:AV1296)+1,""))</f>
        <v/>
      </c>
    </row>
    <row r="1298" customFormat="false" ht="15" hidden="false" customHeight="false" outlineLevel="0" collapsed="false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7" t="str">
        <f aca="false">IF(B1298="","",IF(COUNTIF($B$2:B1298,B1298)=1,MAX($AV$1:AV1297)+1,""))</f>
        <v/>
      </c>
    </row>
    <row r="1299" customFormat="false" ht="15" hidden="false" customHeight="false" outlineLevel="0" collapsed="false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7" t="str">
        <f aca="false">IF(B1299="","",IF(COUNTIF($B$2:B1299,B1299)=1,MAX($AV$1:AV1298)+1,""))</f>
        <v/>
      </c>
    </row>
    <row r="1300" customFormat="false" ht="15" hidden="false" customHeight="false" outlineLevel="0" collapsed="false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7" t="str">
        <f aca="false">IF(B1300="","",IF(COUNTIF($B$2:B1300,B1300)=1,MAX($AV$1:AV1299)+1,""))</f>
        <v/>
      </c>
    </row>
    <row r="1301" customFormat="false" ht="15" hidden="false" customHeight="false" outlineLevel="0" collapsed="false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7" t="str">
        <f aca="false">IF(B1301="","",IF(COUNTIF($B$2:B1301,B1301)=1,MAX($AV$1:AV1300)+1,""))</f>
        <v/>
      </c>
    </row>
    <row r="1302" customFormat="false" ht="15" hidden="false" customHeight="false" outlineLevel="0" collapsed="false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7" t="str">
        <f aca="false">IF(B1302="","",IF(COUNTIF($B$2:B1302,B1302)=1,MAX($AV$1:AV1301)+1,""))</f>
        <v/>
      </c>
    </row>
    <row r="1303" customFormat="false" ht="15" hidden="false" customHeight="false" outlineLevel="0" collapsed="false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7" t="str">
        <f aca="false">IF(B1303="","",IF(COUNTIF($B$2:B1303,B1303)=1,MAX($AV$1:AV1302)+1,""))</f>
        <v/>
      </c>
    </row>
    <row r="1304" customFormat="false" ht="15" hidden="false" customHeight="false" outlineLevel="0" collapsed="false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7" t="str">
        <f aca="false">IF(B1304="","",IF(COUNTIF($B$2:B1304,B1304)=1,MAX($AV$1:AV1303)+1,""))</f>
        <v/>
      </c>
    </row>
    <row r="1305" customFormat="false" ht="15" hidden="false" customHeight="false" outlineLevel="0" collapsed="false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7" t="str">
        <f aca="false">IF(B1305="","",IF(COUNTIF($B$2:B1305,B1305)=1,MAX($AV$1:AV1304)+1,""))</f>
        <v/>
      </c>
    </row>
    <row r="1306" customFormat="false" ht="15" hidden="false" customHeight="false" outlineLevel="0" collapsed="false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7" t="str">
        <f aca="false">IF(B1306="","",IF(COUNTIF($B$2:B1306,B1306)=1,MAX($AV$1:AV1305)+1,""))</f>
        <v/>
      </c>
    </row>
    <row r="1307" customFormat="false" ht="15" hidden="false" customHeight="false" outlineLevel="0" collapsed="false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7" t="str">
        <f aca="false">IF(B1307="","",IF(COUNTIF($B$2:B1307,B1307)=1,MAX($AV$1:AV1306)+1,""))</f>
        <v/>
      </c>
    </row>
    <row r="1308" customFormat="false" ht="15" hidden="false" customHeight="false" outlineLevel="0" collapsed="false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7" t="str">
        <f aca="false">IF(B1308="","",IF(COUNTIF($B$2:B1308,B1308)=1,MAX($AV$1:AV1307)+1,""))</f>
        <v/>
      </c>
    </row>
    <row r="1309" customFormat="false" ht="15" hidden="false" customHeight="false" outlineLevel="0" collapsed="false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7" t="str">
        <f aca="false">IF(B1309="","",IF(COUNTIF($B$2:B1309,B1309)=1,MAX($AV$1:AV1308)+1,""))</f>
        <v/>
      </c>
    </row>
    <row r="1310" customFormat="false" ht="15" hidden="false" customHeight="false" outlineLevel="0" collapsed="false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7" t="str">
        <f aca="false">IF(B1310="","",IF(COUNTIF($B$2:B1310,B1310)=1,MAX($AV$1:AV1309)+1,""))</f>
        <v/>
      </c>
    </row>
    <row r="1311" customFormat="false" ht="15" hidden="false" customHeight="false" outlineLevel="0" collapsed="false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7" t="str">
        <f aca="false">IF(B1311="","",IF(COUNTIF($B$2:B1311,B1311)=1,MAX($AV$1:AV1310)+1,""))</f>
        <v/>
      </c>
    </row>
    <row r="1312" customFormat="false" ht="15" hidden="false" customHeight="false" outlineLevel="0" collapsed="false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7" t="str">
        <f aca="false">IF(B1312="","",IF(COUNTIF($B$2:B1312,B1312)=1,MAX($AV$1:AV1311)+1,""))</f>
        <v/>
      </c>
    </row>
    <row r="1313" customFormat="false" ht="15" hidden="false" customHeight="false" outlineLevel="0" collapsed="false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7" t="str">
        <f aca="false">IF(B1313="","",IF(COUNTIF($B$2:B1313,B1313)=1,MAX($AV$1:AV1312)+1,""))</f>
        <v/>
      </c>
    </row>
    <row r="1314" customFormat="false" ht="15" hidden="false" customHeight="false" outlineLevel="0" collapsed="false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7" t="str">
        <f aca="false">IF(B1314="","",IF(COUNTIF($B$2:B1314,B1314)=1,MAX($AV$1:AV1313)+1,""))</f>
        <v/>
      </c>
    </row>
    <row r="1315" customFormat="false" ht="15" hidden="false" customHeight="false" outlineLevel="0" collapsed="false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7" t="str">
        <f aca="false">IF(B1315="","",IF(COUNTIF($B$2:B1315,B1315)=1,MAX($AV$1:AV1314)+1,""))</f>
        <v/>
      </c>
    </row>
    <row r="1316" customFormat="false" ht="15" hidden="false" customHeight="false" outlineLevel="0" collapsed="false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7" t="str">
        <f aca="false">IF(B1316="","",IF(COUNTIF($B$2:B1316,B1316)=1,MAX($AV$1:AV1315)+1,""))</f>
        <v/>
      </c>
    </row>
    <row r="1317" customFormat="false" ht="15" hidden="false" customHeight="false" outlineLevel="0" collapsed="false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7" t="str">
        <f aca="false">IF(B1317="","",IF(COUNTIF($B$2:B1317,B1317)=1,MAX($AV$1:AV1316)+1,""))</f>
        <v/>
      </c>
    </row>
    <row r="1318" customFormat="false" ht="15" hidden="false" customHeight="false" outlineLevel="0" collapsed="false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7" t="str">
        <f aca="false">IF(B1318="","",IF(COUNTIF($B$2:B1318,B1318)=1,MAX($AV$1:AV1317)+1,""))</f>
        <v/>
      </c>
    </row>
    <row r="1319" customFormat="false" ht="15" hidden="false" customHeight="false" outlineLevel="0" collapsed="false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7" t="str">
        <f aca="false">IF(B1319="","",IF(COUNTIF($B$2:B1319,B1319)=1,MAX($AV$1:AV1318)+1,""))</f>
        <v/>
      </c>
    </row>
    <row r="1320" customFormat="false" ht="15" hidden="false" customHeight="false" outlineLevel="0" collapsed="false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7" t="str">
        <f aca="false">IF(B1320="","",IF(COUNTIF($B$2:B1320,B1320)=1,MAX($AV$1:AV1319)+1,""))</f>
        <v/>
      </c>
    </row>
    <row r="1321" customFormat="false" ht="15" hidden="false" customHeight="false" outlineLevel="0" collapsed="false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7" t="str">
        <f aca="false">IF(B1321="","",IF(COUNTIF($B$2:B1321,B1321)=1,MAX($AV$1:AV1320)+1,""))</f>
        <v/>
      </c>
    </row>
    <row r="1322" customFormat="false" ht="15" hidden="false" customHeight="false" outlineLevel="0" collapsed="false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7" t="str">
        <f aca="false">IF(B1322="","",IF(COUNTIF($B$2:B1322,B1322)=1,MAX($AV$1:AV1321)+1,""))</f>
        <v/>
      </c>
    </row>
    <row r="1323" customFormat="false" ht="15" hidden="false" customHeight="false" outlineLevel="0" collapsed="false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7" t="str">
        <f aca="false">IF(B1323="","",IF(COUNTIF($B$2:B1323,B1323)=1,MAX($AV$1:AV1322)+1,""))</f>
        <v/>
      </c>
    </row>
    <row r="1324" customFormat="false" ht="15" hidden="false" customHeight="false" outlineLevel="0" collapsed="false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7" t="str">
        <f aca="false">IF(B1324="","",IF(COUNTIF($B$2:B1324,B1324)=1,MAX($AV$1:AV1323)+1,""))</f>
        <v/>
      </c>
    </row>
    <row r="1325" customFormat="false" ht="15" hidden="false" customHeight="false" outlineLevel="0" collapsed="false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7" t="str">
        <f aca="false">IF(B1325="","",IF(COUNTIF($B$2:B1325,B1325)=1,MAX($AV$1:AV1324)+1,""))</f>
        <v/>
      </c>
    </row>
    <row r="1326" customFormat="false" ht="15" hidden="false" customHeight="false" outlineLevel="0" collapsed="false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7" t="str">
        <f aca="false">IF(B1326="","",IF(COUNTIF($B$2:B1326,B1326)=1,MAX($AV$1:AV1325)+1,""))</f>
        <v/>
      </c>
    </row>
    <row r="1327" customFormat="false" ht="15" hidden="false" customHeight="false" outlineLevel="0" collapsed="false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7" t="str">
        <f aca="false">IF(B1327="","",IF(COUNTIF($B$2:B1327,B1327)=1,MAX($AV$1:AV1326)+1,""))</f>
        <v/>
      </c>
    </row>
    <row r="1328" customFormat="false" ht="15" hidden="false" customHeight="false" outlineLevel="0" collapsed="false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7" t="str">
        <f aca="false">IF(B1328="","",IF(COUNTIF($B$2:B1328,B1328)=1,MAX($AV$1:AV1327)+1,""))</f>
        <v/>
      </c>
    </row>
    <row r="1329" customFormat="false" ht="15" hidden="false" customHeight="false" outlineLevel="0" collapsed="false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7" t="str">
        <f aca="false">IF(B1329="","",IF(COUNTIF($B$2:B1329,B1329)=1,MAX($AV$1:AV1328)+1,""))</f>
        <v/>
      </c>
    </row>
    <row r="1330" customFormat="false" ht="15" hidden="false" customHeight="false" outlineLevel="0" collapsed="false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7" t="str">
        <f aca="false">IF(B1330="","",IF(COUNTIF($B$2:B1330,B1330)=1,MAX($AV$1:AV1329)+1,""))</f>
        <v/>
      </c>
    </row>
    <row r="1331" customFormat="false" ht="15" hidden="false" customHeight="false" outlineLevel="0" collapsed="false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7" t="str">
        <f aca="false">IF(B1331="","",IF(COUNTIF($B$2:B1331,B1331)=1,MAX($AV$1:AV1330)+1,""))</f>
        <v/>
      </c>
    </row>
    <row r="1332" customFormat="false" ht="15" hidden="false" customHeight="false" outlineLevel="0" collapsed="false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7" t="str">
        <f aca="false">IF(B1332="","",IF(COUNTIF($B$2:B1332,B1332)=1,MAX($AV$1:AV1331)+1,""))</f>
        <v/>
      </c>
    </row>
    <row r="1333" customFormat="false" ht="15" hidden="false" customHeight="false" outlineLevel="0" collapsed="false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7" t="str">
        <f aca="false">IF(B1333="","",IF(COUNTIF($B$2:B1333,B1333)=1,MAX($AV$1:AV1332)+1,""))</f>
        <v/>
      </c>
    </row>
    <row r="1334" customFormat="false" ht="15" hidden="false" customHeight="false" outlineLevel="0" collapsed="false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7" t="str">
        <f aca="false">IF(B1334="","",IF(COUNTIF($B$2:B1334,B1334)=1,MAX($AV$1:AV1333)+1,""))</f>
        <v/>
      </c>
    </row>
    <row r="1335" customFormat="false" ht="15" hidden="false" customHeight="false" outlineLevel="0" collapsed="false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7" t="str">
        <f aca="false">IF(B1335="","",IF(COUNTIF($B$2:B1335,B1335)=1,MAX($AV$1:AV1334)+1,""))</f>
        <v/>
      </c>
    </row>
    <row r="1336" customFormat="false" ht="15" hidden="false" customHeight="false" outlineLevel="0" collapsed="false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7" t="str">
        <f aca="false">IF(B1336="","",IF(COUNTIF($B$2:B1336,B1336)=1,MAX($AV$1:AV1335)+1,""))</f>
        <v/>
      </c>
    </row>
    <row r="1337" customFormat="false" ht="15" hidden="false" customHeight="false" outlineLevel="0" collapsed="false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7" t="str">
        <f aca="false">IF(B1337="","",IF(COUNTIF($B$2:B1337,B1337)=1,MAX($AV$1:AV1336)+1,""))</f>
        <v/>
      </c>
    </row>
    <row r="1338" customFormat="false" ht="15" hidden="false" customHeight="false" outlineLevel="0" collapsed="false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7" t="str">
        <f aca="false">IF(B1338="","",IF(COUNTIF($B$2:B1338,B1338)=1,MAX($AV$1:AV1337)+1,""))</f>
        <v/>
      </c>
    </row>
    <row r="1339" customFormat="false" ht="15" hidden="false" customHeight="false" outlineLevel="0" collapsed="false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7" t="str">
        <f aca="false">IF(B1339="","",IF(COUNTIF($B$2:B1339,B1339)=1,MAX($AV$1:AV1338)+1,""))</f>
        <v/>
      </c>
    </row>
    <row r="1340" customFormat="false" ht="15" hidden="false" customHeight="false" outlineLevel="0" collapsed="false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7" t="str">
        <f aca="false">IF(B1340="","",IF(COUNTIF($B$2:B1340,B1340)=1,MAX($AV$1:AV1339)+1,""))</f>
        <v/>
      </c>
    </row>
    <row r="1341" customFormat="false" ht="15" hidden="false" customHeight="false" outlineLevel="0" collapsed="false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7" t="str">
        <f aca="false">IF(B1341="","",IF(COUNTIF($B$2:B1341,B1341)=1,MAX($AV$1:AV1340)+1,""))</f>
        <v/>
      </c>
    </row>
    <row r="1342" customFormat="false" ht="15" hidden="false" customHeight="false" outlineLevel="0" collapsed="false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7" t="str">
        <f aca="false">IF(B1342="","",IF(COUNTIF($B$2:B1342,B1342)=1,MAX($AV$1:AV1341)+1,""))</f>
        <v/>
      </c>
    </row>
    <row r="1343" customFormat="false" ht="15" hidden="false" customHeight="false" outlineLevel="0" collapsed="false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7" t="str">
        <f aca="false">IF(B1343="","",IF(COUNTIF($B$2:B1343,B1343)=1,MAX($AV$1:AV1342)+1,""))</f>
        <v/>
      </c>
    </row>
    <row r="1344" customFormat="false" ht="15" hidden="false" customHeight="false" outlineLevel="0" collapsed="false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7" t="str">
        <f aca="false">IF(B1344="","",IF(COUNTIF($B$2:B1344,B1344)=1,MAX($AV$1:AV1343)+1,""))</f>
        <v/>
      </c>
    </row>
    <row r="1345" customFormat="false" ht="15" hidden="false" customHeight="false" outlineLevel="0" collapsed="false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7" t="str">
        <f aca="false">IF(B1345="","",IF(COUNTIF($B$2:B1345,B1345)=1,MAX($AV$1:AV1344)+1,""))</f>
        <v/>
      </c>
    </row>
    <row r="1346" customFormat="false" ht="15" hidden="false" customHeight="false" outlineLevel="0" collapsed="false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7" t="str">
        <f aca="false">IF(B1346="","",IF(COUNTIF($B$2:B1346,B1346)=1,MAX($AV$1:AV1345)+1,""))</f>
        <v/>
      </c>
    </row>
    <row r="1347" customFormat="false" ht="15" hidden="false" customHeight="false" outlineLevel="0" collapsed="false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7" t="str">
        <f aca="false">IF(B1347="","",IF(COUNTIF($B$2:B1347,B1347)=1,MAX($AV$1:AV1346)+1,""))</f>
        <v/>
      </c>
    </row>
    <row r="1348" customFormat="false" ht="15" hidden="false" customHeight="false" outlineLevel="0" collapsed="false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7" t="str">
        <f aca="false">IF(B1348="","",IF(COUNTIF($B$2:B1348,B1348)=1,MAX($AV$1:AV1347)+1,""))</f>
        <v/>
      </c>
    </row>
    <row r="1349" customFormat="false" ht="15" hidden="false" customHeight="false" outlineLevel="0" collapsed="false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7" t="str">
        <f aca="false">IF(B1349="","",IF(COUNTIF($B$2:B1349,B1349)=1,MAX($AV$1:AV1348)+1,""))</f>
        <v/>
      </c>
    </row>
    <row r="1350" customFormat="false" ht="15" hidden="false" customHeight="false" outlineLevel="0" collapsed="false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7" t="str">
        <f aca="false">IF(B1350="","",IF(COUNTIF($B$2:B1350,B1350)=1,MAX($AV$1:AV1349)+1,""))</f>
        <v/>
      </c>
    </row>
    <row r="1351" customFormat="false" ht="15" hidden="false" customHeight="false" outlineLevel="0" collapsed="false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7" t="str">
        <f aca="false">IF(B1351="","",IF(COUNTIF($B$2:B1351,B1351)=1,MAX($AV$1:AV1350)+1,""))</f>
        <v/>
      </c>
    </row>
    <row r="1352" customFormat="false" ht="15" hidden="false" customHeight="false" outlineLevel="0" collapsed="false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7" t="str">
        <f aca="false">IF(B1352="","",IF(COUNTIF($B$2:B1352,B1352)=1,MAX($AV$1:AV1351)+1,""))</f>
        <v/>
      </c>
    </row>
    <row r="1353" customFormat="false" ht="15" hidden="false" customHeight="false" outlineLevel="0" collapsed="false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7" t="str">
        <f aca="false">IF(B1353="","",IF(COUNTIF($B$2:B1353,B1353)=1,MAX($AV$1:AV1352)+1,""))</f>
        <v/>
      </c>
    </row>
    <row r="1354" customFormat="false" ht="15" hidden="false" customHeight="false" outlineLevel="0" collapsed="false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7" t="str">
        <f aca="false">IF(B1354="","",IF(COUNTIF($B$2:B1354,B1354)=1,MAX($AV$1:AV1353)+1,""))</f>
        <v/>
      </c>
    </row>
    <row r="1355" customFormat="false" ht="15" hidden="false" customHeight="false" outlineLevel="0" collapsed="false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7" t="str">
        <f aca="false">IF(B1355="","",IF(COUNTIF($B$2:B1355,B1355)=1,MAX($AV$1:AV1354)+1,""))</f>
        <v/>
      </c>
    </row>
    <row r="1356" customFormat="false" ht="15" hidden="false" customHeight="false" outlineLevel="0" collapsed="false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7" t="str">
        <f aca="false">IF(B1356="","",IF(COUNTIF($B$2:B1356,B1356)=1,MAX($AV$1:AV1355)+1,""))</f>
        <v/>
      </c>
    </row>
    <row r="1357" customFormat="false" ht="15" hidden="false" customHeight="false" outlineLevel="0" collapsed="false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7" t="str">
        <f aca="false">IF(B1357="","",IF(COUNTIF($B$2:B1357,B1357)=1,MAX($AV$1:AV1356)+1,""))</f>
        <v/>
      </c>
    </row>
    <row r="1358" customFormat="false" ht="15" hidden="false" customHeight="false" outlineLevel="0" collapsed="false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7" t="str">
        <f aca="false">IF(B1358="","",IF(COUNTIF($B$2:B1358,B1358)=1,MAX($AV$1:AV1357)+1,""))</f>
        <v/>
      </c>
    </row>
    <row r="1359" customFormat="false" ht="15" hidden="false" customHeight="false" outlineLevel="0" collapsed="false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7" t="str">
        <f aca="false">IF(B1359="","",IF(COUNTIF($B$2:B1359,B1359)=1,MAX($AV$1:AV1358)+1,""))</f>
        <v/>
      </c>
    </row>
    <row r="1360" customFormat="false" ht="15" hidden="false" customHeight="false" outlineLevel="0" collapsed="false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7" t="str">
        <f aca="false">IF(B1360="","",IF(COUNTIF($B$2:B1360,B1360)=1,MAX($AV$1:AV1359)+1,""))</f>
        <v/>
      </c>
    </row>
    <row r="1361" customFormat="false" ht="15" hidden="false" customHeight="false" outlineLevel="0" collapsed="false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7" t="str">
        <f aca="false">IF(B1361="","",IF(COUNTIF($B$2:B1361,B1361)=1,MAX($AV$1:AV1360)+1,""))</f>
        <v/>
      </c>
    </row>
    <row r="1362" customFormat="false" ht="15" hidden="false" customHeight="false" outlineLevel="0" collapsed="false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7" t="str">
        <f aca="false">IF(B1362="","",IF(COUNTIF($B$2:B1362,B1362)=1,MAX($AV$1:AV1361)+1,""))</f>
        <v/>
      </c>
    </row>
    <row r="1363" customFormat="false" ht="15" hidden="false" customHeight="false" outlineLevel="0" collapsed="false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7" t="str">
        <f aca="false">IF(B1363="","",IF(COUNTIF($B$2:B1363,B1363)=1,MAX($AV$1:AV1362)+1,""))</f>
        <v/>
      </c>
    </row>
    <row r="1364" customFormat="false" ht="15" hidden="false" customHeight="false" outlineLevel="0" collapsed="false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7" t="str">
        <f aca="false">IF(B1364="","",IF(COUNTIF($B$2:B1364,B1364)=1,MAX($AV$1:AV1363)+1,""))</f>
        <v/>
      </c>
    </row>
    <row r="1365" customFormat="false" ht="15" hidden="false" customHeight="false" outlineLevel="0" collapsed="false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7" t="str">
        <f aca="false">IF(B1365="","",IF(COUNTIF($B$2:B1365,B1365)=1,MAX($AV$1:AV1364)+1,""))</f>
        <v/>
      </c>
    </row>
    <row r="1366" customFormat="false" ht="15" hidden="false" customHeight="false" outlineLevel="0" collapsed="false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7" t="str">
        <f aca="false">IF(B1366="","",IF(COUNTIF($B$2:B1366,B1366)=1,MAX($AV$1:AV1365)+1,""))</f>
        <v/>
      </c>
    </row>
    <row r="1367" customFormat="false" ht="15" hidden="false" customHeight="false" outlineLevel="0" collapsed="false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7" t="str">
        <f aca="false">IF(B1367="","",IF(COUNTIF($B$2:B1367,B1367)=1,MAX($AV$1:AV1366)+1,""))</f>
        <v/>
      </c>
    </row>
    <row r="1368" customFormat="false" ht="15" hidden="false" customHeight="false" outlineLevel="0" collapsed="false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7" t="str">
        <f aca="false">IF(B1368="","",IF(COUNTIF($B$2:B1368,B1368)=1,MAX($AV$1:AV1367)+1,""))</f>
        <v/>
      </c>
    </row>
    <row r="1369" customFormat="false" ht="15" hidden="false" customHeight="false" outlineLevel="0" collapsed="false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7" t="str">
        <f aca="false">IF(B1369="","",IF(COUNTIF($B$2:B1369,B1369)=1,MAX($AV$1:AV1368)+1,""))</f>
        <v/>
      </c>
    </row>
    <row r="1370" customFormat="false" ht="15" hidden="false" customHeight="false" outlineLevel="0" collapsed="false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7" t="str">
        <f aca="false">IF(B1370="","",IF(COUNTIF($B$2:B1370,B1370)=1,MAX($AV$1:AV1369)+1,""))</f>
        <v/>
      </c>
    </row>
    <row r="1371" customFormat="false" ht="15" hidden="false" customHeight="false" outlineLevel="0" collapsed="false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7" t="str">
        <f aca="false">IF(B1371="","",IF(COUNTIF($B$2:B1371,B1371)=1,MAX($AV$1:AV1370)+1,""))</f>
        <v/>
      </c>
    </row>
    <row r="1372" customFormat="false" ht="15" hidden="false" customHeight="false" outlineLevel="0" collapsed="false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7" t="str">
        <f aca="false">IF(B1372="","",IF(COUNTIF($B$2:B1372,B1372)=1,MAX($AV$1:AV1371)+1,""))</f>
        <v/>
      </c>
    </row>
    <row r="1373" customFormat="false" ht="15" hidden="false" customHeight="false" outlineLevel="0" collapsed="false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7" t="str">
        <f aca="false">IF(B1373="","",IF(COUNTIF($B$2:B1373,B1373)=1,MAX($AV$1:AV1372)+1,""))</f>
        <v/>
      </c>
    </row>
    <row r="1374" customFormat="false" ht="15" hidden="false" customHeight="false" outlineLevel="0" collapsed="false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7" t="str">
        <f aca="false">IF(B1374="","",IF(COUNTIF($B$2:B1374,B1374)=1,MAX($AV$1:AV1373)+1,""))</f>
        <v/>
      </c>
    </row>
    <row r="1375" customFormat="false" ht="15" hidden="false" customHeight="false" outlineLevel="0" collapsed="false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7" t="str">
        <f aca="false">IF(B1375="","",IF(COUNTIF($B$2:B1375,B1375)=1,MAX($AV$1:AV1374)+1,""))</f>
        <v/>
      </c>
    </row>
    <row r="1376" customFormat="false" ht="15" hidden="false" customHeight="false" outlineLevel="0" collapsed="false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7" t="str">
        <f aca="false">IF(B1376="","",IF(COUNTIF($B$2:B1376,B1376)=1,MAX($AV$1:AV1375)+1,""))</f>
        <v/>
      </c>
    </row>
    <row r="1377" customFormat="false" ht="15" hidden="false" customHeight="false" outlineLevel="0" collapsed="false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7" t="str">
        <f aca="false">IF(B1377="","",IF(COUNTIF($B$2:B1377,B1377)=1,MAX($AV$1:AV1376)+1,""))</f>
        <v/>
      </c>
    </row>
    <row r="1378" customFormat="false" ht="15" hidden="false" customHeight="false" outlineLevel="0" collapsed="false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7" t="str">
        <f aca="false">IF(B1378="","",IF(COUNTIF($B$2:B1378,B1378)=1,MAX($AV$1:AV1377)+1,""))</f>
        <v/>
      </c>
    </row>
    <row r="1379" customFormat="false" ht="15" hidden="false" customHeight="false" outlineLevel="0" collapsed="false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7" t="str">
        <f aca="false">IF(B1379="","",IF(COUNTIF($B$2:B1379,B1379)=1,MAX($AV$1:AV1378)+1,""))</f>
        <v/>
      </c>
    </row>
    <row r="1380" customFormat="false" ht="15" hidden="false" customHeight="false" outlineLevel="0" collapsed="false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7" t="str">
        <f aca="false">IF(B1380="","",IF(COUNTIF($B$2:B1380,B1380)=1,MAX($AV$1:AV1379)+1,""))</f>
        <v/>
      </c>
    </row>
    <row r="1381" customFormat="false" ht="15" hidden="false" customHeight="false" outlineLevel="0" collapsed="false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7" t="str">
        <f aca="false">IF(B1381="","",IF(COUNTIF($B$2:B1381,B1381)=1,MAX($AV$1:AV1380)+1,""))</f>
        <v/>
      </c>
    </row>
    <row r="1382" customFormat="false" ht="15" hidden="false" customHeight="false" outlineLevel="0" collapsed="false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7" t="str">
        <f aca="false">IF(B1382="","",IF(COUNTIF($B$2:B1382,B1382)=1,MAX($AV$1:AV1381)+1,""))</f>
        <v/>
      </c>
    </row>
    <row r="1383" customFormat="false" ht="15" hidden="false" customHeight="false" outlineLevel="0" collapsed="false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7" t="str">
        <f aca="false">IF(B1383="","",IF(COUNTIF($B$2:B1383,B1383)=1,MAX($AV$1:AV1382)+1,""))</f>
        <v/>
      </c>
    </row>
    <row r="1384" customFormat="false" ht="15" hidden="false" customHeight="false" outlineLevel="0" collapsed="false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7" t="str">
        <f aca="false">IF(B1384="","",IF(COUNTIF($B$2:B1384,B1384)=1,MAX($AV$1:AV1383)+1,""))</f>
        <v/>
      </c>
    </row>
    <row r="1385" customFormat="false" ht="15" hidden="false" customHeight="false" outlineLevel="0" collapsed="false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7" t="str">
        <f aca="false">IF(B1385="","",IF(COUNTIF($B$2:B1385,B1385)=1,MAX($AV$1:AV1384)+1,""))</f>
        <v/>
      </c>
    </row>
    <row r="1386" customFormat="false" ht="15" hidden="false" customHeight="false" outlineLevel="0" collapsed="false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7" t="str">
        <f aca="false">IF(B1386="","",IF(COUNTIF($B$2:B1386,B1386)=1,MAX($AV$1:AV1385)+1,""))</f>
        <v/>
      </c>
    </row>
    <row r="1387" customFormat="false" ht="15" hidden="false" customHeight="false" outlineLevel="0" collapsed="false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7" t="str">
        <f aca="false">IF(B1387="","",IF(COUNTIF($B$2:B1387,B1387)=1,MAX($AV$1:AV1386)+1,""))</f>
        <v/>
      </c>
    </row>
    <row r="1388" customFormat="false" ht="15" hidden="false" customHeight="false" outlineLevel="0" collapsed="false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7" t="str">
        <f aca="false">IF(B1388="","",IF(COUNTIF($B$2:B1388,B1388)=1,MAX($AV$1:AV1387)+1,""))</f>
        <v/>
      </c>
    </row>
    <row r="1389" customFormat="false" ht="15" hidden="false" customHeight="false" outlineLevel="0" collapsed="false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7" t="str">
        <f aca="false">IF(B1389="","",IF(COUNTIF($B$2:B1389,B1389)=1,MAX($AV$1:AV1388)+1,""))</f>
        <v/>
      </c>
    </row>
    <row r="1390" customFormat="false" ht="15" hidden="false" customHeight="false" outlineLevel="0" collapsed="false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7" t="str">
        <f aca="false">IF(B1390="","",IF(COUNTIF($B$2:B1390,B1390)=1,MAX($AV$1:AV1389)+1,""))</f>
        <v/>
      </c>
    </row>
    <row r="1391" customFormat="false" ht="15" hidden="false" customHeight="false" outlineLevel="0" collapsed="false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7" t="str">
        <f aca="false">IF(B1391="","",IF(COUNTIF($B$2:B1391,B1391)=1,MAX($AV$1:AV1390)+1,""))</f>
        <v/>
      </c>
    </row>
    <row r="1392" customFormat="false" ht="15" hidden="false" customHeight="false" outlineLevel="0" collapsed="false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7" t="str">
        <f aca="false">IF(B1392="","",IF(COUNTIF($B$2:B1392,B1392)=1,MAX($AV$1:AV1391)+1,""))</f>
        <v/>
      </c>
    </row>
    <row r="1393" customFormat="false" ht="15" hidden="false" customHeight="false" outlineLevel="0" collapsed="false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7" t="str">
        <f aca="false">IF(B1393="","",IF(COUNTIF($B$2:B1393,B1393)=1,MAX($AV$1:AV1392)+1,""))</f>
        <v/>
      </c>
    </row>
    <row r="1394" customFormat="false" ht="15" hidden="false" customHeight="false" outlineLevel="0" collapsed="false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7" t="str">
        <f aca="false">IF(B1394="","",IF(COUNTIF($B$2:B1394,B1394)=1,MAX($AV$1:AV1393)+1,""))</f>
        <v/>
      </c>
    </row>
    <row r="1395" customFormat="false" ht="15" hidden="false" customHeight="false" outlineLevel="0" collapsed="false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7" t="str">
        <f aca="false">IF(B1395="","",IF(COUNTIF($B$2:B1395,B1395)=1,MAX($AV$1:AV1394)+1,""))</f>
        <v/>
      </c>
    </row>
    <row r="1396" customFormat="false" ht="15" hidden="false" customHeight="false" outlineLevel="0" collapsed="false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7" t="str">
        <f aca="false">IF(B1396="","",IF(COUNTIF($B$2:B1396,B1396)=1,MAX($AV$1:AV1395)+1,""))</f>
        <v/>
      </c>
    </row>
    <row r="1397" customFormat="false" ht="15" hidden="false" customHeight="false" outlineLevel="0" collapsed="false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7" t="str">
        <f aca="false">IF(B1397="","",IF(COUNTIF($B$2:B1397,B1397)=1,MAX($AV$1:AV1396)+1,""))</f>
        <v/>
      </c>
    </row>
    <row r="1398" customFormat="false" ht="15" hidden="false" customHeight="false" outlineLevel="0" collapsed="false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7" t="str">
        <f aca="false">IF(B1398="","",IF(COUNTIF($B$2:B1398,B1398)=1,MAX($AV$1:AV1397)+1,""))</f>
        <v/>
      </c>
    </row>
    <row r="1399" customFormat="false" ht="15" hidden="false" customHeight="false" outlineLevel="0" collapsed="false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7" t="str">
        <f aca="false">IF(B1399="","",IF(COUNTIF($B$2:B1399,B1399)=1,MAX($AV$1:AV1398)+1,""))</f>
        <v/>
      </c>
    </row>
    <row r="1400" customFormat="false" ht="15" hidden="false" customHeight="false" outlineLevel="0" collapsed="false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7" t="str">
        <f aca="false">IF(B1400="","",IF(COUNTIF($B$2:B1400,B1400)=1,MAX($AV$1:AV1399)+1,""))</f>
        <v/>
      </c>
    </row>
    <row r="1401" customFormat="false" ht="15" hidden="false" customHeight="false" outlineLevel="0" collapsed="false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7" t="str">
        <f aca="false">IF(B1401="","",IF(COUNTIF($B$2:B1401,B1401)=1,MAX($AV$1:AV1400)+1,""))</f>
        <v/>
      </c>
    </row>
    <row r="1402" customFormat="false" ht="15" hidden="false" customHeight="false" outlineLevel="0" collapsed="false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7" t="str">
        <f aca="false">IF(B1402="","",IF(COUNTIF($B$2:B1402,B1402)=1,MAX($AV$1:AV1401)+1,""))</f>
        <v/>
      </c>
    </row>
    <row r="1403" customFormat="false" ht="15" hidden="false" customHeight="false" outlineLevel="0" collapsed="false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7" t="str">
        <f aca="false">IF(B1403="","",IF(COUNTIF($B$2:B1403,B1403)=1,MAX($AV$1:AV1402)+1,""))</f>
        <v/>
      </c>
    </row>
    <row r="1404" customFormat="false" ht="15" hidden="false" customHeight="false" outlineLevel="0" collapsed="false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7" t="str">
        <f aca="false">IF(B1404="","",IF(COUNTIF($B$2:B1404,B1404)=1,MAX($AV$1:AV1403)+1,""))</f>
        <v/>
      </c>
    </row>
    <row r="1405" customFormat="false" ht="15" hidden="false" customHeight="false" outlineLevel="0" collapsed="false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7" t="str">
        <f aca="false">IF(B1405="","",IF(COUNTIF($B$2:B1405,B1405)=1,MAX($AV$1:AV1404)+1,""))</f>
        <v/>
      </c>
    </row>
    <row r="1406" customFormat="false" ht="15" hidden="false" customHeight="false" outlineLevel="0" collapsed="false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7" t="str">
        <f aca="false">IF(B1406="","",IF(COUNTIF($B$2:B1406,B1406)=1,MAX($AV$1:AV1405)+1,""))</f>
        <v/>
      </c>
    </row>
    <row r="1407" customFormat="false" ht="15" hidden="false" customHeight="false" outlineLevel="0" collapsed="false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7" t="str">
        <f aca="false">IF(B1407="","",IF(COUNTIF($B$2:B1407,B1407)=1,MAX($AV$1:AV1406)+1,""))</f>
        <v/>
      </c>
    </row>
    <row r="1408" customFormat="false" ht="15" hidden="false" customHeight="false" outlineLevel="0" collapsed="false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7" t="str">
        <f aca="false">IF(B1408="","",IF(COUNTIF($B$2:B1408,B1408)=1,MAX($AV$1:AV1407)+1,""))</f>
        <v/>
      </c>
    </row>
    <row r="1409" customFormat="false" ht="15" hidden="false" customHeight="false" outlineLevel="0" collapsed="false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7" t="str">
        <f aca="false">IF(B1409="","",IF(COUNTIF($B$2:B1409,B1409)=1,MAX($AV$1:AV1408)+1,""))</f>
        <v/>
      </c>
    </row>
    <row r="1410" customFormat="false" ht="15" hidden="false" customHeight="false" outlineLevel="0" collapsed="false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7" t="str">
        <f aca="false">IF(B1410="","",IF(COUNTIF($B$2:B1410,B1410)=1,MAX($AV$1:AV1409)+1,""))</f>
        <v/>
      </c>
    </row>
    <row r="1411" customFormat="false" ht="15" hidden="false" customHeight="false" outlineLevel="0" collapsed="false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7" t="str">
        <f aca="false">IF(B1411="","",IF(COUNTIF($B$2:B1411,B1411)=1,MAX($AV$1:AV1410)+1,""))</f>
        <v/>
      </c>
    </row>
    <row r="1412" customFormat="false" ht="15" hidden="false" customHeight="false" outlineLevel="0" collapsed="false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7" t="str">
        <f aca="false">IF(B1412="","",IF(COUNTIF($B$2:B1412,B1412)=1,MAX($AV$1:AV1411)+1,""))</f>
        <v/>
      </c>
    </row>
    <row r="1413" customFormat="false" ht="15" hidden="false" customHeight="false" outlineLevel="0" collapsed="false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7" t="str">
        <f aca="false">IF(B1413="","",IF(COUNTIF($B$2:B1413,B1413)=1,MAX($AV$1:AV1412)+1,""))</f>
        <v/>
      </c>
    </row>
    <row r="1414" customFormat="false" ht="15" hidden="false" customHeight="false" outlineLevel="0" collapsed="false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7" t="str">
        <f aca="false">IF(B1414="","",IF(COUNTIF($B$2:B1414,B1414)=1,MAX($AV$1:AV1413)+1,""))</f>
        <v/>
      </c>
    </row>
    <row r="1415" customFormat="false" ht="15" hidden="false" customHeight="false" outlineLevel="0" collapsed="false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7" t="str">
        <f aca="false">IF(B1415="","",IF(COUNTIF($B$2:B1415,B1415)=1,MAX($AV$1:AV1414)+1,""))</f>
        <v/>
      </c>
    </row>
    <row r="1416" customFormat="false" ht="15" hidden="false" customHeight="false" outlineLevel="0" collapsed="false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7" t="str">
        <f aca="false">IF(B1416="","",IF(COUNTIF($B$2:B1416,B1416)=1,MAX($AV$1:AV1415)+1,""))</f>
        <v/>
      </c>
    </row>
    <row r="1417" customFormat="false" ht="15" hidden="false" customHeight="false" outlineLevel="0" collapsed="false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7" t="str">
        <f aca="false">IF(B1417="","",IF(COUNTIF($B$2:B1417,B1417)=1,MAX($AV$1:AV1416)+1,""))</f>
        <v/>
      </c>
    </row>
    <row r="1418" customFormat="false" ht="15" hidden="false" customHeight="false" outlineLevel="0" collapsed="false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7" t="str">
        <f aca="false">IF(B1418="","",IF(COUNTIF($B$2:B1418,B1418)=1,MAX($AV$1:AV1417)+1,""))</f>
        <v/>
      </c>
    </row>
    <row r="1419" customFormat="false" ht="15" hidden="false" customHeight="false" outlineLevel="0" collapsed="false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7" t="str">
        <f aca="false">IF(B1419="","",IF(COUNTIF($B$2:B1419,B1419)=1,MAX($AV$1:AV1418)+1,""))</f>
        <v/>
      </c>
    </row>
    <row r="1420" customFormat="false" ht="15" hidden="false" customHeight="false" outlineLevel="0" collapsed="false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7" t="str">
        <f aca="false">IF(B1420="","",IF(COUNTIF($B$2:B1420,B1420)=1,MAX($AV$1:AV1419)+1,""))</f>
        <v/>
      </c>
    </row>
    <row r="1421" customFormat="false" ht="15" hidden="false" customHeight="false" outlineLevel="0" collapsed="false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7" t="str">
        <f aca="false">IF(B1421="","",IF(COUNTIF($B$2:B1421,B1421)=1,MAX($AV$1:AV1420)+1,""))</f>
        <v/>
      </c>
    </row>
    <row r="1422" customFormat="false" ht="15" hidden="false" customHeight="false" outlineLevel="0" collapsed="false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7" t="str">
        <f aca="false">IF(B1422="","",IF(COUNTIF($B$2:B1422,B1422)=1,MAX($AV$1:AV1421)+1,""))</f>
        <v/>
      </c>
    </row>
    <row r="1423" customFormat="false" ht="15" hidden="false" customHeight="false" outlineLevel="0" collapsed="false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7" t="str">
        <f aca="false">IF(B1423="","",IF(COUNTIF($B$2:B1423,B1423)=1,MAX($AV$1:AV1422)+1,""))</f>
        <v/>
      </c>
    </row>
    <row r="1424" customFormat="false" ht="15" hidden="false" customHeight="false" outlineLevel="0" collapsed="false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7" t="str">
        <f aca="false">IF(B1424="","",IF(COUNTIF($B$2:B1424,B1424)=1,MAX($AV$1:AV1423)+1,""))</f>
        <v/>
      </c>
    </row>
    <row r="1425" customFormat="false" ht="15" hidden="false" customHeight="false" outlineLevel="0" collapsed="false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7" t="str">
        <f aca="false">IF(B1425="","",IF(COUNTIF($B$2:B1425,B1425)=1,MAX($AV$1:AV1424)+1,""))</f>
        <v/>
      </c>
    </row>
    <row r="1426" customFormat="false" ht="15" hidden="false" customHeight="false" outlineLevel="0" collapsed="false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7" t="str">
        <f aca="false">IF(B1426="","",IF(COUNTIF($B$2:B1426,B1426)=1,MAX($AV$1:AV1425)+1,""))</f>
        <v/>
      </c>
    </row>
    <row r="1427" customFormat="false" ht="15" hidden="false" customHeight="false" outlineLevel="0" collapsed="false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7" t="str">
        <f aca="false">IF(B1427="","",IF(COUNTIF($B$2:B1427,B1427)=1,MAX($AV$1:AV1426)+1,""))</f>
        <v/>
      </c>
    </row>
    <row r="1428" customFormat="false" ht="15" hidden="false" customHeight="false" outlineLevel="0" collapsed="false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7" t="str">
        <f aca="false">IF(B1428="","",IF(COUNTIF($B$2:B1428,B1428)=1,MAX($AV$1:AV1427)+1,""))</f>
        <v/>
      </c>
    </row>
    <row r="1429" customFormat="false" ht="15" hidden="false" customHeight="false" outlineLevel="0" collapsed="false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7" t="str">
        <f aca="false">IF(B1429="","",IF(COUNTIF($B$2:B1429,B1429)=1,MAX($AV$1:AV1428)+1,""))</f>
        <v/>
      </c>
    </row>
    <row r="1430" customFormat="false" ht="15" hidden="false" customHeight="false" outlineLevel="0" collapsed="false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7" t="str">
        <f aca="false">IF(B1430="","",IF(COUNTIF($B$2:B1430,B1430)=1,MAX($AV$1:AV1429)+1,""))</f>
        <v/>
      </c>
    </row>
    <row r="1431" customFormat="false" ht="15" hidden="false" customHeight="false" outlineLevel="0" collapsed="false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7" t="str">
        <f aca="false">IF(B1431="","",IF(COUNTIF($B$2:B1431,B1431)=1,MAX($AV$1:AV1430)+1,""))</f>
        <v/>
      </c>
    </row>
    <row r="1432" customFormat="false" ht="15" hidden="false" customHeight="false" outlineLevel="0" collapsed="false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7" t="str">
        <f aca="false">IF(B1432="","",IF(COUNTIF($B$2:B1432,B1432)=1,MAX($AV$1:AV1431)+1,""))</f>
        <v/>
      </c>
    </row>
    <row r="1433" customFormat="false" ht="15" hidden="false" customHeight="false" outlineLevel="0" collapsed="false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7" t="str">
        <f aca="false">IF(B1433="","",IF(COUNTIF($B$2:B1433,B1433)=1,MAX($AV$1:AV1432)+1,""))</f>
        <v/>
      </c>
    </row>
    <row r="1434" customFormat="false" ht="15" hidden="false" customHeight="false" outlineLevel="0" collapsed="false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7" t="str">
        <f aca="false">IF(B1434="","",IF(COUNTIF($B$2:B1434,B1434)=1,MAX($AV$1:AV1433)+1,""))</f>
        <v/>
      </c>
    </row>
    <row r="1435" customFormat="false" ht="15" hidden="false" customHeight="false" outlineLevel="0" collapsed="false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7" t="str">
        <f aca="false">IF(B1435="","",IF(COUNTIF($B$2:B1435,B1435)=1,MAX($AV$1:AV1434)+1,""))</f>
        <v/>
      </c>
    </row>
    <row r="1436" customFormat="false" ht="15" hidden="false" customHeight="false" outlineLevel="0" collapsed="false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7" t="str">
        <f aca="false">IF(B1436="","",IF(COUNTIF($B$2:B1436,B1436)=1,MAX($AV$1:AV1435)+1,""))</f>
        <v/>
      </c>
    </row>
    <row r="1437" customFormat="false" ht="15" hidden="false" customHeight="false" outlineLevel="0" collapsed="false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7" t="str">
        <f aca="false">IF(B1437="","",IF(COUNTIF($B$2:B1437,B1437)=1,MAX($AV$1:AV1436)+1,""))</f>
        <v/>
      </c>
    </row>
    <row r="1438" customFormat="false" ht="15" hidden="false" customHeight="false" outlineLevel="0" collapsed="false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7" t="str">
        <f aca="false">IF(B1438="","",IF(COUNTIF($B$2:B1438,B1438)=1,MAX($AV$1:AV1437)+1,""))</f>
        <v/>
      </c>
    </row>
    <row r="1439" customFormat="false" ht="15" hidden="false" customHeight="false" outlineLevel="0" collapsed="false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7" t="str">
        <f aca="false">IF(B1439="","",IF(COUNTIF($B$2:B1439,B1439)=1,MAX($AV$1:AV1438)+1,""))</f>
        <v/>
      </c>
    </row>
    <row r="1440" customFormat="false" ht="15" hidden="false" customHeight="false" outlineLevel="0" collapsed="false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7" t="str">
        <f aca="false">IF(B1440="","",IF(COUNTIF($B$2:B1440,B1440)=1,MAX($AV$1:AV1439)+1,""))</f>
        <v/>
      </c>
    </row>
    <row r="1441" customFormat="false" ht="15" hidden="false" customHeight="false" outlineLevel="0" collapsed="false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7" t="str">
        <f aca="false">IF(B1441="","",IF(COUNTIF($B$2:B1441,B1441)=1,MAX($AV$1:AV1440)+1,""))</f>
        <v/>
      </c>
    </row>
    <row r="1442" customFormat="false" ht="15" hidden="false" customHeight="false" outlineLevel="0" collapsed="false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7" t="str">
        <f aca="false">IF(B1442="","",IF(COUNTIF($B$2:B1442,B1442)=1,MAX($AV$1:AV1441)+1,""))</f>
        <v/>
      </c>
    </row>
    <row r="1443" customFormat="false" ht="15" hidden="false" customHeight="false" outlineLevel="0" collapsed="false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7" t="str">
        <f aca="false">IF(B1443="","",IF(COUNTIF($B$2:B1443,B1443)=1,MAX($AV$1:AV1442)+1,""))</f>
        <v/>
      </c>
    </row>
    <row r="1444" customFormat="false" ht="15" hidden="false" customHeight="false" outlineLevel="0" collapsed="false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7" t="str">
        <f aca="false">IF(B1444="","",IF(COUNTIF($B$2:B1444,B1444)=1,MAX($AV$1:AV1443)+1,""))</f>
        <v/>
      </c>
    </row>
    <row r="1445" customFormat="false" ht="15" hidden="false" customHeight="false" outlineLevel="0" collapsed="false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7" t="str">
        <f aca="false">IF(B1445="","",IF(COUNTIF($B$2:B1445,B1445)=1,MAX($AV$1:AV1444)+1,""))</f>
        <v/>
      </c>
    </row>
    <row r="1446" customFormat="false" ht="15" hidden="false" customHeight="false" outlineLevel="0" collapsed="false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7" t="str">
        <f aca="false">IF(B1446="","",IF(COUNTIF($B$2:B1446,B1446)=1,MAX($AV$1:AV1445)+1,""))</f>
        <v/>
      </c>
    </row>
    <row r="1447" customFormat="false" ht="15" hidden="false" customHeight="false" outlineLevel="0" collapsed="false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7" t="str">
        <f aca="false">IF(B1447="","",IF(COUNTIF($B$2:B1447,B1447)=1,MAX($AV$1:AV1446)+1,""))</f>
        <v/>
      </c>
    </row>
    <row r="1448" customFormat="false" ht="15" hidden="false" customHeight="false" outlineLevel="0" collapsed="false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7" t="str">
        <f aca="false">IF(B1448="","",IF(COUNTIF($B$2:B1448,B1448)=1,MAX($AV$1:AV1447)+1,""))</f>
        <v/>
      </c>
    </row>
    <row r="1449" customFormat="false" ht="15" hidden="false" customHeight="false" outlineLevel="0" collapsed="false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7" t="str">
        <f aca="false">IF(B1449="","",IF(COUNTIF($B$2:B1449,B1449)=1,MAX($AV$1:AV1448)+1,""))</f>
        <v/>
      </c>
    </row>
    <row r="1450" customFormat="false" ht="15" hidden="false" customHeight="false" outlineLevel="0" collapsed="false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7" t="str">
        <f aca="false">IF(B1450="","",IF(COUNTIF($B$2:B1450,B1450)=1,MAX($AV$1:AV1449)+1,""))</f>
        <v/>
      </c>
    </row>
    <row r="1451" customFormat="false" ht="15" hidden="false" customHeight="false" outlineLevel="0" collapsed="false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7" t="str">
        <f aca="false">IF(B1451="","",IF(COUNTIF($B$2:B1451,B1451)=1,MAX($AV$1:AV1450)+1,""))</f>
        <v/>
      </c>
    </row>
    <row r="1452" customFormat="false" ht="15" hidden="false" customHeight="false" outlineLevel="0" collapsed="false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7" t="str">
        <f aca="false">IF(B1452="","",IF(COUNTIF($B$2:B1452,B1452)=1,MAX($AV$1:AV1451)+1,""))</f>
        <v/>
      </c>
    </row>
    <row r="1453" customFormat="false" ht="15" hidden="false" customHeight="false" outlineLevel="0" collapsed="false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7" t="str">
        <f aca="false">IF(B1453="","",IF(COUNTIF($B$2:B1453,B1453)=1,MAX($AV$1:AV1452)+1,""))</f>
        <v/>
      </c>
    </row>
    <row r="1454" customFormat="false" ht="15" hidden="false" customHeight="false" outlineLevel="0" collapsed="false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7" t="str">
        <f aca="false">IF(B1454="","",IF(COUNTIF($B$2:B1454,B1454)=1,MAX($AV$1:AV1453)+1,""))</f>
        <v/>
      </c>
    </row>
    <row r="1455" customFormat="false" ht="15" hidden="false" customHeight="false" outlineLevel="0" collapsed="false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7" t="str">
        <f aca="false">IF(B1455="","",IF(COUNTIF($B$2:B1455,B1455)=1,MAX($AV$1:AV1454)+1,""))</f>
        <v/>
      </c>
    </row>
    <row r="1456" customFormat="false" ht="15" hidden="false" customHeight="false" outlineLevel="0" collapsed="false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7" t="str">
        <f aca="false">IF(B1456="","",IF(COUNTIF($B$2:B1456,B1456)=1,MAX($AV$1:AV1455)+1,""))</f>
        <v/>
      </c>
    </row>
    <row r="1457" customFormat="false" ht="15" hidden="false" customHeight="false" outlineLevel="0" collapsed="false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7" t="str">
        <f aca="false">IF(B1457="","",IF(COUNTIF($B$2:B1457,B1457)=1,MAX($AV$1:AV1456)+1,""))</f>
        <v/>
      </c>
    </row>
    <row r="1458" customFormat="false" ht="15" hidden="false" customHeight="false" outlineLevel="0" collapsed="false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7" t="str">
        <f aca="false">IF(B1458="","",IF(COUNTIF($B$2:B1458,B1458)=1,MAX($AV$1:AV1457)+1,""))</f>
        <v/>
      </c>
    </row>
    <row r="1459" customFormat="false" ht="15" hidden="false" customHeight="false" outlineLevel="0" collapsed="false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7" t="str">
        <f aca="false">IF(B1459="","",IF(COUNTIF($B$2:B1459,B1459)=1,MAX($AV$1:AV1458)+1,""))</f>
        <v/>
      </c>
    </row>
    <row r="1460" customFormat="false" ht="15" hidden="false" customHeight="false" outlineLevel="0" collapsed="false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7" t="str">
        <f aca="false">IF(B1460="","",IF(COUNTIF($B$2:B1460,B1460)=1,MAX($AV$1:AV1459)+1,""))</f>
        <v/>
      </c>
    </row>
    <row r="1461" customFormat="false" ht="15" hidden="false" customHeight="false" outlineLevel="0" collapsed="false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7" t="str">
        <f aca="false">IF(B1461="","",IF(COUNTIF($B$2:B1461,B1461)=1,MAX($AV$1:AV1460)+1,""))</f>
        <v/>
      </c>
    </row>
    <row r="1462" customFormat="false" ht="15" hidden="false" customHeight="false" outlineLevel="0" collapsed="false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7" t="str">
        <f aca="false">IF(B1462="","",IF(COUNTIF($B$2:B1462,B1462)=1,MAX($AV$1:AV1461)+1,""))</f>
        <v/>
      </c>
    </row>
    <row r="1463" customFormat="false" ht="15" hidden="false" customHeight="false" outlineLevel="0" collapsed="false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7" t="str">
        <f aca="false">IF(B1463="","",IF(COUNTIF($B$2:B1463,B1463)=1,MAX($AV$1:AV1462)+1,""))</f>
        <v/>
      </c>
    </row>
    <row r="1464" customFormat="false" ht="15" hidden="false" customHeight="false" outlineLevel="0" collapsed="false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7" t="str">
        <f aca="false">IF(B1464="","",IF(COUNTIF($B$2:B1464,B1464)=1,MAX($AV$1:AV1463)+1,""))</f>
        <v/>
      </c>
    </row>
    <row r="1465" customFormat="false" ht="15" hidden="false" customHeight="false" outlineLevel="0" collapsed="false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7" t="str">
        <f aca="false">IF(B1465="","",IF(COUNTIF($B$2:B1465,B1465)=1,MAX($AV$1:AV1464)+1,""))</f>
        <v/>
      </c>
    </row>
    <row r="1466" customFormat="false" ht="15" hidden="false" customHeight="false" outlineLevel="0" collapsed="false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7" t="str">
        <f aca="false">IF(B1466="","",IF(COUNTIF($B$2:B1466,B1466)=1,MAX($AV$1:AV1465)+1,""))</f>
        <v/>
      </c>
    </row>
    <row r="1467" customFormat="false" ht="15" hidden="false" customHeight="false" outlineLevel="0" collapsed="false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7" t="str">
        <f aca="false">IF(B1467="","",IF(COUNTIF($B$2:B1467,B1467)=1,MAX($AV$1:AV1466)+1,""))</f>
        <v/>
      </c>
    </row>
    <row r="1468" customFormat="false" ht="15" hidden="false" customHeight="false" outlineLevel="0" collapsed="false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7" t="str">
        <f aca="false">IF(B1468="","",IF(COUNTIF($B$2:B1468,B1468)=1,MAX($AV$1:AV1467)+1,""))</f>
        <v/>
      </c>
    </row>
    <row r="1469" customFormat="false" ht="15" hidden="false" customHeight="false" outlineLevel="0" collapsed="false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7" t="str">
        <f aca="false">IF(B1469="","",IF(COUNTIF($B$2:B1469,B1469)=1,MAX($AV$1:AV1468)+1,""))</f>
        <v/>
      </c>
    </row>
    <row r="1470" customFormat="false" ht="15" hidden="false" customHeight="false" outlineLevel="0" collapsed="false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7" t="str">
        <f aca="false">IF(B1470="","",IF(COUNTIF($B$2:B1470,B1470)=1,MAX($AV$1:AV1469)+1,""))</f>
        <v/>
      </c>
    </row>
    <row r="1471" customFormat="false" ht="15" hidden="false" customHeight="false" outlineLevel="0" collapsed="false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7" t="str">
        <f aca="false">IF(B1471="","",IF(COUNTIF($B$2:B1471,B1471)=1,MAX($AV$1:AV1470)+1,""))</f>
        <v/>
      </c>
    </row>
    <row r="1472" customFormat="false" ht="15" hidden="false" customHeight="false" outlineLevel="0" collapsed="false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7" t="str">
        <f aca="false">IF(B1472="","",IF(COUNTIF($B$2:B1472,B1472)=1,MAX($AV$1:AV1471)+1,""))</f>
        <v/>
      </c>
    </row>
    <row r="1473" customFormat="false" ht="15" hidden="false" customHeight="false" outlineLevel="0" collapsed="false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7" t="str">
        <f aca="false">IF(B1473="","",IF(COUNTIF($B$2:B1473,B1473)=1,MAX($AV$1:AV1472)+1,""))</f>
        <v/>
      </c>
    </row>
    <row r="1474" customFormat="false" ht="15" hidden="false" customHeight="false" outlineLevel="0" collapsed="false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7" t="str">
        <f aca="false">IF(B1474="","",IF(COUNTIF($B$2:B1474,B1474)=1,MAX($AV$1:AV1473)+1,""))</f>
        <v/>
      </c>
    </row>
    <row r="1475" customFormat="false" ht="15" hidden="false" customHeight="false" outlineLevel="0" collapsed="false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7" t="str">
        <f aca="false">IF(B1475="","",IF(COUNTIF($B$2:B1475,B1475)=1,MAX($AV$1:AV1474)+1,""))</f>
        <v/>
      </c>
    </row>
    <row r="1476" customFormat="false" ht="15" hidden="false" customHeight="false" outlineLevel="0" collapsed="false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7" t="str">
        <f aca="false">IF(B1476="","",IF(COUNTIF($B$2:B1476,B1476)=1,MAX($AV$1:AV1475)+1,""))</f>
        <v/>
      </c>
    </row>
    <row r="1477" customFormat="false" ht="15" hidden="false" customHeight="false" outlineLevel="0" collapsed="false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7" t="str">
        <f aca="false">IF(B1477="","",IF(COUNTIF($B$2:B1477,B1477)=1,MAX($AV$1:AV1476)+1,""))</f>
        <v/>
      </c>
    </row>
    <row r="1478" customFormat="false" ht="15" hidden="false" customHeight="false" outlineLevel="0" collapsed="false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7" t="str">
        <f aca="false">IF(B1478="","",IF(COUNTIF($B$2:B1478,B1478)=1,MAX($AV$1:AV1477)+1,""))</f>
        <v/>
      </c>
    </row>
    <row r="1479" customFormat="false" ht="15" hidden="false" customHeight="false" outlineLevel="0" collapsed="false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7" t="str">
        <f aca="false">IF(B1479="","",IF(COUNTIF($B$2:B1479,B1479)=1,MAX($AV$1:AV1478)+1,""))</f>
        <v/>
      </c>
    </row>
    <row r="1480" customFormat="false" ht="15" hidden="false" customHeight="false" outlineLevel="0" collapsed="false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7" t="str">
        <f aca="false">IF(B1480="","",IF(COUNTIF($B$2:B1480,B1480)=1,MAX($AV$1:AV1479)+1,""))</f>
        <v/>
      </c>
    </row>
    <row r="1481" customFormat="false" ht="15" hidden="false" customHeight="false" outlineLevel="0" collapsed="false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7" t="str">
        <f aca="false">IF(B1481="","",IF(COUNTIF($B$2:B1481,B1481)=1,MAX($AV$1:AV1480)+1,""))</f>
        <v/>
      </c>
    </row>
    <row r="1482" customFormat="false" ht="15" hidden="false" customHeight="false" outlineLevel="0" collapsed="false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7" t="str">
        <f aca="false">IF(B1482="","",IF(COUNTIF($B$2:B1482,B1482)=1,MAX($AV$1:AV1481)+1,""))</f>
        <v/>
      </c>
    </row>
    <row r="1483" customFormat="false" ht="15" hidden="false" customHeight="false" outlineLevel="0" collapsed="false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7" t="str">
        <f aca="false">IF(B1483="","",IF(COUNTIF($B$2:B1483,B1483)=1,MAX($AV$1:AV1482)+1,""))</f>
        <v/>
      </c>
    </row>
    <row r="1484" customFormat="false" ht="15" hidden="false" customHeight="false" outlineLevel="0" collapsed="false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7" t="str">
        <f aca="false">IF(B1484="","",IF(COUNTIF($B$2:B1484,B1484)=1,MAX($AV$1:AV1483)+1,""))</f>
        <v/>
      </c>
    </row>
    <row r="1485" customFormat="false" ht="15" hidden="false" customHeight="false" outlineLevel="0" collapsed="false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7" t="str">
        <f aca="false">IF(B1485="","",IF(COUNTIF($B$2:B1485,B1485)=1,MAX($AV$1:AV1484)+1,""))</f>
        <v/>
      </c>
    </row>
    <row r="1486" customFormat="false" ht="15" hidden="false" customHeight="false" outlineLevel="0" collapsed="false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7" t="str">
        <f aca="false">IF(B1486="","",IF(COUNTIF($B$2:B1486,B1486)=1,MAX($AV$1:AV1485)+1,""))</f>
        <v/>
      </c>
    </row>
    <row r="1487" customFormat="false" ht="15" hidden="false" customHeight="false" outlineLevel="0" collapsed="false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7" t="str">
        <f aca="false">IF(B1487="","",IF(COUNTIF($B$2:B1487,B1487)=1,MAX($AV$1:AV1486)+1,""))</f>
        <v/>
      </c>
    </row>
    <row r="1488" customFormat="false" ht="15" hidden="false" customHeight="false" outlineLevel="0" collapsed="false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7" t="str">
        <f aca="false">IF(B1488="","",IF(COUNTIF($B$2:B1488,B1488)=1,MAX($AV$1:AV1487)+1,""))</f>
        <v/>
      </c>
    </row>
    <row r="1489" customFormat="false" ht="15" hidden="false" customHeight="false" outlineLevel="0" collapsed="false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7" t="str">
        <f aca="false">IF(B1489="","",IF(COUNTIF($B$2:B1489,B1489)=1,MAX($AV$1:AV1488)+1,""))</f>
        <v/>
      </c>
    </row>
    <row r="1490" customFormat="false" ht="15" hidden="false" customHeight="false" outlineLevel="0" collapsed="false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7" t="str">
        <f aca="false">IF(B1490="","",IF(COUNTIF($B$2:B1490,B1490)=1,MAX($AV$1:AV1489)+1,""))</f>
        <v/>
      </c>
    </row>
    <row r="1491" customFormat="false" ht="15" hidden="false" customHeight="false" outlineLevel="0" collapsed="false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7" t="str">
        <f aca="false">IF(B1491="","",IF(COUNTIF($B$2:B1491,B1491)=1,MAX($AV$1:AV1490)+1,""))</f>
        <v/>
      </c>
    </row>
    <row r="1492" customFormat="false" ht="15" hidden="false" customHeight="false" outlineLevel="0" collapsed="false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7" t="str">
        <f aca="false">IF(B1492="","",IF(COUNTIF($B$2:B1492,B1492)=1,MAX($AV$1:AV1491)+1,""))</f>
        <v/>
      </c>
    </row>
    <row r="1493" customFormat="false" ht="15" hidden="false" customHeight="false" outlineLevel="0" collapsed="false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7" t="str">
        <f aca="false">IF(B1493="","",IF(COUNTIF($B$2:B1493,B1493)=1,MAX($AV$1:AV1492)+1,""))</f>
        <v/>
      </c>
    </row>
    <row r="1494" customFormat="false" ht="15" hidden="false" customHeight="false" outlineLevel="0" collapsed="false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7" t="str">
        <f aca="false">IF(B1494="","",IF(COUNTIF($B$2:B1494,B1494)=1,MAX($AV$1:AV1493)+1,""))</f>
        <v/>
      </c>
    </row>
    <row r="1495" customFormat="false" ht="15" hidden="false" customHeight="false" outlineLevel="0" collapsed="false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7" t="str">
        <f aca="false">IF(B1495="","",IF(COUNTIF($B$2:B1495,B1495)=1,MAX($AV$1:AV1494)+1,""))</f>
        <v/>
      </c>
    </row>
    <row r="1496" customFormat="false" ht="15" hidden="false" customHeight="false" outlineLevel="0" collapsed="false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7" t="str">
        <f aca="false">IF(B1496="","",IF(COUNTIF($B$2:B1496,B1496)=1,MAX($AV$1:AV1495)+1,""))</f>
        <v/>
      </c>
    </row>
    <row r="1497" customFormat="false" ht="15" hidden="false" customHeight="false" outlineLevel="0" collapsed="false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7" t="str">
        <f aca="false">IF(B1497="","",IF(COUNTIF($B$2:B1497,B1497)=1,MAX($AV$1:AV1496)+1,""))</f>
        <v/>
      </c>
    </row>
    <row r="1498" customFormat="false" ht="15" hidden="false" customHeight="false" outlineLevel="0" collapsed="false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7" t="str">
        <f aca="false">IF(B1498="","",IF(COUNTIF($B$2:B1498,B1498)=1,MAX($AV$1:AV1497)+1,""))</f>
        <v/>
      </c>
    </row>
    <row r="1499" customFormat="false" ht="15" hidden="false" customHeight="false" outlineLevel="0" collapsed="false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7" t="str">
        <f aca="false">IF(B1499="","",IF(COUNTIF($B$2:B1499,B1499)=1,MAX($AV$1:AV1498)+1,""))</f>
        <v/>
      </c>
    </row>
    <row r="1500" customFormat="false" ht="15" hidden="false" customHeight="false" outlineLevel="0" collapsed="false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7" t="str">
        <f aca="false">IF(B1500="","",IF(COUNTIF($B$2:B1500,B1500)=1,MAX($AV$1:AV1499)+1,""))</f>
        <v/>
      </c>
    </row>
    <row r="1501" customFormat="false" ht="15" hidden="false" customHeight="false" outlineLevel="0" collapsed="false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7" t="str">
        <f aca="false">IF(B1501="","",IF(COUNTIF($B$2:B1501,B1501)=1,MAX($AV$1:AV1500)+1,""))</f>
        <v/>
      </c>
    </row>
    <row r="1502" customFormat="false" ht="15" hidden="false" customHeight="false" outlineLevel="0" collapsed="false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7" t="str">
        <f aca="false">IF(B1502="","",IF(COUNTIF($B$2:B1502,B1502)=1,MAX($AV$1:AV1501)+1,""))</f>
        <v/>
      </c>
    </row>
    <row r="1503" customFormat="false" ht="15" hidden="false" customHeight="false" outlineLevel="0" collapsed="false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7" t="str">
        <f aca="false">IF(B1503="","",IF(COUNTIF($B$2:B1503,B1503)=1,MAX($AV$1:AV1502)+1,""))</f>
        <v/>
      </c>
    </row>
    <row r="1504" customFormat="false" ht="15" hidden="false" customHeight="false" outlineLevel="0" collapsed="false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7" t="str">
        <f aca="false">IF(B1504="","",IF(COUNTIF($B$2:B1504,B1504)=1,MAX($AV$1:AV1503)+1,""))</f>
        <v/>
      </c>
    </row>
    <row r="1505" customFormat="false" ht="15" hidden="false" customHeight="false" outlineLevel="0" collapsed="false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7" t="str">
        <f aca="false">IF(B1505="","",IF(COUNTIF($B$2:B1505,B1505)=1,MAX($AV$1:AV1504)+1,""))</f>
        <v/>
      </c>
    </row>
    <row r="1506" customFormat="false" ht="15" hidden="false" customHeight="false" outlineLevel="0" collapsed="false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7" t="str">
        <f aca="false">IF(B1506="","",IF(COUNTIF($B$2:B1506,B1506)=1,MAX($AV$1:AV1505)+1,""))</f>
        <v/>
      </c>
    </row>
    <row r="1507" customFormat="false" ht="15" hidden="false" customHeight="false" outlineLevel="0" collapsed="false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7" t="str">
        <f aca="false">IF(B1507="","",IF(COUNTIF($B$2:B1507,B1507)=1,MAX($AV$1:AV1506)+1,""))</f>
        <v/>
      </c>
    </row>
    <row r="1508" customFormat="false" ht="15" hidden="false" customHeight="false" outlineLevel="0" collapsed="false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7" t="str">
        <f aca="false">IF(B1508="","",IF(COUNTIF($B$2:B1508,B1508)=1,MAX($AV$1:AV1507)+1,""))</f>
        <v/>
      </c>
    </row>
    <row r="1509" customFormat="false" ht="15" hidden="false" customHeight="false" outlineLevel="0" collapsed="false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7" t="str">
        <f aca="false">IF(B1509="","",IF(COUNTIF($B$2:B1509,B1509)=1,MAX($AV$1:AV1508)+1,""))</f>
        <v/>
      </c>
    </row>
    <row r="1510" customFormat="false" ht="15" hidden="false" customHeight="false" outlineLevel="0" collapsed="false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7" t="str">
        <f aca="false">IF(B1510="","",IF(COUNTIF($B$2:B1510,B1510)=1,MAX($AV$1:AV1509)+1,""))</f>
        <v/>
      </c>
    </row>
    <row r="1511" customFormat="false" ht="15" hidden="false" customHeight="false" outlineLevel="0" collapsed="false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7" t="str">
        <f aca="false">IF(B1511="","",IF(COUNTIF($B$2:B1511,B1511)=1,MAX($AV$1:AV1510)+1,""))</f>
        <v/>
      </c>
    </row>
    <row r="1512" customFormat="false" ht="15" hidden="false" customHeight="false" outlineLevel="0" collapsed="false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7" t="str">
        <f aca="false">IF(B1512="","",IF(COUNTIF($B$2:B1512,B1512)=1,MAX($AV$1:AV1511)+1,""))</f>
        <v/>
      </c>
    </row>
    <row r="1513" customFormat="false" ht="15" hidden="false" customHeight="false" outlineLevel="0" collapsed="false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7" t="str">
        <f aca="false">IF(B1513="","",IF(COUNTIF($B$2:B1513,B1513)=1,MAX($AV$1:AV1512)+1,""))</f>
        <v/>
      </c>
    </row>
    <row r="1514" customFormat="false" ht="15" hidden="false" customHeight="false" outlineLevel="0" collapsed="false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7" t="str">
        <f aca="false">IF(B1514="","",IF(COUNTIF($B$2:B1514,B1514)=1,MAX($AV$1:AV1513)+1,""))</f>
        <v/>
      </c>
    </row>
    <row r="1515" customFormat="false" ht="15" hidden="false" customHeight="false" outlineLevel="0" collapsed="false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7" t="str">
        <f aca="false">IF(B1515="","",IF(COUNTIF($B$2:B1515,B1515)=1,MAX($AV$1:AV1514)+1,""))</f>
        <v/>
      </c>
    </row>
    <row r="1516" customFormat="false" ht="15" hidden="false" customHeight="false" outlineLevel="0" collapsed="false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7" t="str">
        <f aca="false">IF(B1516="","",IF(COUNTIF($B$2:B1516,B1516)=1,MAX($AV$1:AV1515)+1,""))</f>
        <v/>
      </c>
    </row>
    <row r="1517" customFormat="false" ht="15" hidden="false" customHeight="false" outlineLevel="0" collapsed="false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7" t="str">
        <f aca="false">IF(B1517="","",IF(COUNTIF($B$2:B1517,B1517)=1,MAX($AV$1:AV1516)+1,""))</f>
        <v/>
      </c>
    </row>
    <row r="1518" customFormat="false" ht="15" hidden="false" customHeight="false" outlineLevel="0" collapsed="false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7" t="str">
        <f aca="false">IF(B1518="","",IF(COUNTIF($B$2:B1518,B1518)=1,MAX($AV$1:AV1517)+1,""))</f>
        <v/>
      </c>
    </row>
    <row r="1519" customFormat="false" ht="15" hidden="false" customHeight="false" outlineLevel="0" collapsed="false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7" t="str">
        <f aca="false">IF(B1519="","",IF(COUNTIF($B$2:B1519,B1519)=1,MAX($AV$1:AV1518)+1,""))</f>
        <v/>
      </c>
    </row>
    <row r="1520" customFormat="false" ht="15" hidden="false" customHeight="false" outlineLevel="0" collapsed="false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7" t="str">
        <f aca="false">IF(B1520="","",IF(COUNTIF($B$2:B1520,B1520)=1,MAX($AV$1:AV1519)+1,""))</f>
        <v/>
      </c>
    </row>
    <row r="1521" customFormat="false" ht="15" hidden="false" customHeight="false" outlineLevel="0" collapsed="false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7" t="str">
        <f aca="false">IF(B1521="","",IF(COUNTIF($B$2:B1521,B1521)=1,MAX($AV$1:AV1520)+1,""))</f>
        <v/>
      </c>
    </row>
    <row r="1522" customFormat="false" ht="15" hidden="false" customHeight="false" outlineLevel="0" collapsed="false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7" t="str">
        <f aca="false">IF(B1522="","",IF(COUNTIF($B$2:B1522,B1522)=1,MAX($AV$1:AV1521)+1,""))</f>
        <v/>
      </c>
    </row>
    <row r="1523" customFormat="false" ht="15" hidden="false" customHeight="false" outlineLevel="0" collapsed="false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7" t="str">
        <f aca="false">IF(B1523="","",IF(COUNTIF($B$2:B1523,B1523)=1,MAX($AV$1:AV1522)+1,""))</f>
        <v/>
      </c>
    </row>
    <row r="1524" customFormat="false" ht="15" hidden="false" customHeight="false" outlineLevel="0" collapsed="false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7" t="str">
        <f aca="false">IF(B1524="","",IF(COUNTIF($B$2:B1524,B1524)=1,MAX($AV$1:AV1523)+1,""))</f>
        <v/>
      </c>
    </row>
    <row r="1525" customFormat="false" ht="15" hidden="false" customHeight="false" outlineLevel="0" collapsed="false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7" t="str">
        <f aca="false">IF(B1525="","",IF(COUNTIF($B$2:B1525,B1525)=1,MAX($AV$1:AV1524)+1,""))</f>
        <v/>
      </c>
    </row>
    <row r="1526" customFormat="false" ht="15" hidden="false" customHeight="false" outlineLevel="0" collapsed="false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7" t="str">
        <f aca="false">IF(B1526="","",IF(COUNTIF($B$2:B1526,B1526)=1,MAX($AV$1:AV1525)+1,""))</f>
        <v/>
      </c>
    </row>
    <row r="1527" customFormat="false" ht="15" hidden="false" customHeight="false" outlineLevel="0" collapsed="false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7" t="str">
        <f aca="false">IF(B1527="","",IF(COUNTIF($B$2:B1527,B1527)=1,MAX($AV$1:AV1526)+1,""))</f>
        <v/>
      </c>
    </row>
    <row r="1528" customFormat="false" ht="15" hidden="false" customHeight="false" outlineLevel="0" collapsed="false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7" t="str">
        <f aca="false">IF(B1528="","",IF(COUNTIF($B$2:B1528,B1528)=1,MAX($AV$1:AV1527)+1,""))</f>
        <v/>
      </c>
    </row>
    <row r="1529" customFormat="false" ht="15" hidden="false" customHeight="false" outlineLevel="0" collapsed="false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7" t="str">
        <f aca="false">IF(B1529="","",IF(COUNTIF($B$2:B1529,B1529)=1,MAX($AV$1:AV1528)+1,""))</f>
        <v/>
      </c>
    </row>
    <row r="1530" customFormat="false" ht="15" hidden="false" customHeight="false" outlineLevel="0" collapsed="false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7" t="str">
        <f aca="false">IF(B1530="","",IF(COUNTIF($B$2:B1530,B1530)=1,MAX($AV$1:AV1529)+1,""))</f>
        <v/>
      </c>
    </row>
    <row r="1531" customFormat="false" ht="15" hidden="false" customHeight="false" outlineLevel="0" collapsed="false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7" t="str">
        <f aca="false">IF(B1531="","",IF(COUNTIF($B$2:B1531,B1531)=1,MAX($AV$1:AV1530)+1,""))</f>
        <v/>
      </c>
    </row>
    <row r="1532" customFormat="false" ht="15" hidden="false" customHeight="false" outlineLevel="0" collapsed="false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7" t="str">
        <f aca="false">IF(B1532="","",IF(COUNTIF($B$2:B1532,B1532)=1,MAX($AV$1:AV1531)+1,""))</f>
        <v/>
      </c>
    </row>
    <row r="1533" customFormat="false" ht="15" hidden="false" customHeight="false" outlineLevel="0" collapsed="false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7" t="str">
        <f aca="false">IF(B1533="","",IF(COUNTIF($B$2:B1533,B1533)=1,MAX($AV$1:AV1532)+1,""))</f>
        <v/>
      </c>
    </row>
    <row r="1534" customFormat="false" ht="15" hidden="false" customHeight="false" outlineLevel="0" collapsed="false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7" t="str">
        <f aca="false">IF(B1534="","",IF(COUNTIF($B$2:B1534,B1534)=1,MAX($AV$1:AV1533)+1,""))</f>
        <v/>
      </c>
    </row>
    <row r="1535" customFormat="false" ht="15" hidden="false" customHeight="false" outlineLevel="0" collapsed="false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7" t="str">
        <f aca="false">IF(B1535="","",IF(COUNTIF($B$2:B1535,B1535)=1,MAX($AV$1:AV1534)+1,""))</f>
        <v/>
      </c>
    </row>
    <row r="1536" customFormat="false" ht="15" hidden="false" customHeight="false" outlineLevel="0" collapsed="false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7" t="str">
        <f aca="false">IF(B1536="","",IF(COUNTIF($B$2:B1536,B1536)=1,MAX($AV$1:AV1535)+1,""))</f>
        <v/>
      </c>
    </row>
    <row r="1537" customFormat="false" ht="15" hidden="false" customHeight="false" outlineLevel="0" collapsed="false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7" t="str">
        <f aca="false">IF(B1537="","",IF(COUNTIF($B$2:B1537,B1537)=1,MAX($AV$1:AV1536)+1,""))</f>
        <v/>
      </c>
    </row>
    <row r="1538" customFormat="false" ht="15" hidden="false" customHeight="false" outlineLevel="0" collapsed="false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7" t="str">
        <f aca="false">IF(B1538="","",IF(COUNTIF($B$2:B1538,B1538)=1,MAX($AV$1:AV1537)+1,""))</f>
        <v/>
      </c>
    </row>
    <row r="1539" customFormat="false" ht="15" hidden="false" customHeight="false" outlineLevel="0" collapsed="false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7" t="str">
        <f aca="false">IF(B1539="","",IF(COUNTIF($B$2:B1539,B1539)=1,MAX($AV$1:AV1538)+1,""))</f>
        <v/>
      </c>
    </row>
    <row r="1540" customFormat="false" ht="15" hidden="false" customHeight="false" outlineLevel="0" collapsed="false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7" t="str">
        <f aca="false">IF(B1540="","",IF(COUNTIF($B$2:B1540,B1540)=1,MAX($AV$1:AV1539)+1,""))</f>
        <v/>
      </c>
    </row>
    <row r="1541" customFormat="false" ht="15" hidden="false" customHeight="false" outlineLevel="0" collapsed="false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7" t="str">
        <f aca="false">IF(B1541="","",IF(COUNTIF($B$2:B1541,B1541)=1,MAX($AV$1:AV1540)+1,""))</f>
        <v/>
      </c>
    </row>
    <row r="1542" customFormat="false" ht="15" hidden="false" customHeight="false" outlineLevel="0" collapsed="false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7" t="str">
        <f aca="false">IF(B1542="","",IF(COUNTIF($B$2:B1542,B1542)=1,MAX($AV$1:AV1541)+1,""))</f>
        <v/>
      </c>
    </row>
    <row r="1543" customFormat="false" ht="15" hidden="false" customHeight="false" outlineLevel="0" collapsed="false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7" t="str">
        <f aca="false">IF(B1543="","",IF(COUNTIF($B$2:B1543,B1543)=1,MAX($AV$1:AV1542)+1,""))</f>
        <v/>
      </c>
    </row>
    <row r="1544" customFormat="false" ht="15" hidden="false" customHeight="false" outlineLevel="0" collapsed="false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7" t="str">
        <f aca="false">IF(B1544="","",IF(COUNTIF($B$2:B1544,B1544)=1,MAX($AV$1:AV1543)+1,""))</f>
        <v/>
      </c>
    </row>
    <row r="1545" customFormat="false" ht="15" hidden="false" customHeight="false" outlineLevel="0" collapsed="false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7" t="str">
        <f aca="false">IF(B1545="","",IF(COUNTIF($B$2:B1545,B1545)=1,MAX($AV$1:AV1544)+1,""))</f>
        <v/>
      </c>
    </row>
    <row r="1546" customFormat="false" ht="15" hidden="false" customHeight="false" outlineLevel="0" collapsed="false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7" t="str">
        <f aca="false">IF(B1546="","",IF(COUNTIF($B$2:B1546,B1546)=1,MAX($AV$1:AV1545)+1,""))</f>
        <v/>
      </c>
    </row>
    <row r="1547" customFormat="false" ht="15" hidden="false" customHeight="false" outlineLevel="0" collapsed="false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7" t="str">
        <f aca="false">IF(B1547="","",IF(COUNTIF($B$2:B1547,B1547)=1,MAX($AV$1:AV1546)+1,""))</f>
        <v/>
      </c>
    </row>
    <row r="1548" customFormat="false" ht="15" hidden="false" customHeight="false" outlineLevel="0" collapsed="false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7" t="str">
        <f aca="false">IF(B1548="","",IF(COUNTIF($B$2:B1548,B1548)=1,MAX($AV$1:AV1547)+1,""))</f>
        <v/>
      </c>
    </row>
    <row r="1549" customFormat="false" ht="15" hidden="false" customHeight="false" outlineLevel="0" collapsed="false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7" t="str">
        <f aca="false">IF(B1549="","",IF(COUNTIF($B$2:B1549,B1549)=1,MAX($AV$1:AV1548)+1,""))</f>
        <v/>
      </c>
    </row>
    <row r="1550" customFormat="false" ht="15" hidden="false" customHeight="false" outlineLevel="0" collapsed="false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7" t="str">
        <f aca="false">IF(B1550="","",IF(COUNTIF($B$2:B1550,B1550)=1,MAX($AV$1:AV1549)+1,""))</f>
        <v/>
      </c>
    </row>
    <row r="1551" customFormat="false" ht="15" hidden="false" customHeight="false" outlineLevel="0" collapsed="false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7" t="str">
        <f aca="false">IF(B1551="","",IF(COUNTIF($B$2:B1551,B1551)=1,MAX($AV$1:AV1550)+1,""))</f>
        <v/>
      </c>
    </row>
    <row r="1552" customFormat="false" ht="15" hidden="false" customHeight="false" outlineLevel="0" collapsed="false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7" t="str">
        <f aca="false">IF(B1552="","",IF(COUNTIF($B$2:B1552,B1552)=1,MAX($AV$1:AV1551)+1,""))</f>
        <v/>
      </c>
    </row>
    <row r="1553" customFormat="false" ht="15" hidden="false" customHeight="false" outlineLevel="0" collapsed="false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7" t="str">
        <f aca="false">IF(B1553="","",IF(COUNTIF($B$2:B1553,B1553)=1,MAX($AV$1:AV1552)+1,""))</f>
        <v/>
      </c>
    </row>
    <row r="1554" customFormat="false" ht="15" hidden="false" customHeight="false" outlineLevel="0" collapsed="false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7" t="str">
        <f aca="false">IF(B1554="","",IF(COUNTIF($B$2:B1554,B1554)=1,MAX($AV$1:AV1553)+1,""))</f>
        <v/>
      </c>
    </row>
    <row r="1555" customFormat="false" ht="15" hidden="false" customHeight="false" outlineLevel="0" collapsed="false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7" t="str">
        <f aca="false">IF(B1555="","",IF(COUNTIF($B$2:B1555,B1555)=1,MAX($AV$1:AV1554)+1,""))</f>
        <v/>
      </c>
    </row>
    <row r="1556" customFormat="false" ht="15" hidden="false" customHeight="false" outlineLevel="0" collapsed="false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7" t="str">
        <f aca="false">IF(B1556="","",IF(COUNTIF($B$2:B1556,B1556)=1,MAX($AV$1:AV1555)+1,""))</f>
        <v/>
      </c>
    </row>
    <row r="1557" customFormat="false" ht="15" hidden="false" customHeight="false" outlineLevel="0" collapsed="false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7" t="str">
        <f aca="false">IF(B1557="","",IF(COUNTIF($B$2:B1557,B1557)=1,MAX($AV$1:AV1556)+1,""))</f>
        <v/>
      </c>
    </row>
    <row r="1558" customFormat="false" ht="15" hidden="false" customHeight="false" outlineLevel="0" collapsed="false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7" t="str">
        <f aca="false">IF(B1558="","",IF(COUNTIF($B$2:B1558,B1558)=1,MAX($AV$1:AV1557)+1,""))</f>
        <v/>
      </c>
    </row>
    <row r="1559" customFormat="false" ht="15" hidden="false" customHeight="false" outlineLevel="0" collapsed="false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7" t="str">
        <f aca="false">IF(B1559="","",IF(COUNTIF($B$2:B1559,B1559)=1,MAX($AV$1:AV1558)+1,""))</f>
        <v/>
      </c>
    </row>
    <row r="1560" customFormat="false" ht="15" hidden="false" customHeight="false" outlineLevel="0" collapsed="false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7" t="str">
        <f aca="false">IF(B1560="","",IF(COUNTIF($B$2:B1560,B1560)=1,MAX($AV$1:AV1559)+1,""))</f>
        <v/>
      </c>
    </row>
    <row r="1561" customFormat="false" ht="15" hidden="false" customHeight="false" outlineLevel="0" collapsed="false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7" t="str">
        <f aca="false">IF(B1561="","",IF(COUNTIF($B$2:B1561,B1561)=1,MAX($AV$1:AV1560)+1,""))</f>
        <v/>
      </c>
    </row>
    <row r="1562" customFormat="false" ht="15" hidden="false" customHeight="false" outlineLevel="0" collapsed="false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7" t="str">
        <f aca="false">IF(B1562="","",IF(COUNTIF($B$2:B1562,B1562)=1,MAX($AV$1:AV1561)+1,""))</f>
        <v/>
      </c>
    </row>
    <row r="1563" customFormat="false" ht="15" hidden="false" customHeight="false" outlineLevel="0" collapsed="false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7" t="str">
        <f aca="false">IF(B1563="","",IF(COUNTIF($B$2:B1563,B1563)=1,MAX($AV$1:AV1562)+1,""))</f>
        <v/>
      </c>
    </row>
    <row r="1564" customFormat="false" ht="15" hidden="false" customHeight="false" outlineLevel="0" collapsed="false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7" t="str">
        <f aca="false">IF(B1564="","",IF(COUNTIF($B$2:B1564,B1564)=1,MAX($AV$1:AV1563)+1,""))</f>
        <v/>
      </c>
    </row>
    <row r="1565" customFormat="false" ht="15" hidden="false" customHeight="false" outlineLevel="0" collapsed="false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7" t="str">
        <f aca="false">IF(B1565="","",IF(COUNTIF($B$2:B1565,B1565)=1,MAX($AV$1:AV1564)+1,""))</f>
        <v/>
      </c>
    </row>
    <row r="1566" customFormat="false" ht="15" hidden="false" customHeight="false" outlineLevel="0" collapsed="false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7" t="str">
        <f aca="false">IF(B1566="","",IF(COUNTIF($B$2:B1566,B1566)=1,MAX($AV$1:AV1565)+1,""))</f>
        <v/>
      </c>
    </row>
    <row r="1567" customFormat="false" ht="15" hidden="false" customHeight="false" outlineLevel="0" collapsed="false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7" t="str">
        <f aca="false">IF(B1567="","",IF(COUNTIF($B$2:B1567,B1567)=1,MAX($AV$1:AV1566)+1,""))</f>
        <v/>
      </c>
    </row>
    <row r="1568" customFormat="false" ht="15" hidden="false" customHeight="false" outlineLevel="0" collapsed="false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7" t="str">
        <f aca="false">IF(B1568="","",IF(COUNTIF($B$2:B1568,B1568)=1,MAX($AV$1:AV1567)+1,""))</f>
        <v/>
      </c>
    </row>
    <row r="1569" customFormat="false" ht="15" hidden="false" customHeight="false" outlineLevel="0" collapsed="false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7" t="str">
        <f aca="false">IF(B1569="","",IF(COUNTIF($B$2:B1569,B1569)=1,MAX($AV$1:AV1568)+1,""))</f>
        <v/>
      </c>
    </row>
    <row r="1570" customFormat="false" ht="15" hidden="false" customHeight="false" outlineLevel="0" collapsed="false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7" t="str">
        <f aca="false">IF(B1570="","",IF(COUNTIF($B$2:B1570,B1570)=1,MAX($AV$1:AV1569)+1,""))</f>
        <v/>
      </c>
    </row>
    <row r="1571" customFormat="false" ht="15" hidden="false" customHeight="false" outlineLevel="0" collapsed="false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7" t="str">
        <f aca="false">IF(B1571="","",IF(COUNTIF($B$2:B1571,B1571)=1,MAX($AV$1:AV1570)+1,""))</f>
        <v/>
      </c>
    </row>
    <row r="1572" customFormat="false" ht="15" hidden="false" customHeight="false" outlineLevel="0" collapsed="false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7" t="str">
        <f aca="false">IF(B1572="","",IF(COUNTIF($B$2:B1572,B1572)=1,MAX($AV$1:AV1571)+1,""))</f>
        <v/>
      </c>
    </row>
    <row r="1573" customFormat="false" ht="15" hidden="false" customHeight="false" outlineLevel="0" collapsed="false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7" t="str">
        <f aca="false">IF(B1573="","",IF(COUNTIF($B$2:B1573,B1573)=1,MAX($AV$1:AV1572)+1,""))</f>
        <v/>
      </c>
    </row>
    <row r="1574" customFormat="false" ht="15" hidden="false" customHeight="false" outlineLevel="0" collapsed="false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7" t="str">
        <f aca="false">IF(B1574="","",IF(COUNTIF($B$2:B1574,B1574)=1,MAX($AV$1:AV1573)+1,""))</f>
        <v/>
      </c>
    </row>
    <row r="1575" customFormat="false" ht="15" hidden="false" customHeight="false" outlineLevel="0" collapsed="false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7" t="str">
        <f aca="false">IF(B1575="","",IF(COUNTIF($B$2:B1575,B1575)=1,MAX($AV$1:AV1574)+1,""))</f>
        <v/>
      </c>
    </row>
    <row r="1576" customFormat="false" ht="15" hidden="false" customHeight="false" outlineLevel="0" collapsed="false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7" t="str">
        <f aca="false">IF(B1576="","",IF(COUNTIF($B$2:B1576,B1576)=1,MAX($AV$1:AV1575)+1,""))</f>
        <v/>
      </c>
    </row>
    <row r="1577" customFormat="false" ht="15" hidden="false" customHeight="false" outlineLevel="0" collapsed="false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7" t="str">
        <f aca="false">IF(B1577="","",IF(COUNTIF($B$2:B1577,B1577)=1,MAX($AV$1:AV1576)+1,""))</f>
        <v/>
      </c>
    </row>
    <row r="1578" customFormat="false" ht="15" hidden="false" customHeight="false" outlineLevel="0" collapsed="false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7" t="str">
        <f aca="false">IF(B1578="","",IF(COUNTIF($B$2:B1578,B1578)=1,MAX($AV$1:AV1577)+1,""))</f>
        <v/>
      </c>
    </row>
    <row r="1579" customFormat="false" ht="15" hidden="false" customHeight="false" outlineLevel="0" collapsed="false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7" t="str">
        <f aca="false">IF(B1579="","",IF(COUNTIF($B$2:B1579,B1579)=1,MAX($AV$1:AV1578)+1,""))</f>
        <v/>
      </c>
    </row>
    <row r="1580" customFormat="false" ht="15" hidden="false" customHeight="false" outlineLevel="0" collapsed="false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7" t="str">
        <f aca="false">IF(B1580="","",IF(COUNTIF($B$2:B1580,B1580)=1,MAX($AV$1:AV1579)+1,""))</f>
        <v/>
      </c>
    </row>
    <row r="1581" customFormat="false" ht="15" hidden="false" customHeight="false" outlineLevel="0" collapsed="false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7" t="str">
        <f aca="false">IF(B1581="","",IF(COUNTIF($B$2:B1581,B1581)=1,MAX($AV$1:AV1580)+1,""))</f>
        <v/>
      </c>
    </row>
    <row r="1582" customFormat="false" ht="15" hidden="false" customHeight="false" outlineLevel="0" collapsed="false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7" t="str">
        <f aca="false">IF(B1582="","",IF(COUNTIF($B$2:B1582,B1582)=1,MAX($AV$1:AV1581)+1,""))</f>
        <v/>
      </c>
    </row>
    <row r="1583" customFormat="false" ht="15" hidden="false" customHeight="false" outlineLevel="0" collapsed="false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7" t="str">
        <f aca="false">IF(B1583="","",IF(COUNTIF($B$2:B1583,B1583)=1,MAX($AV$1:AV1582)+1,""))</f>
        <v/>
      </c>
    </row>
    <row r="1584" customFormat="false" ht="15" hidden="false" customHeight="false" outlineLevel="0" collapsed="false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7" t="str">
        <f aca="false">IF(B1584="","",IF(COUNTIF($B$2:B1584,B1584)=1,MAX($AV$1:AV1583)+1,""))</f>
        <v/>
      </c>
    </row>
    <row r="1585" customFormat="false" ht="15" hidden="false" customHeight="false" outlineLevel="0" collapsed="false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7" t="str">
        <f aca="false">IF(B1585="","",IF(COUNTIF($B$2:B1585,B1585)=1,MAX($AV$1:AV1584)+1,""))</f>
        <v/>
      </c>
    </row>
    <row r="1586" customFormat="false" ht="15" hidden="false" customHeight="false" outlineLevel="0" collapsed="false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7" t="str">
        <f aca="false">IF(B1586="","",IF(COUNTIF($B$2:B1586,B1586)=1,MAX($AV$1:AV1585)+1,""))</f>
        <v/>
      </c>
    </row>
    <row r="1587" customFormat="false" ht="15" hidden="false" customHeight="false" outlineLevel="0" collapsed="false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7" t="str">
        <f aca="false">IF(B1587="","",IF(COUNTIF($B$2:B1587,B1587)=1,MAX($AV$1:AV1586)+1,""))</f>
        <v/>
      </c>
    </row>
    <row r="1588" customFormat="false" ht="15" hidden="false" customHeight="false" outlineLevel="0" collapsed="false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7" t="str">
        <f aca="false">IF(B1588="","",IF(COUNTIF($B$2:B1588,B1588)=1,MAX($AV$1:AV1587)+1,""))</f>
        <v/>
      </c>
    </row>
    <row r="1589" customFormat="false" ht="15" hidden="false" customHeight="false" outlineLevel="0" collapsed="false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7" t="str">
        <f aca="false">IF(B1589="","",IF(COUNTIF($B$2:B1589,B1589)=1,MAX($AV$1:AV1588)+1,""))</f>
        <v/>
      </c>
    </row>
    <row r="1590" customFormat="false" ht="15" hidden="false" customHeight="false" outlineLevel="0" collapsed="false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7" t="str">
        <f aca="false">IF(B1590="","",IF(COUNTIF($B$2:B1590,B1590)=1,MAX($AV$1:AV1589)+1,""))</f>
        <v/>
      </c>
    </row>
    <row r="1591" customFormat="false" ht="15" hidden="false" customHeight="false" outlineLevel="0" collapsed="false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7" t="str">
        <f aca="false">IF(B1591="","",IF(COUNTIF($B$2:B1591,B1591)=1,MAX($AV$1:AV1590)+1,""))</f>
        <v/>
      </c>
    </row>
    <row r="1592" customFormat="false" ht="15" hidden="false" customHeight="false" outlineLevel="0" collapsed="false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7" t="str">
        <f aca="false">IF(B1592="","",IF(COUNTIF($B$2:B1592,B1592)=1,MAX($AV$1:AV1591)+1,""))</f>
        <v/>
      </c>
    </row>
    <row r="1593" customFormat="false" ht="15" hidden="false" customHeight="false" outlineLevel="0" collapsed="false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7" t="str">
        <f aca="false">IF(B1593="","",IF(COUNTIF($B$2:B1593,B1593)=1,MAX($AV$1:AV1592)+1,""))</f>
        <v/>
      </c>
    </row>
    <row r="1594" customFormat="false" ht="15" hidden="false" customHeight="false" outlineLevel="0" collapsed="false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7" t="str">
        <f aca="false">IF(B1594="","",IF(COUNTIF($B$2:B1594,B1594)=1,MAX($AV$1:AV1593)+1,""))</f>
        <v/>
      </c>
    </row>
    <row r="1595" customFormat="false" ht="15" hidden="false" customHeight="false" outlineLevel="0" collapsed="false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7" t="str">
        <f aca="false">IF(B1595="","",IF(COUNTIF($B$2:B1595,B1595)=1,MAX($AV$1:AV1594)+1,""))</f>
        <v/>
      </c>
    </row>
    <row r="1596" customFormat="false" ht="15" hidden="false" customHeight="false" outlineLevel="0" collapsed="false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7" t="str">
        <f aca="false">IF(B1596="","",IF(COUNTIF($B$2:B1596,B1596)=1,MAX($AV$1:AV1595)+1,""))</f>
        <v/>
      </c>
    </row>
    <row r="1597" customFormat="false" ht="15" hidden="false" customHeight="false" outlineLevel="0" collapsed="false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7" t="str">
        <f aca="false">IF(B1597="","",IF(COUNTIF($B$2:B1597,B1597)=1,MAX($AV$1:AV1596)+1,""))</f>
        <v/>
      </c>
    </row>
    <row r="1598" customFormat="false" ht="15" hidden="false" customHeight="false" outlineLevel="0" collapsed="false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7" t="str">
        <f aca="false">IF(B1598="","",IF(COUNTIF($B$2:B1598,B1598)=1,MAX($AV$1:AV1597)+1,""))</f>
        <v/>
      </c>
    </row>
    <row r="1599" customFormat="false" ht="15" hidden="false" customHeight="false" outlineLevel="0" collapsed="false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7" t="str">
        <f aca="false">IF(B1599="","",IF(COUNTIF($B$2:B1599,B1599)=1,MAX($AV$1:AV1598)+1,""))</f>
        <v/>
      </c>
    </row>
    <row r="1600" customFormat="false" ht="15" hidden="false" customHeight="false" outlineLevel="0" collapsed="false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7" t="str">
        <f aca="false">IF(B1600="","",IF(COUNTIF($B$2:B1600,B1600)=1,MAX($AV$1:AV1599)+1,""))</f>
        <v/>
      </c>
    </row>
    <row r="1601" customFormat="false" ht="15" hidden="false" customHeight="false" outlineLevel="0" collapsed="false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7" t="str">
        <f aca="false">IF(B1601="","",IF(COUNTIF($B$2:B1601,B1601)=1,MAX($AV$1:AV1600)+1,""))</f>
        <v/>
      </c>
    </row>
    <row r="1602" customFormat="false" ht="15" hidden="false" customHeight="false" outlineLevel="0" collapsed="false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7" t="str">
        <f aca="false">IF(B1602="","",IF(COUNTIF($B$2:B1602,B1602)=1,MAX($AV$1:AV1601)+1,""))</f>
        <v/>
      </c>
    </row>
    <row r="1603" customFormat="false" ht="15" hidden="false" customHeight="false" outlineLevel="0" collapsed="false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7" t="str">
        <f aca="false">IF(B1603="","",IF(COUNTIF($B$2:B1603,B1603)=1,MAX($AV$1:AV1602)+1,""))</f>
        <v/>
      </c>
    </row>
    <row r="1604" customFormat="false" ht="15" hidden="false" customHeight="false" outlineLevel="0" collapsed="false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7" t="str">
        <f aca="false">IF(B1604="","",IF(COUNTIF($B$2:B1604,B1604)=1,MAX($AV$1:AV1603)+1,""))</f>
        <v/>
      </c>
    </row>
    <row r="1605" customFormat="false" ht="15" hidden="false" customHeight="false" outlineLevel="0" collapsed="false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7" t="str">
        <f aca="false">IF(B1605="","",IF(COUNTIF($B$2:B1605,B1605)=1,MAX($AV$1:AV1604)+1,""))</f>
        <v/>
      </c>
    </row>
    <row r="1606" customFormat="false" ht="15" hidden="false" customHeight="false" outlineLevel="0" collapsed="false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7" t="str">
        <f aca="false">IF(B1606="","",IF(COUNTIF($B$2:B1606,B1606)=1,MAX($AV$1:AV1605)+1,""))</f>
        <v/>
      </c>
    </row>
    <row r="1607" customFormat="false" ht="15" hidden="false" customHeight="false" outlineLevel="0" collapsed="false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7" t="str">
        <f aca="false">IF(B1607="","",IF(COUNTIF($B$2:B1607,B1607)=1,MAX($AV$1:AV1606)+1,""))</f>
        <v/>
      </c>
    </row>
    <row r="1608" customFormat="false" ht="15" hidden="false" customHeight="false" outlineLevel="0" collapsed="false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7" t="str">
        <f aca="false">IF(B1608="","",IF(COUNTIF($B$2:B1608,B1608)=1,MAX($AV$1:AV1607)+1,""))</f>
        <v/>
      </c>
    </row>
    <row r="1609" customFormat="false" ht="15" hidden="false" customHeight="false" outlineLevel="0" collapsed="false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7" t="str">
        <f aca="false">IF(B1609="","",IF(COUNTIF($B$2:B1609,B1609)=1,MAX($AV$1:AV1608)+1,""))</f>
        <v/>
      </c>
    </row>
    <row r="1610" customFormat="false" ht="15" hidden="false" customHeight="false" outlineLevel="0" collapsed="false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7" t="str">
        <f aca="false">IF(B1610="","",IF(COUNTIF($B$2:B1610,B1610)=1,MAX($AV$1:AV1609)+1,""))</f>
        <v/>
      </c>
    </row>
    <row r="1611" customFormat="false" ht="15" hidden="false" customHeight="false" outlineLevel="0" collapsed="false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7" t="str">
        <f aca="false">IF(B1611="","",IF(COUNTIF($B$2:B1611,B1611)=1,MAX($AV$1:AV1610)+1,""))</f>
        <v/>
      </c>
    </row>
    <row r="1612" customFormat="false" ht="15" hidden="false" customHeight="false" outlineLevel="0" collapsed="false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7" t="str">
        <f aca="false">IF(B1612="","",IF(COUNTIF($B$2:B1612,B1612)=1,MAX($AV$1:AV1611)+1,""))</f>
        <v/>
      </c>
    </row>
    <row r="1613" customFormat="false" ht="15" hidden="false" customHeight="false" outlineLevel="0" collapsed="false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7" t="str">
        <f aca="false">IF(B1613="","",IF(COUNTIF($B$2:B1613,B1613)=1,MAX($AV$1:AV1612)+1,""))</f>
        <v/>
      </c>
    </row>
    <row r="1614" customFormat="false" ht="15" hidden="false" customHeight="false" outlineLevel="0" collapsed="false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7" t="str">
        <f aca="false">IF(B1614="","",IF(COUNTIF($B$2:B1614,B1614)=1,MAX($AV$1:AV1613)+1,""))</f>
        <v/>
      </c>
    </row>
    <row r="1615" customFormat="false" ht="15" hidden="false" customHeight="false" outlineLevel="0" collapsed="false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7" t="str">
        <f aca="false">IF(B1615="","",IF(COUNTIF($B$2:B1615,B1615)=1,MAX($AV$1:AV1614)+1,""))</f>
        <v/>
      </c>
    </row>
    <row r="1616" customFormat="false" ht="15" hidden="false" customHeight="false" outlineLevel="0" collapsed="false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7" t="str">
        <f aca="false">IF(B1616="","",IF(COUNTIF($B$2:B1616,B1616)=1,MAX($AV$1:AV1615)+1,""))</f>
        <v/>
      </c>
    </row>
    <row r="1617" customFormat="false" ht="15" hidden="false" customHeight="false" outlineLevel="0" collapsed="false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7" t="str">
        <f aca="false">IF(B1617="","",IF(COUNTIF($B$2:B1617,B1617)=1,MAX($AV$1:AV1616)+1,""))</f>
        <v/>
      </c>
    </row>
    <row r="1618" customFormat="false" ht="15" hidden="false" customHeight="false" outlineLevel="0" collapsed="false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7" t="str">
        <f aca="false">IF(B1618="","",IF(COUNTIF($B$2:B1618,B1618)=1,MAX($AV$1:AV1617)+1,""))</f>
        <v/>
      </c>
    </row>
    <row r="1619" customFormat="false" ht="15" hidden="false" customHeight="false" outlineLevel="0" collapsed="false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7" t="str">
        <f aca="false">IF(B1619="","",IF(COUNTIF($B$2:B1619,B1619)=1,MAX($AV$1:AV1618)+1,""))</f>
        <v/>
      </c>
    </row>
    <row r="1620" customFormat="false" ht="15" hidden="false" customHeight="false" outlineLevel="0" collapsed="false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7" t="str">
        <f aca="false">IF(B1620="","",IF(COUNTIF($B$2:B1620,B1620)=1,MAX($AV$1:AV1619)+1,""))</f>
        <v/>
      </c>
    </row>
    <row r="1621" customFormat="false" ht="15" hidden="false" customHeight="false" outlineLevel="0" collapsed="false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7" t="str">
        <f aca="false">IF(B1621="","",IF(COUNTIF($B$2:B1621,B1621)=1,MAX($AV$1:AV1620)+1,""))</f>
        <v/>
      </c>
    </row>
    <row r="1622" customFormat="false" ht="15" hidden="false" customHeight="false" outlineLevel="0" collapsed="false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7" t="str">
        <f aca="false">IF(B1622="","",IF(COUNTIF($B$2:B1622,B1622)=1,MAX($AV$1:AV1621)+1,""))</f>
        <v/>
      </c>
    </row>
    <row r="1623" customFormat="false" ht="15" hidden="false" customHeight="false" outlineLevel="0" collapsed="false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7" t="str">
        <f aca="false">IF(B1623="","",IF(COUNTIF($B$2:B1623,B1623)=1,MAX($AV$1:AV1622)+1,""))</f>
        <v/>
      </c>
    </row>
    <row r="1624" customFormat="false" ht="15" hidden="false" customHeight="false" outlineLevel="0" collapsed="false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7" t="str">
        <f aca="false">IF(B1624="","",IF(COUNTIF($B$2:B1624,B1624)=1,MAX($AV$1:AV1623)+1,""))</f>
        <v/>
      </c>
    </row>
    <row r="1625" customFormat="false" ht="15" hidden="false" customHeight="false" outlineLevel="0" collapsed="false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7" t="str">
        <f aca="false">IF(B1625="","",IF(COUNTIF($B$2:B1625,B1625)=1,MAX($AV$1:AV1624)+1,""))</f>
        <v/>
      </c>
    </row>
    <row r="1626" customFormat="false" ht="15" hidden="false" customHeight="false" outlineLevel="0" collapsed="false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7" t="str">
        <f aca="false">IF(B1626="","",IF(COUNTIF($B$2:B1626,B1626)=1,MAX($AV$1:AV1625)+1,""))</f>
        <v/>
      </c>
    </row>
    <row r="1627" customFormat="false" ht="15" hidden="false" customHeight="false" outlineLevel="0" collapsed="false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7" t="str">
        <f aca="false">IF(B1627="","",IF(COUNTIF($B$2:B1627,B1627)=1,MAX($AV$1:AV1626)+1,""))</f>
        <v/>
      </c>
    </row>
    <row r="1628" customFormat="false" ht="15" hidden="false" customHeight="false" outlineLevel="0" collapsed="false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7" t="str">
        <f aca="false">IF(B1628="","",IF(COUNTIF($B$2:B1628,B1628)=1,MAX($AV$1:AV1627)+1,""))</f>
        <v/>
      </c>
    </row>
    <row r="1629" customFormat="false" ht="15" hidden="false" customHeight="false" outlineLevel="0" collapsed="false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7" t="str">
        <f aca="false">IF(B1629="","",IF(COUNTIF($B$2:B1629,B1629)=1,MAX($AV$1:AV1628)+1,""))</f>
        <v/>
      </c>
    </row>
    <row r="1630" customFormat="false" ht="15" hidden="false" customHeight="false" outlineLevel="0" collapsed="false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7" t="str">
        <f aca="false">IF(B1630="","",IF(COUNTIF($B$2:B1630,B1630)=1,MAX($AV$1:AV1629)+1,""))</f>
        <v/>
      </c>
    </row>
    <row r="1631" customFormat="false" ht="15" hidden="false" customHeight="false" outlineLevel="0" collapsed="false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7" t="str">
        <f aca="false">IF(B1631="","",IF(COUNTIF($B$2:B1631,B1631)=1,MAX($AV$1:AV1630)+1,""))</f>
        <v/>
      </c>
    </row>
    <row r="1632" customFormat="false" ht="15" hidden="false" customHeight="false" outlineLevel="0" collapsed="false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7" t="str">
        <f aca="false">IF(B1632="","",IF(COUNTIF($B$2:B1632,B1632)=1,MAX($AV$1:AV1631)+1,""))</f>
        <v/>
      </c>
    </row>
    <row r="1633" customFormat="false" ht="15" hidden="false" customHeight="false" outlineLevel="0" collapsed="false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7" t="str">
        <f aca="false">IF(B1633="","",IF(COUNTIF($B$2:B1633,B1633)=1,MAX($AV$1:AV1632)+1,""))</f>
        <v/>
      </c>
    </row>
    <row r="1634" customFormat="false" ht="15" hidden="false" customHeight="false" outlineLevel="0" collapsed="false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7" t="str">
        <f aca="false">IF(B1634="","",IF(COUNTIF($B$2:B1634,B1634)=1,MAX($AV$1:AV1633)+1,""))</f>
        <v/>
      </c>
    </row>
    <row r="1635" customFormat="false" ht="15" hidden="false" customHeight="false" outlineLevel="0" collapsed="false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7" t="str">
        <f aca="false">IF(B1635="","",IF(COUNTIF($B$2:B1635,B1635)=1,MAX($AV$1:AV1634)+1,""))</f>
        <v/>
      </c>
    </row>
    <row r="1636" customFormat="false" ht="15" hidden="false" customHeight="false" outlineLevel="0" collapsed="false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7" t="str">
        <f aca="false">IF(B1636="","",IF(COUNTIF($B$2:B1636,B1636)=1,MAX($AV$1:AV1635)+1,""))</f>
        <v/>
      </c>
    </row>
    <row r="1637" customFormat="false" ht="15" hidden="false" customHeight="false" outlineLevel="0" collapsed="false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7" t="str">
        <f aca="false">IF(B1637="","",IF(COUNTIF($B$2:B1637,B1637)=1,MAX($AV$1:AV1636)+1,""))</f>
        <v/>
      </c>
    </row>
    <row r="1638" customFormat="false" ht="15" hidden="false" customHeight="false" outlineLevel="0" collapsed="false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7" t="str">
        <f aca="false">IF(B1638="","",IF(COUNTIF($B$2:B1638,B1638)=1,MAX($AV$1:AV1637)+1,""))</f>
        <v/>
      </c>
    </row>
    <row r="1639" customFormat="false" ht="15" hidden="false" customHeight="false" outlineLevel="0" collapsed="false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7" t="str">
        <f aca="false">IF(B1639="","",IF(COUNTIF($B$2:B1639,B1639)=1,MAX($AV$1:AV1638)+1,""))</f>
        <v/>
      </c>
    </row>
    <row r="1640" customFormat="false" ht="15" hidden="false" customHeight="false" outlineLevel="0" collapsed="false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7" t="str">
        <f aca="false">IF(B1640="","",IF(COUNTIF($B$2:B1640,B1640)=1,MAX($AV$1:AV1639)+1,""))</f>
        <v/>
      </c>
    </row>
    <row r="1641" customFormat="false" ht="15" hidden="false" customHeight="false" outlineLevel="0" collapsed="false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7" t="str">
        <f aca="false">IF(B1641="","",IF(COUNTIF($B$2:B1641,B1641)=1,MAX($AV$1:AV1640)+1,""))</f>
        <v/>
      </c>
    </row>
    <row r="1642" customFormat="false" ht="15" hidden="false" customHeight="false" outlineLevel="0" collapsed="false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7" t="str">
        <f aca="false">IF(B1642="","",IF(COUNTIF($B$2:B1642,B1642)=1,MAX($AV$1:AV1641)+1,""))</f>
        <v/>
      </c>
    </row>
    <row r="1643" customFormat="false" ht="15" hidden="false" customHeight="false" outlineLevel="0" collapsed="false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7" t="str">
        <f aca="false">IF(B1643="","",IF(COUNTIF($B$2:B1643,B1643)=1,MAX($AV$1:AV1642)+1,""))</f>
        <v/>
      </c>
    </row>
    <row r="1644" customFormat="false" ht="15" hidden="false" customHeight="false" outlineLevel="0" collapsed="false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7" t="str">
        <f aca="false">IF(B1644="","",IF(COUNTIF($B$2:B1644,B1644)=1,MAX($AV$1:AV1643)+1,""))</f>
        <v/>
      </c>
    </row>
    <row r="1645" customFormat="false" ht="15" hidden="false" customHeight="false" outlineLevel="0" collapsed="false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7" t="str">
        <f aca="false">IF(B1645="","",IF(COUNTIF($B$2:B1645,B1645)=1,MAX($AV$1:AV1644)+1,""))</f>
        <v/>
      </c>
    </row>
    <row r="1646" customFormat="false" ht="15" hidden="false" customHeight="false" outlineLevel="0" collapsed="false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7" t="str">
        <f aca="false">IF(B1646="","",IF(COUNTIF($B$2:B1646,B1646)=1,MAX($AV$1:AV1645)+1,""))</f>
        <v/>
      </c>
    </row>
    <row r="1647" customFormat="false" ht="15" hidden="false" customHeight="false" outlineLevel="0" collapsed="false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7" t="str">
        <f aca="false">IF(B1647="","",IF(COUNTIF($B$2:B1647,B1647)=1,MAX($AV$1:AV1646)+1,""))</f>
        <v/>
      </c>
    </row>
    <row r="1648" customFormat="false" ht="15" hidden="false" customHeight="false" outlineLevel="0" collapsed="false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7" t="str">
        <f aca="false">IF(B1648="","",IF(COUNTIF($B$2:B1648,B1648)=1,MAX($AV$1:AV1647)+1,""))</f>
        <v/>
      </c>
    </row>
    <row r="1649" customFormat="false" ht="15" hidden="false" customHeight="false" outlineLevel="0" collapsed="false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7" t="str">
        <f aca="false">IF(B1649="","",IF(COUNTIF($B$2:B1649,B1649)=1,MAX($AV$1:AV1648)+1,""))</f>
        <v/>
      </c>
    </row>
    <row r="1650" customFormat="false" ht="15" hidden="false" customHeight="false" outlineLevel="0" collapsed="false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7" t="str">
        <f aca="false">IF(B1650="","",IF(COUNTIF($B$2:B1650,B1650)=1,MAX($AV$1:AV1649)+1,""))</f>
        <v/>
      </c>
    </row>
    <row r="1651" customFormat="false" ht="15" hidden="false" customHeight="false" outlineLevel="0" collapsed="false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7" t="str">
        <f aca="false">IF(B1651="","",IF(COUNTIF($B$2:B1651,B1651)=1,MAX($AV$1:AV1650)+1,""))</f>
        <v/>
      </c>
    </row>
    <row r="1652" customFormat="false" ht="15" hidden="false" customHeight="false" outlineLevel="0" collapsed="false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7" t="str">
        <f aca="false">IF(B1652="","",IF(COUNTIF($B$2:B1652,B1652)=1,MAX($AV$1:AV1651)+1,""))</f>
        <v/>
      </c>
    </row>
    <row r="1653" customFormat="false" ht="15" hidden="false" customHeight="false" outlineLevel="0" collapsed="false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7" t="str">
        <f aca="false">IF(B1653="","",IF(COUNTIF($B$2:B1653,B1653)=1,MAX($AV$1:AV1652)+1,""))</f>
        <v/>
      </c>
    </row>
    <row r="1654" customFormat="false" ht="15" hidden="false" customHeight="false" outlineLevel="0" collapsed="false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7" t="str">
        <f aca="false">IF(B1654="","",IF(COUNTIF($B$2:B1654,B1654)=1,MAX($AV$1:AV1653)+1,""))</f>
        <v/>
      </c>
    </row>
    <row r="1655" customFormat="false" ht="15" hidden="false" customHeight="false" outlineLevel="0" collapsed="false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7" t="str">
        <f aca="false">IF(B1655="","",IF(COUNTIF($B$2:B1655,B1655)=1,MAX($AV$1:AV1654)+1,""))</f>
        <v/>
      </c>
    </row>
    <row r="1656" customFormat="false" ht="15" hidden="false" customHeight="false" outlineLevel="0" collapsed="false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7" t="str">
        <f aca="false">IF(B1656="","",IF(COUNTIF($B$2:B1656,B1656)=1,MAX($AV$1:AV1655)+1,""))</f>
        <v/>
      </c>
    </row>
    <row r="1657" customFormat="false" ht="15" hidden="false" customHeight="false" outlineLevel="0" collapsed="false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7" t="str">
        <f aca="false">IF(B1657="","",IF(COUNTIF($B$2:B1657,B1657)=1,MAX($AV$1:AV1656)+1,""))</f>
        <v/>
      </c>
    </row>
    <row r="1658" customFormat="false" ht="15" hidden="false" customHeight="false" outlineLevel="0" collapsed="false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7" t="str">
        <f aca="false">IF(B1658="","",IF(COUNTIF($B$2:B1658,B1658)=1,MAX($AV$1:AV1657)+1,""))</f>
        <v/>
      </c>
    </row>
    <row r="1659" customFormat="false" ht="15" hidden="false" customHeight="false" outlineLevel="0" collapsed="false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7" t="str">
        <f aca="false">IF(B1659="","",IF(COUNTIF($B$2:B1659,B1659)=1,MAX($AV$1:AV1658)+1,""))</f>
        <v/>
      </c>
    </row>
    <row r="1660" customFormat="false" ht="15" hidden="false" customHeight="false" outlineLevel="0" collapsed="false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7" t="str">
        <f aca="false">IF(B1660="","",IF(COUNTIF($B$2:B1660,B1660)=1,MAX($AV$1:AV1659)+1,""))</f>
        <v/>
      </c>
    </row>
    <row r="1661" customFormat="false" ht="15" hidden="false" customHeight="false" outlineLevel="0" collapsed="false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7" t="str">
        <f aca="false">IF(B1661="","",IF(COUNTIF($B$2:B1661,B1661)=1,MAX($AV$1:AV1660)+1,""))</f>
        <v/>
      </c>
    </row>
    <row r="1662" customFormat="false" ht="15" hidden="false" customHeight="false" outlineLevel="0" collapsed="false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7" t="str">
        <f aca="false">IF(B1662="","",IF(COUNTIF($B$2:B1662,B1662)=1,MAX($AV$1:AV1661)+1,""))</f>
        <v/>
      </c>
    </row>
    <row r="1663" customFormat="false" ht="15" hidden="false" customHeight="false" outlineLevel="0" collapsed="false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7" t="str">
        <f aca="false">IF(B1663="","",IF(COUNTIF($B$2:B1663,B1663)=1,MAX($AV$1:AV1662)+1,""))</f>
        <v/>
      </c>
    </row>
    <row r="1664" customFormat="false" ht="15" hidden="false" customHeight="false" outlineLevel="0" collapsed="false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7" t="str">
        <f aca="false">IF(B1664="","",IF(COUNTIF($B$2:B1664,B1664)=1,MAX($AV$1:AV1663)+1,""))</f>
        <v/>
      </c>
    </row>
    <row r="1665" customFormat="false" ht="15" hidden="false" customHeight="false" outlineLevel="0" collapsed="false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7" t="str">
        <f aca="false">IF(B1665="","",IF(COUNTIF($B$2:B1665,B1665)=1,MAX($AV$1:AV1664)+1,""))</f>
        <v/>
      </c>
    </row>
    <row r="1666" customFormat="false" ht="15" hidden="false" customHeight="false" outlineLevel="0" collapsed="false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7" t="str">
        <f aca="false">IF(B1666="","",IF(COUNTIF($B$2:B1666,B1666)=1,MAX($AV$1:AV1665)+1,""))</f>
        <v/>
      </c>
    </row>
    <row r="1667" customFormat="false" ht="15" hidden="false" customHeight="false" outlineLevel="0" collapsed="false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7" t="str">
        <f aca="false">IF(B1667="","",IF(COUNTIF($B$2:B1667,B1667)=1,MAX($AV$1:AV1666)+1,""))</f>
        <v/>
      </c>
    </row>
    <row r="1668" customFormat="false" ht="15" hidden="false" customHeight="false" outlineLevel="0" collapsed="false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7" t="str">
        <f aca="false">IF(B1668="","",IF(COUNTIF($B$2:B1668,B1668)=1,MAX($AV$1:AV1667)+1,""))</f>
        <v/>
      </c>
    </row>
    <row r="1669" customFormat="false" ht="15" hidden="false" customHeight="false" outlineLevel="0" collapsed="false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7" t="str">
        <f aca="false">IF(B1669="","",IF(COUNTIF($B$2:B1669,B1669)=1,MAX($AV$1:AV1668)+1,""))</f>
        <v/>
      </c>
    </row>
    <row r="1670" customFormat="false" ht="15" hidden="false" customHeight="false" outlineLevel="0" collapsed="false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7" t="str">
        <f aca="false">IF(B1670="","",IF(COUNTIF($B$2:B1670,B1670)=1,MAX($AV$1:AV1669)+1,""))</f>
        <v/>
      </c>
    </row>
    <row r="1671" customFormat="false" ht="15" hidden="false" customHeight="false" outlineLevel="0" collapsed="false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7" t="str">
        <f aca="false">IF(B1671="","",IF(COUNTIF($B$2:B1671,B1671)=1,MAX($AV$1:AV1670)+1,""))</f>
        <v/>
      </c>
    </row>
    <row r="1672" customFormat="false" ht="15" hidden="false" customHeight="false" outlineLevel="0" collapsed="false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7" t="str">
        <f aca="false">IF(B1672="","",IF(COUNTIF($B$2:B1672,B1672)=1,MAX($AV$1:AV1671)+1,""))</f>
        <v/>
      </c>
    </row>
    <row r="1673" customFormat="false" ht="15" hidden="false" customHeight="false" outlineLevel="0" collapsed="false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7" t="str">
        <f aca="false">IF(B1673="","",IF(COUNTIF($B$2:B1673,B1673)=1,MAX($AV$1:AV1672)+1,""))</f>
        <v/>
      </c>
    </row>
    <row r="1674" customFormat="false" ht="15" hidden="false" customHeight="false" outlineLevel="0" collapsed="false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7" t="str">
        <f aca="false">IF(B1674="","",IF(COUNTIF($B$2:B1674,B1674)=1,MAX($AV$1:AV1673)+1,""))</f>
        <v/>
      </c>
    </row>
    <row r="1675" customFormat="false" ht="15" hidden="false" customHeight="false" outlineLevel="0" collapsed="false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7" t="str">
        <f aca="false">IF(B1675="","",IF(COUNTIF($B$2:B1675,B1675)=1,MAX($AV$1:AV1674)+1,""))</f>
        <v/>
      </c>
    </row>
    <row r="1676" customFormat="false" ht="15" hidden="false" customHeight="false" outlineLevel="0" collapsed="false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7" t="str">
        <f aca="false">IF(B1676="","",IF(COUNTIF($B$2:B1676,B1676)=1,MAX($AV$1:AV1675)+1,""))</f>
        <v/>
      </c>
    </row>
    <row r="1677" customFormat="false" ht="15" hidden="false" customHeight="false" outlineLevel="0" collapsed="false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7" t="str">
        <f aca="false">IF(B1677="","",IF(COUNTIF($B$2:B1677,B1677)=1,MAX($AV$1:AV1676)+1,""))</f>
        <v/>
      </c>
    </row>
    <row r="1678" customFormat="false" ht="15" hidden="false" customHeight="false" outlineLevel="0" collapsed="false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7" t="str">
        <f aca="false">IF(B1678="","",IF(COUNTIF($B$2:B1678,B1678)=1,MAX($AV$1:AV1677)+1,""))</f>
        <v/>
      </c>
    </row>
    <row r="1679" customFormat="false" ht="15" hidden="false" customHeight="false" outlineLevel="0" collapsed="false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7" t="str">
        <f aca="false">IF(B1679="","",IF(COUNTIF($B$2:B1679,B1679)=1,MAX($AV$1:AV1678)+1,""))</f>
        <v/>
      </c>
    </row>
    <row r="1680" customFormat="false" ht="15" hidden="false" customHeight="false" outlineLevel="0" collapsed="false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7" t="str">
        <f aca="false">IF(B1680="","",IF(COUNTIF($B$2:B1680,B1680)=1,MAX($AV$1:AV1679)+1,""))</f>
        <v/>
      </c>
    </row>
    <row r="1681" customFormat="false" ht="15" hidden="false" customHeight="false" outlineLevel="0" collapsed="false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7" t="str">
        <f aca="false">IF(B1681="","",IF(COUNTIF($B$2:B1681,B1681)=1,MAX($AV$1:AV1680)+1,""))</f>
        <v/>
      </c>
    </row>
    <row r="1682" customFormat="false" ht="15" hidden="false" customHeight="false" outlineLevel="0" collapsed="false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7" t="str">
        <f aca="false">IF(B1682="","",IF(COUNTIF($B$2:B1682,B1682)=1,MAX($AV$1:AV1681)+1,""))</f>
        <v/>
      </c>
    </row>
    <row r="1683" customFormat="false" ht="15" hidden="false" customHeight="false" outlineLevel="0" collapsed="false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7" t="str">
        <f aca="false">IF(B1683="","",IF(COUNTIF($B$2:B1683,B1683)=1,MAX($AV$1:AV1682)+1,""))</f>
        <v/>
      </c>
    </row>
    <row r="1684" customFormat="false" ht="15" hidden="false" customHeight="false" outlineLevel="0" collapsed="false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7" t="str">
        <f aca="false">IF(B1684="","",IF(COUNTIF($B$2:B1684,B1684)=1,MAX($AV$1:AV1683)+1,""))</f>
        <v/>
      </c>
    </row>
    <row r="1685" customFormat="false" ht="15" hidden="false" customHeight="false" outlineLevel="0" collapsed="false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7" t="str">
        <f aca="false">IF(B1685="","",IF(COUNTIF($B$2:B1685,B1685)=1,MAX($AV$1:AV1684)+1,""))</f>
        <v/>
      </c>
    </row>
    <row r="1686" customFormat="false" ht="15" hidden="false" customHeight="false" outlineLevel="0" collapsed="false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7" t="str">
        <f aca="false">IF(B1686="","",IF(COUNTIF($B$2:B1686,B1686)=1,MAX($AV$1:AV1685)+1,""))</f>
        <v/>
      </c>
    </row>
    <row r="1687" customFormat="false" ht="15" hidden="false" customHeight="false" outlineLevel="0" collapsed="false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7" t="str">
        <f aca="false">IF(B1687="","",IF(COUNTIF($B$2:B1687,B1687)=1,MAX($AV$1:AV1686)+1,""))</f>
        <v/>
      </c>
    </row>
    <row r="1688" customFormat="false" ht="15" hidden="false" customHeight="false" outlineLevel="0" collapsed="false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7" t="str">
        <f aca="false">IF(B1688="","",IF(COUNTIF($B$2:B1688,B1688)=1,MAX($AV$1:AV1687)+1,""))</f>
        <v/>
      </c>
    </row>
    <row r="1689" customFormat="false" ht="15" hidden="false" customHeight="false" outlineLevel="0" collapsed="false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7" t="str">
        <f aca="false">IF(B1689="","",IF(COUNTIF($B$2:B1689,B1689)=1,MAX($AV$1:AV1688)+1,""))</f>
        <v/>
      </c>
    </row>
    <row r="1690" customFormat="false" ht="15" hidden="false" customHeight="false" outlineLevel="0" collapsed="false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7" t="str">
        <f aca="false">IF(B1690="","",IF(COUNTIF($B$2:B1690,B1690)=1,MAX($AV$1:AV1689)+1,""))</f>
        <v/>
      </c>
    </row>
    <row r="1691" customFormat="false" ht="15" hidden="false" customHeight="false" outlineLevel="0" collapsed="false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7" t="str">
        <f aca="false">IF(B1691="","",IF(COUNTIF($B$2:B1691,B1691)=1,MAX($AV$1:AV1690)+1,""))</f>
        <v/>
      </c>
    </row>
    <row r="1692" customFormat="false" ht="15" hidden="false" customHeight="false" outlineLevel="0" collapsed="false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7" t="str">
        <f aca="false">IF(B1692="","",IF(COUNTIF($B$2:B1692,B1692)=1,MAX($AV$1:AV1691)+1,""))</f>
        <v/>
      </c>
    </row>
    <row r="1693" customFormat="false" ht="15" hidden="false" customHeight="false" outlineLevel="0" collapsed="false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7" t="str">
        <f aca="false">IF(B1693="","",IF(COUNTIF($B$2:B1693,B1693)=1,MAX($AV$1:AV1692)+1,""))</f>
        <v/>
      </c>
    </row>
    <row r="1694" customFormat="false" ht="15" hidden="false" customHeight="false" outlineLevel="0" collapsed="false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7" t="str">
        <f aca="false">IF(B1694="","",IF(COUNTIF($B$2:B1694,B1694)=1,MAX($AV$1:AV1693)+1,""))</f>
        <v/>
      </c>
    </row>
    <row r="1695" customFormat="false" ht="15" hidden="false" customHeight="false" outlineLevel="0" collapsed="false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7" t="str">
        <f aca="false">IF(B1695="","",IF(COUNTIF($B$2:B1695,B1695)=1,MAX($AV$1:AV1694)+1,""))</f>
        <v/>
      </c>
    </row>
    <row r="1696" customFormat="false" ht="15" hidden="false" customHeight="false" outlineLevel="0" collapsed="false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7" t="str">
        <f aca="false">IF(B1696="","",IF(COUNTIF($B$2:B1696,B1696)=1,MAX($AV$1:AV1695)+1,""))</f>
        <v/>
      </c>
    </row>
    <row r="1697" customFormat="false" ht="15" hidden="false" customHeight="false" outlineLevel="0" collapsed="false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7" t="str">
        <f aca="false">IF(B1697="","",IF(COUNTIF($B$2:B1697,B1697)=1,MAX($AV$1:AV1696)+1,""))</f>
        <v/>
      </c>
    </row>
    <row r="1698" customFormat="false" ht="15" hidden="false" customHeight="false" outlineLevel="0" collapsed="false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7" t="str">
        <f aca="false">IF(B1698="","",IF(COUNTIF($B$2:B1698,B1698)=1,MAX($AV$1:AV1697)+1,""))</f>
        <v/>
      </c>
    </row>
    <row r="1699" customFormat="false" ht="15" hidden="false" customHeight="false" outlineLevel="0" collapsed="false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7" t="str">
        <f aca="false">IF(B1699="","",IF(COUNTIF($B$2:B1699,B1699)=1,MAX($AV$1:AV1698)+1,""))</f>
        <v/>
      </c>
    </row>
    <row r="1700" customFormat="false" ht="15" hidden="false" customHeight="false" outlineLevel="0" collapsed="false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7" t="str">
        <f aca="false">IF(B1700="","",IF(COUNTIF($B$2:B1700,B1700)=1,MAX($AV$1:AV1699)+1,""))</f>
        <v/>
      </c>
    </row>
    <row r="1701" customFormat="false" ht="15" hidden="false" customHeight="false" outlineLevel="0" collapsed="false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7" t="str">
        <f aca="false">IF(B1701="","",IF(COUNTIF($B$2:B1701,B1701)=1,MAX($AV$1:AV1700)+1,""))</f>
        <v/>
      </c>
    </row>
    <row r="1702" customFormat="false" ht="15" hidden="false" customHeight="false" outlineLevel="0" collapsed="false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7" t="str">
        <f aca="false">IF(B1702="","",IF(COUNTIF($B$2:B1702,B1702)=1,MAX($AV$1:AV1701)+1,""))</f>
        <v/>
      </c>
    </row>
    <row r="1703" customFormat="false" ht="15" hidden="false" customHeight="false" outlineLevel="0" collapsed="false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7" t="str">
        <f aca="false">IF(B1703="","",IF(COUNTIF($B$2:B1703,B1703)=1,MAX($AV$1:AV1702)+1,""))</f>
        <v/>
      </c>
    </row>
    <row r="1704" customFormat="false" ht="15" hidden="false" customHeight="false" outlineLevel="0" collapsed="false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7" t="str">
        <f aca="false">IF(B1704="","",IF(COUNTIF($B$2:B1704,B1704)=1,MAX($AV$1:AV1703)+1,""))</f>
        <v/>
      </c>
    </row>
    <row r="1705" customFormat="false" ht="15" hidden="false" customHeight="false" outlineLevel="0" collapsed="false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7" t="str">
        <f aca="false">IF(B1705="","",IF(COUNTIF($B$2:B1705,B1705)=1,MAX($AV$1:AV1704)+1,""))</f>
        <v/>
      </c>
    </row>
    <row r="1706" customFormat="false" ht="15" hidden="false" customHeight="false" outlineLevel="0" collapsed="false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7" t="str">
        <f aca="false">IF(B1706="","",IF(COUNTIF($B$2:B1706,B1706)=1,MAX($AV$1:AV1705)+1,""))</f>
        <v/>
      </c>
    </row>
    <row r="1707" customFormat="false" ht="15" hidden="false" customHeight="false" outlineLevel="0" collapsed="false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7" t="str">
        <f aca="false">IF(B1707="","",IF(COUNTIF($B$2:B1707,B1707)=1,MAX($AV$1:AV1706)+1,""))</f>
        <v/>
      </c>
    </row>
    <row r="1708" customFormat="false" ht="15" hidden="false" customHeight="false" outlineLevel="0" collapsed="false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7" t="str">
        <f aca="false">IF(B1708="","",IF(COUNTIF($B$2:B1708,B1708)=1,MAX($AV$1:AV1707)+1,""))</f>
        <v/>
      </c>
    </row>
    <row r="1709" customFormat="false" ht="15" hidden="false" customHeight="false" outlineLevel="0" collapsed="false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7" t="str">
        <f aca="false">IF(B1709="","",IF(COUNTIF($B$2:B1709,B1709)=1,MAX($AV$1:AV1708)+1,""))</f>
        <v/>
      </c>
    </row>
    <row r="1710" customFormat="false" ht="15" hidden="false" customHeight="false" outlineLevel="0" collapsed="false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7" t="str">
        <f aca="false">IF(B1710="","",IF(COUNTIF($B$2:B1710,B1710)=1,MAX($AV$1:AV1709)+1,""))</f>
        <v/>
      </c>
    </row>
    <row r="1711" customFormat="false" ht="15" hidden="false" customHeight="false" outlineLevel="0" collapsed="false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7" t="str">
        <f aca="false">IF(B1711="","",IF(COUNTIF($B$2:B1711,B1711)=1,MAX($AV$1:AV1710)+1,""))</f>
        <v/>
      </c>
    </row>
    <row r="1712" customFormat="false" ht="15" hidden="false" customHeight="false" outlineLevel="0" collapsed="false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7" t="str">
        <f aca="false">IF(B1712="","",IF(COUNTIF($B$2:B1712,B1712)=1,MAX($AV$1:AV1711)+1,""))</f>
        <v/>
      </c>
    </row>
    <row r="1713" customFormat="false" ht="15" hidden="false" customHeight="false" outlineLevel="0" collapsed="false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7" t="str">
        <f aca="false">IF(B1713="","",IF(COUNTIF($B$2:B1713,B1713)=1,MAX($AV$1:AV1712)+1,""))</f>
        <v/>
      </c>
    </row>
    <row r="1714" customFormat="false" ht="15" hidden="false" customHeight="false" outlineLevel="0" collapsed="false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7" t="str">
        <f aca="false">IF(B1714="","",IF(COUNTIF($B$2:B1714,B1714)=1,MAX($AV$1:AV1713)+1,""))</f>
        <v/>
      </c>
    </row>
    <row r="1715" customFormat="false" ht="15" hidden="false" customHeight="false" outlineLevel="0" collapsed="false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7" t="str">
        <f aca="false">IF(B1715="","",IF(COUNTIF($B$2:B1715,B1715)=1,MAX($AV$1:AV1714)+1,""))</f>
        <v/>
      </c>
    </row>
    <row r="1716" customFormat="false" ht="15" hidden="false" customHeight="false" outlineLevel="0" collapsed="false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7" t="str">
        <f aca="false">IF(B1716="","",IF(COUNTIF($B$2:B1716,B1716)=1,MAX($AV$1:AV1715)+1,""))</f>
        <v/>
      </c>
    </row>
    <row r="1717" customFormat="false" ht="15" hidden="false" customHeight="false" outlineLevel="0" collapsed="false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7" t="str">
        <f aca="false">IF(B1717="","",IF(COUNTIF($B$2:B1717,B1717)=1,MAX($AV$1:AV1716)+1,""))</f>
        <v/>
      </c>
    </row>
    <row r="1718" customFormat="false" ht="15" hidden="false" customHeight="false" outlineLevel="0" collapsed="false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7" t="str">
        <f aca="false">IF(B1718="","",IF(COUNTIF($B$2:B1718,B1718)=1,MAX($AV$1:AV1717)+1,""))</f>
        <v/>
      </c>
    </row>
    <row r="1719" customFormat="false" ht="15" hidden="false" customHeight="false" outlineLevel="0" collapsed="false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7" t="str">
        <f aca="false">IF(B1719="","",IF(COUNTIF($B$2:B1719,B1719)=1,MAX($AV$1:AV1718)+1,""))</f>
        <v/>
      </c>
    </row>
    <row r="1720" customFormat="false" ht="15" hidden="false" customHeight="false" outlineLevel="0" collapsed="false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7" t="str">
        <f aca="false">IF(B1720="","",IF(COUNTIF($B$2:B1720,B1720)=1,MAX($AV$1:AV1719)+1,""))</f>
        <v/>
      </c>
    </row>
    <row r="1721" customFormat="false" ht="15" hidden="false" customHeight="false" outlineLevel="0" collapsed="false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7" t="str">
        <f aca="false">IF(B1721="","",IF(COUNTIF($B$2:B1721,B1721)=1,MAX($AV$1:AV1720)+1,""))</f>
        <v/>
      </c>
    </row>
    <row r="1722" customFormat="false" ht="15" hidden="false" customHeight="false" outlineLevel="0" collapsed="false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7" t="str">
        <f aca="false">IF(B1722="","",IF(COUNTIF($B$2:B1722,B1722)=1,MAX($AV$1:AV1721)+1,""))</f>
        <v/>
      </c>
    </row>
    <row r="1723" customFormat="false" ht="15" hidden="false" customHeight="false" outlineLevel="0" collapsed="false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7" t="str">
        <f aca="false">IF(B1723="","",IF(COUNTIF($B$2:B1723,B1723)=1,MAX($AV$1:AV1722)+1,""))</f>
        <v/>
      </c>
    </row>
    <row r="1724" customFormat="false" ht="15" hidden="false" customHeight="false" outlineLevel="0" collapsed="false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7" t="str">
        <f aca="false">IF(B1724="","",IF(COUNTIF($B$2:B1724,B1724)=1,MAX($AV$1:AV1723)+1,""))</f>
        <v/>
      </c>
    </row>
    <row r="1725" customFormat="false" ht="15" hidden="false" customHeight="false" outlineLevel="0" collapsed="false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7" t="str">
        <f aca="false">IF(B1725="","",IF(COUNTIF($B$2:B1725,B1725)=1,MAX($AV$1:AV1724)+1,""))</f>
        <v/>
      </c>
    </row>
    <row r="1726" customFormat="false" ht="15" hidden="false" customHeight="false" outlineLevel="0" collapsed="false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7" t="str">
        <f aca="false">IF(B1726="","",IF(COUNTIF($B$2:B1726,B1726)=1,MAX($AV$1:AV1725)+1,""))</f>
        <v/>
      </c>
    </row>
    <row r="1727" customFormat="false" ht="15" hidden="false" customHeight="false" outlineLevel="0" collapsed="false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7" t="str">
        <f aca="false">IF(B1727="","",IF(COUNTIF($B$2:B1727,B1727)=1,MAX($AV$1:AV1726)+1,""))</f>
        <v/>
      </c>
    </row>
    <row r="1728" customFormat="false" ht="15" hidden="false" customHeight="false" outlineLevel="0" collapsed="false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7" t="str">
        <f aca="false">IF(B1728="","",IF(COUNTIF($B$2:B1728,B1728)=1,MAX($AV$1:AV1727)+1,""))</f>
        <v/>
      </c>
    </row>
    <row r="1729" customFormat="false" ht="15" hidden="false" customHeight="false" outlineLevel="0" collapsed="false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7" t="str">
        <f aca="false">IF(B1729="","",IF(COUNTIF($B$2:B1729,B1729)=1,MAX($AV$1:AV1728)+1,""))</f>
        <v/>
      </c>
    </row>
    <row r="1730" customFormat="false" ht="15" hidden="false" customHeight="false" outlineLevel="0" collapsed="false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7" t="str">
        <f aca="false">IF(B1730="","",IF(COUNTIF($B$2:B1730,B1730)=1,MAX($AV$1:AV1729)+1,""))</f>
        <v/>
      </c>
    </row>
    <row r="1731" customFormat="false" ht="15" hidden="false" customHeight="false" outlineLevel="0" collapsed="false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7" t="str">
        <f aca="false">IF(B1731="","",IF(COUNTIF($B$2:B1731,B1731)=1,MAX($AV$1:AV1730)+1,""))</f>
        <v/>
      </c>
    </row>
    <row r="1732" customFormat="false" ht="15" hidden="false" customHeight="false" outlineLevel="0" collapsed="false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7" t="str">
        <f aca="false">IF(B1732="","",IF(COUNTIF($B$2:B1732,B1732)=1,MAX($AV$1:AV1731)+1,""))</f>
        <v/>
      </c>
    </row>
    <row r="1733" customFormat="false" ht="15" hidden="false" customHeight="false" outlineLevel="0" collapsed="false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7" t="str">
        <f aca="false">IF(B1733="","",IF(COUNTIF($B$2:B1733,B1733)=1,MAX($AV$1:AV1732)+1,""))</f>
        <v/>
      </c>
    </row>
    <row r="1734" customFormat="false" ht="15" hidden="false" customHeight="false" outlineLevel="0" collapsed="false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7" t="str">
        <f aca="false">IF(B1734="","",IF(COUNTIF($B$2:B1734,B1734)=1,MAX($AV$1:AV1733)+1,""))</f>
        <v/>
      </c>
    </row>
    <row r="1735" customFormat="false" ht="15" hidden="false" customHeight="false" outlineLevel="0" collapsed="false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7" t="str">
        <f aca="false">IF(B1735="","",IF(COUNTIF($B$2:B1735,B1735)=1,MAX($AV$1:AV1734)+1,""))</f>
        <v/>
      </c>
    </row>
    <row r="1736" customFormat="false" ht="15" hidden="false" customHeight="false" outlineLevel="0" collapsed="false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7" t="str">
        <f aca="false">IF(B1736="","",IF(COUNTIF($B$2:B1736,B1736)=1,MAX($AV$1:AV1735)+1,""))</f>
        <v/>
      </c>
    </row>
    <row r="1737" customFormat="false" ht="15" hidden="false" customHeight="false" outlineLevel="0" collapsed="false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7" t="str">
        <f aca="false">IF(B1737="","",IF(COUNTIF($B$2:B1737,B1737)=1,MAX($AV$1:AV1736)+1,""))</f>
        <v/>
      </c>
    </row>
    <row r="1738" customFormat="false" ht="15" hidden="false" customHeight="false" outlineLevel="0" collapsed="false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7" t="str">
        <f aca="false">IF(B1738="","",IF(COUNTIF($B$2:B1738,B1738)=1,MAX($AV$1:AV1737)+1,""))</f>
        <v/>
      </c>
    </row>
    <row r="1739" customFormat="false" ht="15" hidden="false" customHeight="false" outlineLevel="0" collapsed="false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7" t="str">
        <f aca="false">IF(B1739="","",IF(COUNTIF($B$2:B1739,B1739)=1,MAX($AV$1:AV1738)+1,""))</f>
        <v/>
      </c>
    </row>
    <row r="1740" customFormat="false" ht="15" hidden="false" customHeight="false" outlineLevel="0" collapsed="false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7" t="str">
        <f aca="false">IF(B1740="","",IF(COUNTIF($B$2:B1740,B1740)=1,MAX($AV$1:AV1739)+1,""))</f>
        <v/>
      </c>
    </row>
    <row r="1741" customFormat="false" ht="15" hidden="false" customHeight="false" outlineLevel="0" collapsed="false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7" t="str">
        <f aca="false">IF(B1741="","",IF(COUNTIF($B$2:B1741,B1741)=1,MAX($AV$1:AV1740)+1,""))</f>
        <v/>
      </c>
    </row>
    <row r="1742" customFormat="false" ht="15" hidden="false" customHeight="false" outlineLevel="0" collapsed="false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7" t="str">
        <f aca="false">IF(B1742="","",IF(COUNTIF($B$2:B1742,B1742)=1,MAX($AV$1:AV1741)+1,""))</f>
        <v/>
      </c>
    </row>
    <row r="1743" customFormat="false" ht="15" hidden="false" customHeight="false" outlineLevel="0" collapsed="false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7" t="str">
        <f aca="false">IF(B1743="","",IF(COUNTIF($B$2:B1743,B1743)=1,MAX($AV$1:AV1742)+1,""))</f>
        <v/>
      </c>
    </row>
    <row r="1744" customFormat="false" ht="15" hidden="false" customHeight="false" outlineLevel="0" collapsed="false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7" t="str">
        <f aca="false">IF(B1744="","",IF(COUNTIF($B$2:B1744,B1744)=1,MAX($AV$1:AV1743)+1,""))</f>
        <v/>
      </c>
    </row>
    <row r="1745" customFormat="false" ht="15" hidden="false" customHeight="false" outlineLevel="0" collapsed="false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7" t="str">
        <f aca="false">IF(B1745="","",IF(COUNTIF($B$2:B1745,B1745)=1,MAX($AV$1:AV1744)+1,""))</f>
        <v/>
      </c>
    </row>
    <row r="1746" customFormat="false" ht="15" hidden="false" customHeight="false" outlineLevel="0" collapsed="false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7" t="str">
        <f aca="false">IF(B1746="","",IF(COUNTIF($B$2:B1746,B1746)=1,MAX($AV$1:AV1745)+1,""))</f>
        <v/>
      </c>
    </row>
    <row r="1747" customFormat="false" ht="15" hidden="false" customHeight="false" outlineLevel="0" collapsed="false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7" t="str">
        <f aca="false">IF(B1747="","",IF(COUNTIF($B$2:B1747,B1747)=1,MAX($AV$1:AV1746)+1,""))</f>
        <v/>
      </c>
    </row>
    <row r="1748" customFormat="false" ht="15" hidden="false" customHeight="false" outlineLevel="0" collapsed="false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7" t="str">
        <f aca="false">IF(B1748="","",IF(COUNTIF($B$2:B1748,B1748)=1,MAX($AV$1:AV1747)+1,""))</f>
        <v/>
      </c>
    </row>
    <row r="1749" customFormat="false" ht="15" hidden="false" customHeight="false" outlineLevel="0" collapsed="false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7" t="str">
        <f aca="false">IF(B1749="","",IF(COUNTIF($B$2:B1749,B1749)=1,MAX($AV$1:AV1748)+1,""))</f>
        <v/>
      </c>
    </row>
    <row r="1750" customFormat="false" ht="15" hidden="false" customHeight="false" outlineLevel="0" collapsed="false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7" t="str">
        <f aca="false">IF(B1750="","",IF(COUNTIF($B$2:B1750,B1750)=1,MAX($AV$1:AV1749)+1,""))</f>
        <v/>
      </c>
    </row>
    <row r="1751" customFormat="false" ht="15" hidden="false" customHeight="false" outlineLevel="0" collapsed="false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7" t="str">
        <f aca="false">IF(B1751="","",IF(COUNTIF($B$2:B1751,B1751)=1,MAX($AV$1:AV1750)+1,""))</f>
        <v/>
      </c>
    </row>
    <row r="1752" customFormat="false" ht="15" hidden="false" customHeight="false" outlineLevel="0" collapsed="false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7" t="str">
        <f aca="false">IF(B1752="","",IF(COUNTIF($B$2:B1752,B1752)=1,MAX($AV$1:AV1751)+1,""))</f>
        <v/>
      </c>
    </row>
    <row r="1753" customFormat="false" ht="15" hidden="false" customHeight="false" outlineLevel="0" collapsed="false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7" t="str">
        <f aca="false">IF(B1753="","",IF(COUNTIF($B$2:B1753,B1753)=1,MAX($AV$1:AV1752)+1,""))</f>
        <v/>
      </c>
    </row>
    <row r="1754" customFormat="false" ht="15" hidden="false" customHeight="false" outlineLevel="0" collapsed="false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7" t="str">
        <f aca="false">IF(B1754="","",IF(COUNTIF($B$2:B1754,B1754)=1,MAX($AV$1:AV1753)+1,""))</f>
        <v/>
      </c>
    </row>
    <row r="1755" customFormat="false" ht="15" hidden="false" customHeight="false" outlineLevel="0" collapsed="false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7" t="str">
        <f aca="false">IF(B1755="","",IF(COUNTIF($B$2:B1755,B1755)=1,MAX($AV$1:AV1754)+1,""))</f>
        <v/>
      </c>
    </row>
    <row r="1756" customFormat="false" ht="15" hidden="false" customHeight="false" outlineLevel="0" collapsed="false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7" t="str">
        <f aca="false">IF(B1756="","",IF(COUNTIF($B$2:B1756,B1756)=1,MAX($AV$1:AV1755)+1,""))</f>
        <v/>
      </c>
    </row>
    <row r="1757" customFormat="false" ht="15" hidden="false" customHeight="false" outlineLevel="0" collapsed="false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7" t="str">
        <f aca="false">IF(B1757="","",IF(COUNTIF($B$2:B1757,B1757)=1,MAX($AV$1:AV1756)+1,""))</f>
        <v/>
      </c>
    </row>
    <row r="1758" customFormat="false" ht="15" hidden="false" customHeight="false" outlineLevel="0" collapsed="false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7" t="str">
        <f aca="false">IF(B1758="","",IF(COUNTIF($B$2:B1758,B1758)=1,MAX($AV$1:AV1757)+1,""))</f>
        <v/>
      </c>
    </row>
    <row r="1759" customFormat="false" ht="15" hidden="false" customHeight="false" outlineLevel="0" collapsed="false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7" t="str">
        <f aca="false">IF(B1759="","",IF(COUNTIF($B$2:B1759,B1759)=1,MAX($AV$1:AV1758)+1,""))</f>
        <v/>
      </c>
    </row>
    <row r="1760" customFormat="false" ht="15" hidden="false" customHeight="false" outlineLevel="0" collapsed="false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7" t="str">
        <f aca="false">IF(B1760="","",IF(COUNTIF($B$2:B1760,B1760)=1,MAX($AV$1:AV1759)+1,""))</f>
        <v/>
      </c>
    </row>
    <row r="1761" customFormat="false" ht="15" hidden="false" customHeight="false" outlineLevel="0" collapsed="false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7" t="str">
        <f aca="false">IF(B1761="","",IF(COUNTIF($B$2:B1761,B1761)=1,MAX($AV$1:AV1760)+1,""))</f>
        <v/>
      </c>
    </row>
    <row r="1762" customFormat="false" ht="15" hidden="false" customHeight="false" outlineLevel="0" collapsed="false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7" t="str">
        <f aca="false">IF(B1762="","",IF(COUNTIF($B$2:B1762,B1762)=1,MAX($AV$1:AV1761)+1,""))</f>
        <v/>
      </c>
    </row>
    <row r="1763" customFormat="false" ht="15" hidden="false" customHeight="false" outlineLevel="0" collapsed="false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7" t="str">
        <f aca="false">IF(B1763="","",IF(COUNTIF($B$2:B1763,B1763)=1,MAX($AV$1:AV1762)+1,""))</f>
        <v/>
      </c>
    </row>
    <row r="1764" customFormat="false" ht="15" hidden="false" customHeight="false" outlineLevel="0" collapsed="false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7" t="str">
        <f aca="false">IF(B1764="","",IF(COUNTIF($B$2:B1764,B1764)=1,MAX($AV$1:AV1763)+1,""))</f>
        <v/>
      </c>
    </row>
    <row r="1765" customFormat="false" ht="15" hidden="false" customHeight="false" outlineLevel="0" collapsed="false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7" t="str">
        <f aca="false">IF(B1765="","",IF(COUNTIF($B$2:B1765,B1765)=1,MAX($AV$1:AV1764)+1,""))</f>
        <v/>
      </c>
    </row>
    <row r="1766" customFormat="false" ht="15" hidden="false" customHeight="false" outlineLevel="0" collapsed="false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7" t="str">
        <f aca="false">IF(B1766="","",IF(COUNTIF($B$2:B1766,B1766)=1,MAX($AV$1:AV1765)+1,""))</f>
        <v/>
      </c>
    </row>
    <row r="1767" customFormat="false" ht="15" hidden="false" customHeight="false" outlineLevel="0" collapsed="false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7" t="str">
        <f aca="false">IF(B1767="","",IF(COUNTIF($B$2:B1767,B1767)=1,MAX($AV$1:AV1766)+1,""))</f>
        <v/>
      </c>
    </row>
    <row r="1768" customFormat="false" ht="15" hidden="false" customHeight="false" outlineLevel="0" collapsed="false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7" t="str">
        <f aca="false">IF(B1768="","",IF(COUNTIF($B$2:B1768,B1768)=1,MAX($AV$1:AV1767)+1,""))</f>
        <v/>
      </c>
    </row>
    <row r="1769" customFormat="false" ht="15" hidden="false" customHeight="false" outlineLevel="0" collapsed="false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7" t="str">
        <f aca="false">IF(B1769="","",IF(COUNTIF($B$2:B1769,B1769)=1,MAX($AV$1:AV1768)+1,""))</f>
        <v/>
      </c>
    </row>
    <row r="1770" customFormat="false" ht="15" hidden="false" customHeight="false" outlineLevel="0" collapsed="false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7" t="str">
        <f aca="false">IF(B1770="","",IF(COUNTIF($B$2:B1770,B1770)=1,MAX($AV$1:AV1769)+1,""))</f>
        <v/>
      </c>
    </row>
    <row r="1771" customFormat="false" ht="15" hidden="false" customHeight="false" outlineLevel="0" collapsed="false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7" t="str">
        <f aca="false">IF(B1771="","",IF(COUNTIF($B$2:B1771,B1771)=1,MAX($AV$1:AV1770)+1,""))</f>
        <v/>
      </c>
    </row>
    <row r="1772" customFormat="false" ht="15" hidden="false" customHeight="false" outlineLevel="0" collapsed="false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7" t="str">
        <f aca="false">IF(B1772="","",IF(COUNTIF($B$2:B1772,B1772)=1,MAX($AV$1:AV1771)+1,""))</f>
        <v/>
      </c>
    </row>
    <row r="1773" customFormat="false" ht="15" hidden="false" customHeight="false" outlineLevel="0" collapsed="false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7" t="str">
        <f aca="false">IF(B1773="","",IF(COUNTIF($B$2:B1773,B1773)=1,MAX($AV$1:AV1772)+1,""))</f>
        <v/>
      </c>
    </row>
    <row r="1774" customFormat="false" ht="15" hidden="false" customHeight="false" outlineLevel="0" collapsed="false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7" t="str">
        <f aca="false">IF(B1774="","",IF(COUNTIF($B$2:B1774,B1774)=1,MAX($AV$1:AV1773)+1,""))</f>
        <v/>
      </c>
    </row>
    <row r="1775" customFormat="false" ht="15" hidden="false" customHeight="false" outlineLevel="0" collapsed="false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7" t="str">
        <f aca="false">IF(B1775="","",IF(COUNTIF($B$2:B1775,B1775)=1,MAX($AV$1:AV1774)+1,""))</f>
        <v/>
      </c>
    </row>
    <row r="1776" customFormat="false" ht="15" hidden="false" customHeight="false" outlineLevel="0" collapsed="false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7" t="str">
        <f aca="false">IF(B1776="","",IF(COUNTIF($B$2:B1776,B1776)=1,MAX($AV$1:AV1775)+1,""))</f>
        <v/>
      </c>
    </row>
    <row r="1777" customFormat="false" ht="15" hidden="false" customHeight="false" outlineLevel="0" collapsed="false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7" t="str">
        <f aca="false">IF(B1777="","",IF(COUNTIF($B$2:B1777,B1777)=1,MAX($AV$1:AV1776)+1,""))</f>
        <v/>
      </c>
    </row>
    <row r="1778" customFormat="false" ht="15" hidden="false" customHeight="false" outlineLevel="0" collapsed="false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7" t="str">
        <f aca="false">IF(B1778="","",IF(COUNTIF($B$2:B1778,B1778)=1,MAX($AV$1:AV1777)+1,""))</f>
        <v/>
      </c>
    </row>
    <row r="1779" customFormat="false" ht="15" hidden="false" customHeight="false" outlineLevel="0" collapsed="false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7" t="str">
        <f aca="false">IF(B1779="","",IF(COUNTIF($B$2:B1779,B1779)=1,MAX($AV$1:AV1778)+1,""))</f>
        <v/>
      </c>
    </row>
    <row r="1780" customFormat="false" ht="15" hidden="false" customHeight="false" outlineLevel="0" collapsed="false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7" t="str">
        <f aca="false">IF(B1780="","",IF(COUNTIF($B$2:B1780,B1780)=1,MAX($AV$1:AV1779)+1,""))</f>
        <v/>
      </c>
    </row>
    <row r="1781" customFormat="false" ht="15" hidden="false" customHeight="false" outlineLevel="0" collapsed="false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7" t="str">
        <f aca="false">IF(B1781="","",IF(COUNTIF($B$2:B1781,B1781)=1,MAX($AV$1:AV1780)+1,""))</f>
        <v/>
      </c>
    </row>
    <row r="1782" customFormat="false" ht="15" hidden="false" customHeight="false" outlineLevel="0" collapsed="false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7" t="str">
        <f aca="false">IF(B1782="","",IF(COUNTIF($B$2:B1782,B1782)=1,MAX($AV$1:AV1781)+1,""))</f>
        <v/>
      </c>
    </row>
    <row r="1783" customFormat="false" ht="15" hidden="false" customHeight="false" outlineLevel="0" collapsed="false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7" t="str">
        <f aca="false">IF(B1783="","",IF(COUNTIF($B$2:B1783,B1783)=1,MAX($AV$1:AV1782)+1,""))</f>
        <v/>
      </c>
    </row>
    <row r="1784" customFormat="false" ht="15" hidden="false" customHeight="false" outlineLevel="0" collapsed="false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7" t="str">
        <f aca="false">IF(B1784="","",IF(COUNTIF($B$2:B1784,B1784)=1,MAX($AV$1:AV1783)+1,""))</f>
        <v/>
      </c>
    </row>
    <row r="1785" customFormat="false" ht="15" hidden="false" customHeight="false" outlineLevel="0" collapsed="false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7" t="str">
        <f aca="false">IF(B1785="","",IF(COUNTIF($B$2:B1785,B1785)=1,MAX($AV$1:AV1784)+1,""))</f>
        <v/>
      </c>
    </row>
    <row r="1786" customFormat="false" ht="15" hidden="false" customHeight="false" outlineLevel="0" collapsed="false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7" t="str">
        <f aca="false">IF(B1786="","",IF(COUNTIF($B$2:B1786,B1786)=1,MAX($AV$1:AV1785)+1,""))</f>
        <v/>
      </c>
    </row>
    <row r="1787" customFormat="false" ht="15" hidden="false" customHeight="false" outlineLevel="0" collapsed="false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7" t="str">
        <f aca="false">IF(B1787="","",IF(COUNTIF($B$2:B1787,B1787)=1,MAX($AV$1:AV1786)+1,""))</f>
        <v/>
      </c>
    </row>
    <row r="1788" customFormat="false" ht="15" hidden="false" customHeight="false" outlineLevel="0" collapsed="false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7" t="str">
        <f aca="false">IF(B1788="","",IF(COUNTIF($B$2:B1788,B1788)=1,MAX($AV$1:AV1787)+1,""))</f>
        <v/>
      </c>
    </row>
    <row r="1789" customFormat="false" ht="15" hidden="false" customHeight="false" outlineLevel="0" collapsed="false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7" t="str">
        <f aca="false">IF(B1789="","",IF(COUNTIF($B$2:B1789,B1789)=1,MAX($AV$1:AV1788)+1,""))</f>
        <v/>
      </c>
    </row>
    <row r="1790" customFormat="false" ht="15" hidden="false" customHeight="false" outlineLevel="0" collapsed="false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7" t="str">
        <f aca="false">IF(B1790="","",IF(COUNTIF($B$2:B1790,B1790)=1,MAX($AV$1:AV1789)+1,""))</f>
        <v/>
      </c>
    </row>
    <row r="1791" customFormat="false" ht="15" hidden="false" customHeight="false" outlineLevel="0" collapsed="false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7" t="str">
        <f aca="false">IF(B1791="","",IF(COUNTIF($B$2:B1791,B1791)=1,MAX($AV$1:AV1790)+1,""))</f>
        <v/>
      </c>
    </row>
    <row r="1792" customFormat="false" ht="15" hidden="false" customHeight="false" outlineLevel="0" collapsed="false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7" t="str">
        <f aca="false">IF(B1792="","",IF(COUNTIF($B$2:B1792,B1792)=1,MAX($AV$1:AV1791)+1,""))</f>
        <v/>
      </c>
    </row>
    <row r="1793" customFormat="false" ht="15" hidden="false" customHeight="false" outlineLevel="0" collapsed="false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7" t="str">
        <f aca="false">IF(B1793="","",IF(COUNTIF($B$2:B1793,B1793)=1,MAX($AV$1:AV1792)+1,""))</f>
        <v/>
      </c>
    </row>
    <row r="1794" customFormat="false" ht="15" hidden="false" customHeight="false" outlineLevel="0" collapsed="false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7" t="str">
        <f aca="false">IF(B1794="","",IF(COUNTIF($B$2:B1794,B1794)=1,MAX($AV$1:AV1793)+1,""))</f>
        <v/>
      </c>
    </row>
    <row r="1795" customFormat="false" ht="15" hidden="false" customHeight="false" outlineLevel="0" collapsed="false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7" t="str">
        <f aca="false">IF(B1795="","",IF(COUNTIF($B$2:B1795,B1795)=1,MAX($AV$1:AV1794)+1,""))</f>
        <v/>
      </c>
    </row>
    <row r="1796" customFormat="false" ht="15" hidden="false" customHeight="false" outlineLevel="0" collapsed="false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7" t="str">
        <f aca="false">IF(B1796="","",IF(COUNTIF($B$2:B1796,B1796)=1,MAX($AV$1:AV1795)+1,""))</f>
        <v/>
      </c>
    </row>
    <row r="1797" customFormat="false" ht="15" hidden="false" customHeight="false" outlineLevel="0" collapsed="false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7" t="str">
        <f aca="false">IF(B1797="","",IF(COUNTIF($B$2:B1797,B1797)=1,MAX($AV$1:AV1796)+1,""))</f>
        <v/>
      </c>
    </row>
    <row r="1798" customFormat="false" ht="15" hidden="false" customHeight="false" outlineLevel="0" collapsed="false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7" t="str">
        <f aca="false">IF(B1798="","",IF(COUNTIF($B$2:B1798,B1798)=1,MAX($AV$1:AV1797)+1,""))</f>
        <v/>
      </c>
    </row>
    <row r="1799" customFormat="false" ht="15" hidden="false" customHeight="false" outlineLevel="0" collapsed="false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7" t="str">
        <f aca="false">IF(B1799="","",IF(COUNTIF($B$2:B1799,B1799)=1,MAX($AV$1:AV1798)+1,""))</f>
        <v/>
      </c>
    </row>
    <row r="1800" customFormat="false" ht="15" hidden="false" customHeight="false" outlineLevel="0" collapsed="false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7" t="str">
        <f aca="false">IF(B1800="","",IF(COUNTIF($B$2:B1800,B1800)=1,MAX($AV$1:AV1799)+1,""))</f>
        <v/>
      </c>
    </row>
    <row r="1801" customFormat="false" ht="15" hidden="false" customHeight="false" outlineLevel="0" collapsed="false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7" t="str">
        <f aca="false">IF(B1801="","",IF(COUNTIF($B$2:B1801,B1801)=1,MAX($AV$1:AV1800)+1,""))</f>
        <v/>
      </c>
    </row>
    <row r="1802" customFormat="false" ht="15" hidden="false" customHeight="false" outlineLevel="0" collapsed="false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7" t="str">
        <f aca="false">IF(B1802="","",IF(COUNTIF($B$2:B1802,B1802)=1,MAX($AV$1:AV1801)+1,""))</f>
        <v/>
      </c>
    </row>
    <row r="1803" customFormat="false" ht="15" hidden="false" customHeight="false" outlineLevel="0" collapsed="false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7" t="str">
        <f aca="false">IF(B1803="","",IF(COUNTIF($B$2:B1803,B1803)=1,MAX($AV$1:AV1802)+1,""))</f>
        <v/>
      </c>
    </row>
    <row r="1804" customFormat="false" ht="15" hidden="false" customHeight="false" outlineLevel="0" collapsed="false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7" t="str">
        <f aca="false">IF(B1804="","",IF(COUNTIF($B$2:B1804,B1804)=1,MAX($AV$1:AV1803)+1,""))</f>
        <v/>
      </c>
    </row>
    <row r="1805" customFormat="false" ht="15" hidden="false" customHeight="false" outlineLevel="0" collapsed="false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7" t="str">
        <f aca="false">IF(B1805="","",IF(COUNTIF($B$2:B1805,B1805)=1,MAX($AV$1:AV1804)+1,""))</f>
        <v/>
      </c>
    </row>
    <row r="1806" customFormat="false" ht="15" hidden="false" customHeight="false" outlineLevel="0" collapsed="false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7" t="str">
        <f aca="false">IF(B1806="","",IF(COUNTIF($B$2:B1806,B1806)=1,MAX($AV$1:AV1805)+1,""))</f>
        <v/>
      </c>
    </row>
    <row r="1807" customFormat="false" ht="15" hidden="false" customHeight="false" outlineLevel="0" collapsed="false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7" t="str">
        <f aca="false">IF(B1807="","",IF(COUNTIF($B$2:B1807,B1807)=1,MAX($AV$1:AV1806)+1,""))</f>
        <v/>
      </c>
    </row>
    <row r="1808" customFormat="false" ht="15" hidden="false" customHeight="false" outlineLevel="0" collapsed="false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7" t="str">
        <f aca="false">IF(B1808="","",IF(COUNTIF($B$2:B1808,B1808)=1,MAX($AV$1:AV1807)+1,""))</f>
        <v/>
      </c>
    </row>
    <row r="1809" customFormat="false" ht="15" hidden="false" customHeight="false" outlineLevel="0" collapsed="false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7" t="str">
        <f aca="false">IF(B1809="","",IF(COUNTIF($B$2:B1809,B1809)=1,MAX($AV$1:AV1808)+1,""))</f>
        <v/>
      </c>
    </row>
    <row r="1810" customFormat="false" ht="15" hidden="false" customHeight="false" outlineLevel="0" collapsed="false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7" t="str">
        <f aca="false">IF(B1810="","",IF(COUNTIF($B$2:B1810,B1810)=1,MAX($AV$1:AV1809)+1,""))</f>
        <v/>
      </c>
    </row>
    <row r="1811" customFormat="false" ht="15" hidden="false" customHeight="false" outlineLevel="0" collapsed="false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7" t="str">
        <f aca="false">IF(B1811="","",IF(COUNTIF($B$2:B1811,B1811)=1,MAX($AV$1:AV1810)+1,""))</f>
        <v/>
      </c>
    </row>
    <row r="1812" customFormat="false" ht="15" hidden="false" customHeight="false" outlineLevel="0" collapsed="false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7" t="str">
        <f aca="false">IF(B1812="","",IF(COUNTIF($B$2:B1812,B1812)=1,MAX($AV$1:AV1811)+1,""))</f>
        <v/>
      </c>
    </row>
    <row r="1813" customFormat="false" ht="15" hidden="false" customHeight="false" outlineLevel="0" collapsed="false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7" t="str">
        <f aca="false">IF(B1813="","",IF(COUNTIF($B$2:B1813,B1813)=1,MAX($AV$1:AV1812)+1,""))</f>
        <v/>
      </c>
    </row>
    <row r="1814" customFormat="false" ht="15" hidden="false" customHeight="false" outlineLevel="0" collapsed="false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7" t="str">
        <f aca="false">IF(B1814="","",IF(COUNTIF($B$2:B1814,B1814)=1,MAX($AV$1:AV1813)+1,""))</f>
        <v/>
      </c>
    </row>
    <row r="1815" customFormat="false" ht="15" hidden="false" customHeight="false" outlineLevel="0" collapsed="false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7" t="str">
        <f aca="false">IF(B1815="","",IF(COUNTIF($B$2:B1815,B1815)=1,MAX($AV$1:AV1814)+1,""))</f>
        <v/>
      </c>
    </row>
    <row r="1816" customFormat="false" ht="15" hidden="false" customHeight="false" outlineLevel="0" collapsed="false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7" t="str">
        <f aca="false">IF(B1816="","",IF(COUNTIF($B$2:B1816,B1816)=1,MAX($AV$1:AV1815)+1,""))</f>
        <v/>
      </c>
    </row>
    <row r="1817" customFormat="false" ht="15" hidden="false" customHeight="false" outlineLevel="0" collapsed="false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7" t="str">
        <f aca="false">IF(B1817="","",IF(COUNTIF($B$2:B1817,B1817)=1,MAX($AV$1:AV1816)+1,""))</f>
        <v/>
      </c>
    </row>
    <row r="1818" customFormat="false" ht="15" hidden="false" customHeight="false" outlineLevel="0" collapsed="false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7" t="str">
        <f aca="false">IF(B1818="","",IF(COUNTIF($B$2:B1818,B1818)=1,MAX($AV$1:AV1817)+1,""))</f>
        <v/>
      </c>
    </row>
    <row r="1819" customFormat="false" ht="15" hidden="false" customHeight="false" outlineLevel="0" collapsed="false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7" t="str">
        <f aca="false">IF(B1819="","",IF(COUNTIF($B$2:B1819,B1819)=1,MAX($AV$1:AV1818)+1,""))</f>
        <v/>
      </c>
    </row>
    <row r="1820" customFormat="false" ht="15" hidden="false" customHeight="false" outlineLevel="0" collapsed="false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7" t="str">
        <f aca="false">IF(B1820="","",IF(COUNTIF($B$2:B1820,B1820)=1,MAX($AV$1:AV1819)+1,""))</f>
        <v/>
      </c>
    </row>
    <row r="1821" customFormat="false" ht="15" hidden="false" customHeight="false" outlineLevel="0" collapsed="false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7" t="str">
        <f aca="false">IF(B1821="","",IF(COUNTIF($B$2:B1821,B1821)=1,MAX($AV$1:AV1820)+1,""))</f>
        <v/>
      </c>
    </row>
    <row r="1822" customFormat="false" ht="15" hidden="false" customHeight="false" outlineLevel="0" collapsed="false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7" t="str">
        <f aca="false">IF(B1822="","",IF(COUNTIF($B$2:B1822,B1822)=1,MAX($AV$1:AV1821)+1,""))</f>
        <v/>
      </c>
    </row>
    <row r="1823" customFormat="false" ht="15" hidden="false" customHeight="false" outlineLevel="0" collapsed="false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7" t="str">
        <f aca="false">IF(B1823="","",IF(COUNTIF($B$2:B1823,B1823)=1,MAX($AV$1:AV1822)+1,""))</f>
        <v/>
      </c>
    </row>
    <row r="1824" customFormat="false" ht="15" hidden="false" customHeight="false" outlineLevel="0" collapsed="false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7" t="str">
        <f aca="false">IF(B1824="","",IF(COUNTIF($B$2:B1824,B1824)=1,MAX($AV$1:AV1823)+1,""))</f>
        <v/>
      </c>
    </row>
    <row r="1825" customFormat="false" ht="15" hidden="false" customHeight="false" outlineLevel="0" collapsed="false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7" t="str">
        <f aca="false">IF(B1825="","",IF(COUNTIF($B$2:B1825,B1825)=1,MAX($AV$1:AV1824)+1,""))</f>
        <v/>
      </c>
    </row>
    <row r="1826" customFormat="false" ht="15" hidden="false" customHeight="false" outlineLevel="0" collapsed="false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7" t="str">
        <f aca="false">IF(B1826="","",IF(COUNTIF($B$2:B1826,B1826)=1,MAX($AV$1:AV1825)+1,""))</f>
        <v/>
      </c>
    </row>
    <row r="1827" customFormat="false" ht="15" hidden="false" customHeight="false" outlineLevel="0" collapsed="false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7" t="str">
        <f aca="false">IF(B1827="","",IF(COUNTIF($B$2:B1827,B1827)=1,MAX($AV$1:AV1826)+1,""))</f>
        <v/>
      </c>
    </row>
    <row r="1828" customFormat="false" ht="15" hidden="false" customHeight="false" outlineLevel="0" collapsed="false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7" t="str">
        <f aca="false">IF(B1828="","",IF(COUNTIF($B$2:B1828,B1828)=1,MAX($AV$1:AV1827)+1,""))</f>
        <v/>
      </c>
    </row>
    <row r="1829" customFormat="false" ht="15" hidden="false" customHeight="false" outlineLevel="0" collapsed="false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7" t="str">
        <f aca="false">IF(B1829="","",IF(COUNTIF($B$2:B1829,B1829)=1,MAX($AV$1:AV1828)+1,""))</f>
        <v/>
      </c>
    </row>
    <row r="1830" customFormat="false" ht="15" hidden="false" customHeight="false" outlineLevel="0" collapsed="false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7" t="str">
        <f aca="false">IF(B1830="","",IF(COUNTIF($B$2:B1830,B1830)=1,MAX($AV$1:AV1829)+1,""))</f>
        <v/>
      </c>
    </row>
    <row r="1831" customFormat="false" ht="15" hidden="false" customHeight="false" outlineLevel="0" collapsed="false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7" t="str">
        <f aca="false">IF(B1831="","",IF(COUNTIF($B$2:B1831,B1831)=1,MAX($AV$1:AV1830)+1,""))</f>
        <v/>
      </c>
    </row>
    <row r="1832" customFormat="false" ht="15" hidden="false" customHeight="false" outlineLevel="0" collapsed="false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7" t="str">
        <f aca="false">IF(B1832="","",IF(COUNTIF($B$2:B1832,B1832)=1,MAX($AV$1:AV1831)+1,""))</f>
        <v/>
      </c>
    </row>
    <row r="1833" customFormat="false" ht="15" hidden="false" customHeight="false" outlineLevel="0" collapsed="false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7" t="str">
        <f aca="false">IF(B1833="","",IF(COUNTIF($B$2:B1833,B1833)=1,MAX($AV$1:AV1832)+1,""))</f>
        <v/>
      </c>
    </row>
    <row r="1834" customFormat="false" ht="15" hidden="false" customHeight="false" outlineLevel="0" collapsed="false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7" t="str">
        <f aca="false">IF(B1834="","",IF(COUNTIF($B$2:B1834,B1834)=1,MAX($AV$1:AV1833)+1,""))</f>
        <v/>
      </c>
    </row>
    <row r="1835" customFormat="false" ht="15" hidden="false" customHeight="false" outlineLevel="0" collapsed="false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7" t="str">
        <f aca="false">IF(B1835="","",IF(COUNTIF($B$2:B1835,B1835)=1,MAX($AV$1:AV1834)+1,""))</f>
        <v/>
      </c>
    </row>
    <row r="1836" customFormat="false" ht="15" hidden="false" customHeight="false" outlineLevel="0" collapsed="false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7" t="str">
        <f aca="false">IF(B1836="","",IF(COUNTIF($B$2:B1836,B1836)=1,MAX($AV$1:AV1835)+1,""))</f>
        <v/>
      </c>
    </row>
    <row r="1837" customFormat="false" ht="15" hidden="false" customHeight="false" outlineLevel="0" collapsed="false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7" t="str">
        <f aca="false">IF(B1837="","",IF(COUNTIF($B$2:B1837,B1837)=1,MAX($AV$1:AV1836)+1,""))</f>
        <v/>
      </c>
    </row>
    <row r="1838" customFormat="false" ht="15" hidden="false" customHeight="false" outlineLevel="0" collapsed="false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7" t="str">
        <f aca="false">IF(B1838="","",IF(COUNTIF($B$2:B1838,B1838)=1,MAX($AV$1:AV1837)+1,""))</f>
        <v/>
      </c>
    </row>
    <row r="1839" customFormat="false" ht="15" hidden="false" customHeight="false" outlineLevel="0" collapsed="false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7" t="str">
        <f aca="false">IF(B1839="","",IF(COUNTIF($B$2:B1839,B1839)=1,MAX($AV$1:AV1838)+1,""))</f>
        <v/>
      </c>
    </row>
    <row r="1840" customFormat="false" ht="15" hidden="false" customHeight="false" outlineLevel="0" collapsed="false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7" t="str">
        <f aca="false">IF(B1840="","",IF(COUNTIF($B$2:B1840,B1840)=1,MAX($AV$1:AV1839)+1,""))</f>
        <v/>
      </c>
    </row>
    <row r="1841" customFormat="false" ht="15" hidden="false" customHeight="false" outlineLevel="0" collapsed="false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7" t="str">
        <f aca="false">IF(B1841="","",IF(COUNTIF($B$2:B1841,B1841)=1,MAX($AV$1:AV1840)+1,""))</f>
        <v/>
      </c>
    </row>
    <row r="1842" customFormat="false" ht="15" hidden="false" customHeight="false" outlineLevel="0" collapsed="false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7" t="str">
        <f aca="false">IF(B1842="","",IF(COUNTIF($B$2:B1842,B1842)=1,MAX($AV$1:AV1841)+1,""))</f>
        <v/>
      </c>
    </row>
    <row r="1843" customFormat="false" ht="15" hidden="false" customHeight="false" outlineLevel="0" collapsed="false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7" t="str">
        <f aca="false">IF(B1843="","",IF(COUNTIF($B$2:B1843,B1843)=1,MAX($AV$1:AV1842)+1,""))</f>
        <v/>
      </c>
    </row>
    <row r="1844" customFormat="false" ht="15" hidden="false" customHeight="false" outlineLevel="0" collapsed="false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7" t="str">
        <f aca="false">IF(B1844="","",IF(COUNTIF($B$2:B1844,B1844)=1,MAX($AV$1:AV1843)+1,""))</f>
        <v/>
      </c>
    </row>
    <row r="1845" customFormat="false" ht="15" hidden="false" customHeight="false" outlineLevel="0" collapsed="false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7" t="str">
        <f aca="false">IF(B1845="","",IF(COUNTIF($B$2:B1845,B1845)=1,MAX($AV$1:AV1844)+1,""))</f>
        <v/>
      </c>
    </row>
    <row r="1846" customFormat="false" ht="15" hidden="false" customHeight="false" outlineLevel="0" collapsed="false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7" t="str">
        <f aca="false">IF(B1846="","",IF(COUNTIF($B$2:B1846,B1846)=1,MAX($AV$1:AV1845)+1,""))</f>
        <v/>
      </c>
    </row>
    <row r="1847" customFormat="false" ht="15" hidden="false" customHeight="false" outlineLevel="0" collapsed="false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7" t="str">
        <f aca="false">IF(B1847="","",IF(COUNTIF($B$2:B1847,B1847)=1,MAX($AV$1:AV1846)+1,""))</f>
        <v/>
      </c>
    </row>
    <row r="1848" customFormat="false" ht="15" hidden="false" customHeight="false" outlineLevel="0" collapsed="false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7" t="str">
        <f aca="false">IF(B1848="","",IF(COUNTIF($B$2:B1848,B1848)=1,MAX($AV$1:AV1847)+1,""))</f>
        <v/>
      </c>
    </row>
    <row r="1849" customFormat="false" ht="15" hidden="false" customHeight="false" outlineLevel="0" collapsed="false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7" t="str">
        <f aca="false">IF(B1849="","",IF(COUNTIF($B$2:B1849,B1849)=1,MAX($AV$1:AV1848)+1,""))</f>
        <v/>
      </c>
    </row>
    <row r="1850" customFormat="false" ht="15" hidden="false" customHeight="false" outlineLevel="0" collapsed="false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7" t="str">
        <f aca="false">IF(B1850="","",IF(COUNTIF($B$2:B1850,B1850)=1,MAX($AV$1:AV1849)+1,""))</f>
        <v/>
      </c>
    </row>
    <row r="1851" customFormat="false" ht="15" hidden="false" customHeight="false" outlineLevel="0" collapsed="false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7" t="str">
        <f aca="false">IF(B1851="","",IF(COUNTIF($B$2:B1851,B1851)=1,MAX($AV$1:AV1850)+1,""))</f>
        <v/>
      </c>
    </row>
    <row r="1852" customFormat="false" ht="15" hidden="false" customHeight="false" outlineLevel="0" collapsed="false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7" t="str">
        <f aca="false">IF(B1852="","",IF(COUNTIF($B$2:B1852,B1852)=1,MAX($AV$1:AV1851)+1,""))</f>
        <v/>
      </c>
    </row>
    <row r="1853" customFormat="false" ht="15" hidden="false" customHeight="false" outlineLevel="0" collapsed="false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7" t="str">
        <f aca="false">IF(B1853="","",IF(COUNTIF($B$2:B1853,B1853)=1,MAX($AV$1:AV1852)+1,""))</f>
        <v/>
      </c>
    </row>
    <row r="1854" customFormat="false" ht="15" hidden="false" customHeight="false" outlineLevel="0" collapsed="false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7" t="str">
        <f aca="false">IF(B1854="","",IF(COUNTIF($B$2:B1854,B1854)=1,MAX($AV$1:AV1853)+1,""))</f>
        <v/>
      </c>
    </row>
    <row r="1855" customFormat="false" ht="15" hidden="false" customHeight="false" outlineLevel="0" collapsed="false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7" t="str">
        <f aca="false">IF(B1855="","",IF(COUNTIF($B$2:B1855,B1855)=1,MAX($AV$1:AV1854)+1,""))</f>
        <v/>
      </c>
    </row>
    <row r="1856" customFormat="false" ht="15" hidden="false" customHeight="false" outlineLevel="0" collapsed="false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7" t="str">
        <f aca="false">IF(B1856="","",IF(COUNTIF($B$2:B1856,B1856)=1,MAX($AV$1:AV1855)+1,""))</f>
        <v/>
      </c>
    </row>
    <row r="1857" customFormat="false" ht="15" hidden="false" customHeight="false" outlineLevel="0" collapsed="false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7" t="str">
        <f aca="false">IF(B1857="","",IF(COUNTIF($B$2:B1857,B1857)=1,MAX($AV$1:AV1856)+1,""))</f>
        <v/>
      </c>
    </row>
    <row r="1858" customFormat="false" ht="15" hidden="false" customHeight="false" outlineLevel="0" collapsed="false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7" t="str">
        <f aca="false">IF(B1858="","",IF(COUNTIF($B$2:B1858,B1858)=1,MAX($AV$1:AV1857)+1,""))</f>
        <v/>
      </c>
    </row>
    <row r="1859" customFormat="false" ht="15" hidden="false" customHeight="false" outlineLevel="0" collapsed="false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7" t="str">
        <f aca="false">IF(B1859="","",IF(COUNTIF($B$2:B1859,B1859)=1,MAX($AV$1:AV1858)+1,""))</f>
        <v/>
      </c>
    </row>
    <row r="1860" customFormat="false" ht="15" hidden="false" customHeight="false" outlineLevel="0" collapsed="false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7" t="str">
        <f aca="false">IF(B1860="","",IF(COUNTIF($B$2:B1860,B1860)=1,MAX($AV$1:AV1859)+1,""))</f>
        <v/>
      </c>
    </row>
    <row r="1861" customFormat="false" ht="15" hidden="false" customHeight="false" outlineLevel="0" collapsed="false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7" t="str">
        <f aca="false">IF(B1861="","",IF(COUNTIF($B$2:B1861,B1861)=1,MAX($AV$1:AV1860)+1,""))</f>
        <v/>
      </c>
    </row>
    <row r="1862" customFormat="false" ht="15" hidden="false" customHeight="false" outlineLevel="0" collapsed="false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7" t="str">
        <f aca="false">IF(B1862="","",IF(COUNTIF($B$2:B1862,B1862)=1,MAX($AV$1:AV1861)+1,""))</f>
        <v/>
      </c>
    </row>
    <row r="1863" customFormat="false" ht="15" hidden="false" customHeight="false" outlineLevel="0" collapsed="false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7" t="str">
        <f aca="false">IF(B1863="","",IF(COUNTIF($B$2:B1863,B1863)=1,MAX($AV$1:AV1862)+1,""))</f>
        <v/>
      </c>
    </row>
    <row r="1864" customFormat="false" ht="15" hidden="false" customHeight="false" outlineLevel="0" collapsed="false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7" t="str">
        <f aca="false">IF(B1864="","",IF(COUNTIF($B$2:B1864,B1864)=1,MAX($AV$1:AV1863)+1,""))</f>
        <v/>
      </c>
    </row>
    <row r="1865" customFormat="false" ht="15" hidden="false" customHeight="false" outlineLevel="0" collapsed="false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7" t="str">
        <f aca="false">IF(B1865="","",IF(COUNTIF($B$2:B1865,B1865)=1,MAX($AV$1:AV1864)+1,""))</f>
        <v/>
      </c>
    </row>
    <row r="1866" customFormat="false" ht="15" hidden="false" customHeight="false" outlineLevel="0" collapsed="false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7" t="str">
        <f aca="false">IF(B1866="","",IF(COUNTIF($B$2:B1866,B1866)=1,MAX($AV$1:AV1865)+1,""))</f>
        <v/>
      </c>
    </row>
    <row r="1867" customFormat="false" ht="15" hidden="false" customHeight="false" outlineLevel="0" collapsed="false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7" t="str">
        <f aca="false">IF(B1867="","",IF(COUNTIF($B$2:B1867,B1867)=1,MAX($AV$1:AV1866)+1,""))</f>
        <v/>
      </c>
    </row>
    <row r="1868" customFormat="false" ht="15" hidden="false" customHeight="false" outlineLevel="0" collapsed="false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7" t="str">
        <f aca="false">IF(B1868="","",IF(COUNTIF($B$2:B1868,B1868)=1,MAX($AV$1:AV1867)+1,""))</f>
        <v/>
      </c>
    </row>
    <row r="1869" customFormat="false" ht="15" hidden="false" customHeight="false" outlineLevel="0" collapsed="false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7" t="str">
        <f aca="false">IF(B1869="","",IF(COUNTIF($B$2:B1869,B1869)=1,MAX($AV$1:AV1868)+1,""))</f>
        <v/>
      </c>
    </row>
    <row r="1870" customFormat="false" ht="15" hidden="false" customHeight="false" outlineLevel="0" collapsed="false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7" t="str">
        <f aca="false">IF(B1870="","",IF(COUNTIF($B$2:B1870,B1870)=1,MAX($AV$1:AV1869)+1,""))</f>
        <v/>
      </c>
    </row>
    <row r="1871" customFormat="false" ht="15" hidden="false" customHeight="false" outlineLevel="0" collapsed="false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7" t="str">
        <f aca="false">IF(B1871="","",IF(COUNTIF($B$2:B1871,B1871)=1,MAX($AV$1:AV1870)+1,""))</f>
        <v/>
      </c>
    </row>
    <row r="1872" customFormat="false" ht="15" hidden="false" customHeight="false" outlineLevel="0" collapsed="false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7" t="str">
        <f aca="false">IF(B1872="","",IF(COUNTIF($B$2:B1872,B1872)=1,MAX($AV$1:AV1871)+1,""))</f>
        <v/>
      </c>
    </row>
    <row r="1873" customFormat="false" ht="15" hidden="false" customHeight="false" outlineLevel="0" collapsed="false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7" t="str">
        <f aca="false">IF(B1873="","",IF(COUNTIF($B$2:B1873,B1873)=1,MAX($AV$1:AV1872)+1,""))</f>
        <v/>
      </c>
    </row>
    <row r="1874" customFormat="false" ht="15" hidden="false" customHeight="false" outlineLevel="0" collapsed="false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7" t="str">
        <f aca="false">IF(B1874="","",IF(COUNTIF($B$2:B1874,B1874)=1,MAX($AV$1:AV1873)+1,""))</f>
        <v/>
      </c>
    </row>
    <row r="1875" customFormat="false" ht="15" hidden="false" customHeight="false" outlineLevel="0" collapsed="false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7" t="str">
        <f aca="false">IF(B1875="","",IF(COUNTIF($B$2:B1875,B1875)=1,MAX($AV$1:AV1874)+1,""))</f>
        <v/>
      </c>
    </row>
    <row r="1876" customFormat="false" ht="15" hidden="false" customHeight="false" outlineLevel="0" collapsed="false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7" t="str">
        <f aca="false">IF(B1876="","",IF(COUNTIF($B$2:B1876,B1876)=1,MAX($AV$1:AV1875)+1,""))</f>
        <v/>
      </c>
    </row>
    <row r="1877" customFormat="false" ht="15" hidden="false" customHeight="false" outlineLevel="0" collapsed="false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7" t="str">
        <f aca="false">IF(B1877="","",IF(COUNTIF($B$2:B1877,B1877)=1,MAX($AV$1:AV1876)+1,""))</f>
        <v/>
      </c>
    </row>
    <row r="1878" customFormat="false" ht="15" hidden="false" customHeight="false" outlineLevel="0" collapsed="false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7" t="str">
        <f aca="false">IF(B1878="","",IF(COUNTIF($B$2:B1878,B1878)=1,MAX($AV$1:AV1877)+1,""))</f>
        <v/>
      </c>
    </row>
    <row r="1879" customFormat="false" ht="15" hidden="false" customHeight="false" outlineLevel="0" collapsed="false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7" t="str">
        <f aca="false">IF(B1879="","",IF(COUNTIF($B$2:B1879,B1879)=1,MAX($AV$1:AV1878)+1,""))</f>
        <v/>
      </c>
    </row>
    <row r="1880" customFormat="false" ht="15" hidden="false" customHeight="false" outlineLevel="0" collapsed="false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7" t="str">
        <f aca="false">IF(B1880="","",IF(COUNTIF($B$2:B1880,B1880)=1,MAX($AV$1:AV1879)+1,""))</f>
        <v/>
      </c>
    </row>
    <row r="1881" customFormat="false" ht="15" hidden="false" customHeight="false" outlineLevel="0" collapsed="false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7" t="str">
        <f aca="false">IF(B1881="","",IF(COUNTIF($B$2:B1881,B1881)=1,MAX($AV$1:AV1880)+1,""))</f>
        <v/>
      </c>
    </row>
    <row r="1882" customFormat="false" ht="15" hidden="false" customHeight="false" outlineLevel="0" collapsed="false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7" t="str">
        <f aca="false">IF(B1882="","",IF(COUNTIF($B$2:B1882,B1882)=1,MAX($AV$1:AV1881)+1,""))</f>
        <v/>
      </c>
    </row>
    <row r="1883" customFormat="false" ht="15" hidden="false" customHeight="false" outlineLevel="0" collapsed="false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7" t="str">
        <f aca="false">IF(B1883="","",IF(COUNTIF($B$2:B1883,B1883)=1,MAX($AV$1:AV1882)+1,""))</f>
        <v/>
      </c>
    </row>
    <row r="1884" customFormat="false" ht="15" hidden="false" customHeight="false" outlineLevel="0" collapsed="false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7" t="str">
        <f aca="false">IF(B1884="","",IF(COUNTIF($B$2:B1884,B1884)=1,MAX($AV$1:AV1883)+1,""))</f>
        <v/>
      </c>
    </row>
    <row r="1885" customFormat="false" ht="15" hidden="false" customHeight="false" outlineLevel="0" collapsed="false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7" t="str">
        <f aca="false">IF(B1885="","",IF(COUNTIF($B$2:B1885,B1885)=1,MAX($AV$1:AV1884)+1,""))</f>
        <v/>
      </c>
    </row>
    <row r="1886" customFormat="false" ht="15" hidden="false" customHeight="false" outlineLevel="0" collapsed="false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7" t="str">
        <f aca="false">IF(B1886="","",IF(COUNTIF($B$2:B1886,B1886)=1,MAX($AV$1:AV1885)+1,""))</f>
        <v/>
      </c>
    </row>
    <row r="1887" customFormat="false" ht="15" hidden="false" customHeight="false" outlineLevel="0" collapsed="false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7" t="str">
        <f aca="false">IF(B1887="","",IF(COUNTIF($B$2:B1887,B1887)=1,MAX($AV$1:AV1886)+1,""))</f>
        <v/>
      </c>
    </row>
    <row r="1888" customFormat="false" ht="15" hidden="false" customHeight="false" outlineLevel="0" collapsed="false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7" t="str">
        <f aca="false">IF(B1888="","",IF(COUNTIF($B$2:B1888,B1888)=1,MAX($AV$1:AV1887)+1,""))</f>
        <v/>
      </c>
    </row>
    <row r="1889" customFormat="false" ht="15" hidden="false" customHeight="false" outlineLevel="0" collapsed="false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7" t="str">
        <f aca="false">IF(B1889="","",IF(COUNTIF($B$2:B1889,B1889)=1,MAX($AV$1:AV1888)+1,""))</f>
        <v/>
      </c>
    </row>
    <row r="1890" customFormat="false" ht="15" hidden="false" customHeight="false" outlineLevel="0" collapsed="false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7" t="str">
        <f aca="false">IF(B1890="","",IF(COUNTIF($B$2:B1890,B1890)=1,MAX($AV$1:AV1889)+1,""))</f>
        <v/>
      </c>
    </row>
    <row r="1891" customFormat="false" ht="15" hidden="false" customHeight="false" outlineLevel="0" collapsed="false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7" t="str">
        <f aca="false">IF(B1891="","",IF(COUNTIF($B$2:B1891,B1891)=1,MAX($AV$1:AV1890)+1,""))</f>
        <v/>
      </c>
    </row>
    <row r="1892" customFormat="false" ht="15" hidden="false" customHeight="false" outlineLevel="0" collapsed="false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7" t="str">
        <f aca="false">IF(B1892="","",IF(COUNTIF($B$2:B1892,B1892)=1,MAX($AV$1:AV1891)+1,""))</f>
        <v/>
      </c>
    </row>
    <row r="1893" customFormat="false" ht="15" hidden="false" customHeight="false" outlineLevel="0" collapsed="false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7" t="str">
        <f aca="false">IF(B1893="","",IF(COUNTIF($B$2:B1893,B1893)=1,MAX($AV$1:AV1892)+1,""))</f>
        <v/>
      </c>
    </row>
    <row r="1894" customFormat="false" ht="15" hidden="false" customHeight="false" outlineLevel="0" collapsed="false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7" t="str">
        <f aca="false">IF(B1894="","",IF(COUNTIF($B$2:B1894,B1894)=1,MAX($AV$1:AV1893)+1,""))</f>
        <v/>
      </c>
    </row>
    <row r="1895" customFormat="false" ht="15" hidden="false" customHeight="false" outlineLevel="0" collapsed="false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7" t="str">
        <f aca="false">IF(B1895="","",IF(COUNTIF($B$2:B1895,B1895)=1,MAX($AV$1:AV1894)+1,""))</f>
        <v/>
      </c>
    </row>
    <row r="1896" customFormat="false" ht="15" hidden="false" customHeight="false" outlineLevel="0" collapsed="false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7" t="str">
        <f aca="false">IF(B1896="","",IF(COUNTIF($B$2:B1896,B1896)=1,MAX($AV$1:AV1895)+1,""))</f>
        <v/>
      </c>
    </row>
    <row r="1897" customFormat="false" ht="15" hidden="false" customHeight="false" outlineLevel="0" collapsed="false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7" t="str">
        <f aca="false">IF(B1897="","",IF(COUNTIF($B$2:B1897,B1897)=1,MAX($AV$1:AV1896)+1,""))</f>
        <v/>
      </c>
    </row>
    <row r="1898" customFormat="false" ht="15" hidden="false" customHeight="false" outlineLevel="0" collapsed="false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7" t="str">
        <f aca="false">IF(B1898="","",IF(COUNTIF($B$2:B1898,B1898)=1,MAX($AV$1:AV1897)+1,""))</f>
        <v/>
      </c>
    </row>
    <row r="1899" customFormat="false" ht="15" hidden="false" customHeight="false" outlineLevel="0" collapsed="false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7" t="str">
        <f aca="false">IF(B1899="","",IF(COUNTIF($B$2:B1899,B1899)=1,MAX($AV$1:AV1898)+1,""))</f>
        <v/>
      </c>
    </row>
    <row r="1900" customFormat="false" ht="15" hidden="false" customHeight="false" outlineLevel="0" collapsed="false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7" t="str">
        <f aca="false">IF(B1900="","",IF(COUNTIF($B$2:B1900,B1900)=1,MAX($AV$1:AV1899)+1,""))</f>
        <v/>
      </c>
    </row>
    <row r="1901" customFormat="false" ht="15" hidden="false" customHeight="false" outlineLevel="0" collapsed="false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7" t="str">
        <f aca="false">IF(B1901="","",IF(COUNTIF($B$2:B1901,B1901)=1,MAX($AV$1:AV1900)+1,""))</f>
        <v/>
      </c>
    </row>
    <row r="1902" customFormat="false" ht="15" hidden="false" customHeight="false" outlineLevel="0" collapsed="false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7" t="str">
        <f aca="false">IF(B1902="","",IF(COUNTIF($B$2:B1902,B1902)=1,MAX($AV$1:AV1901)+1,""))</f>
        <v/>
      </c>
    </row>
    <row r="1903" customFormat="false" ht="15" hidden="false" customHeight="false" outlineLevel="0" collapsed="false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7" t="str">
        <f aca="false">IF(B1903="","",IF(COUNTIF($B$2:B1903,B1903)=1,MAX($AV$1:AV1902)+1,""))</f>
        <v/>
      </c>
    </row>
    <row r="1904" customFormat="false" ht="15" hidden="false" customHeight="false" outlineLevel="0" collapsed="false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7" t="str">
        <f aca="false">IF(B1904="","",IF(COUNTIF($B$2:B1904,B1904)=1,MAX($AV$1:AV1903)+1,""))</f>
        <v/>
      </c>
    </row>
    <row r="1905" customFormat="false" ht="15" hidden="false" customHeight="false" outlineLevel="0" collapsed="false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7" t="str">
        <f aca="false">IF(B1905="","",IF(COUNTIF($B$2:B1905,B1905)=1,MAX($AV$1:AV1904)+1,""))</f>
        <v/>
      </c>
    </row>
    <row r="1906" customFormat="false" ht="15" hidden="false" customHeight="false" outlineLevel="0" collapsed="false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7" t="str">
        <f aca="false">IF(B1906="","",IF(COUNTIF($B$2:B1906,B1906)=1,MAX($AV$1:AV1905)+1,""))</f>
        <v/>
      </c>
    </row>
    <row r="1907" customFormat="false" ht="15" hidden="false" customHeight="false" outlineLevel="0" collapsed="false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7" t="str">
        <f aca="false">IF(B1907="","",IF(COUNTIF($B$2:B1907,B1907)=1,MAX($AV$1:AV1906)+1,""))</f>
        <v/>
      </c>
    </row>
    <row r="1908" customFormat="false" ht="15" hidden="false" customHeight="false" outlineLevel="0" collapsed="false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7" t="str">
        <f aca="false">IF(B1908="","",IF(COUNTIF($B$2:B1908,B1908)=1,MAX($AV$1:AV1907)+1,""))</f>
        <v/>
      </c>
    </row>
    <row r="1909" customFormat="false" ht="15" hidden="false" customHeight="false" outlineLevel="0" collapsed="false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7" t="str">
        <f aca="false">IF(B1909="","",IF(COUNTIF($B$2:B1909,B1909)=1,MAX($AV$1:AV1908)+1,""))</f>
        <v/>
      </c>
    </row>
    <row r="1910" customFormat="false" ht="15" hidden="false" customHeight="false" outlineLevel="0" collapsed="false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7" t="str">
        <f aca="false">IF(B1910="","",IF(COUNTIF($B$2:B1910,B1910)=1,MAX($AV$1:AV1909)+1,""))</f>
        <v/>
      </c>
    </row>
    <row r="1911" customFormat="false" ht="15" hidden="false" customHeight="false" outlineLevel="0" collapsed="false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7" t="str">
        <f aca="false">IF(B1911="","",IF(COUNTIF($B$2:B1911,B1911)=1,MAX($AV$1:AV1910)+1,""))</f>
        <v/>
      </c>
    </row>
    <row r="1912" customFormat="false" ht="15" hidden="false" customHeight="false" outlineLevel="0" collapsed="false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7" t="str">
        <f aca="false">IF(B1912="","",IF(COUNTIF($B$2:B1912,B1912)=1,MAX($AV$1:AV1911)+1,""))</f>
        <v/>
      </c>
    </row>
    <row r="1913" customFormat="false" ht="15" hidden="false" customHeight="false" outlineLevel="0" collapsed="false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7" t="str">
        <f aca="false">IF(B1913="","",IF(COUNTIF($B$2:B1913,B1913)=1,MAX($AV$1:AV1912)+1,""))</f>
        <v/>
      </c>
    </row>
    <row r="1914" customFormat="false" ht="15" hidden="false" customHeight="false" outlineLevel="0" collapsed="false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7" t="str">
        <f aca="false">IF(B1914="","",IF(COUNTIF($B$2:B1914,B1914)=1,MAX($AV$1:AV1913)+1,""))</f>
        <v/>
      </c>
    </row>
    <row r="1915" customFormat="false" ht="15" hidden="false" customHeight="false" outlineLevel="0" collapsed="false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7" t="str">
        <f aca="false">IF(B1915="","",IF(COUNTIF($B$2:B1915,B1915)=1,MAX($AV$1:AV1914)+1,""))</f>
        <v/>
      </c>
    </row>
    <row r="1916" customFormat="false" ht="15" hidden="false" customHeight="false" outlineLevel="0" collapsed="false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7" t="str">
        <f aca="false">IF(B1916="","",IF(COUNTIF($B$2:B1916,B1916)=1,MAX($AV$1:AV1915)+1,""))</f>
        <v/>
      </c>
    </row>
    <row r="1917" customFormat="false" ht="15" hidden="false" customHeight="false" outlineLevel="0" collapsed="false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7" t="str">
        <f aca="false">IF(B1917="","",IF(COUNTIF($B$2:B1917,B1917)=1,MAX($AV$1:AV1916)+1,""))</f>
        <v/>
      </c>
    </row>
    <row r="1918" customFormat="false" ht="15" hidden="false" customHeight="false" outlineLevel="0" collapsed="false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7" t="str">
        <f aca="false">IF(B1918="","",IF(COUNTIF($B$2:B1918,B1918)=1,MAX($AV$1:AV1917)+1,""))</f>
        <v/>
      </c>
    </row>
    <row r="1919" customFormat="false" ht="15" hidden="false" customHeight="false" outlineLevel="0" collapsed="false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7" t="str">
        <f aca="false">IF(B1919="","",IF(COUNTIF($B$2:B1919,B1919)=1,MAX($AV$1:AV1918)+1,""))</f>
        <v/>
      </c>
    </row>
    <row r="1920" customFormat="false" ht="15" hidden="false" customHeight="false" outlineLevel="0" collapsed="false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7" t="str">
        <f aca="false">IF(B1920="","",IF(COUNTIF($B$2:B1920,B1920)=1,MAX($AV$1:AV1919)+1,""))</f>
        <v/>
      </c>
    </row>
    <row r="1921" customFormat="false" ht="15" hidden="false" customHeight="false" outlineLevel="0" collapsed="false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7" t="str">
        <f aca="false">IF(B1921="","",IF(COUNTIF($B$2:B1921,B1921)=1,MAX($AV$1:AV1920)+1,""))</f>
        <v/>
      </c>
    </row>
    <row r="1922" customFormat="false" ht="15" hidden="false" customHeight="false" outlineLevel="0" collapsed="false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7" t="str">
        <f aca="false">IF(B1922="","",IF(COUNTIF($B$2:B1922,B1922)=1,MAX($AV$1:AV1921)+1,""))</f>
        <v/>
      </c>
    </row>
    <row r="1923" customFormat="false" ht="15" hidden="false" customHeight="false" outlineLevel="0" collapsed="false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7" t="str">
        <f aca="false">IF(B1923="","",IF(COUNTIF($B$2:B1923,B1923)=1,MAX($AV$1:AV1922)+1,""))</f>
        <v/>
      </c>
    </row>
    <row r="1924" customFormat="false" ht="15" hidden="false" customHeight="false" outlineLevel="0" collapsed="false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7" t="str">
        <f aca="false">IF(B1924="","",IF(COUNTIF($B$2:B1924,B1924)=1,MAX($AV$1:AV1923)+1,""))</f>
        <v/>
      </c>
    </row>
    <row r="1925" customFormat="false" ht="15" hidden="false" customHeight="false" outlineLevel="0" collapsed="false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7" t="str">
        <f aca="false">IF(B1925="","",IF(COUNTIF($B$2:B1925,B1925)=1,MAX($AV$1:AV1924)+1,""))</f>
        <v/>
      </c>
    </row>
    <row r="1926" customFormat="false" ht="15" hidden="false" customHeight="false" outlineLevel="0" collapsed="false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7" t="str">
        <f aca="false">IF(B1926="","",IF(COUNTIF($B$2:B1926,B1926)=1,MAX($AV$1:AV1925)+1,""))</f>
        <v/>
      </c>
    </row>
    <row r="1927" customFormat="false" ht="15" hidden="false" customHeight="false" outlineLevel="0" collapsed="false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7" t="str">
        <f aca="false">IF(B1927="","",IF(COUNTIF($B$2:B1927,B1927)=1,MAX($AV$1:AV1926)+1,""))</f>
        <v/>
      </c>
    </row>
    <row r="1928" customFormat="false" ht="15" hidden="false" customHeight="false" outlineLevel="0" collapsed="false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7" t="str">
        <f aca="false">IF(B1928="","",IF(COUNTIF($B$2:B1928,B1928)=1,MAX($AV$1:AV1927)+1,""))</f>
        <v/>
      </c>
    </row>
    <row r="1929" customFormat="false" ht="15" hidden="false" customHeight="false" outlineLevel="0" collapsed="false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7" t="str">
        <f aca="false">IF(B1929="","",IF(COUNTIF($B$2:B1929,B1929)=1,MAX($AV$1:AV1928)+1,""))</f>
        <v/>
      </c>
    </row>
    <row r="1930" customFormat="false" ht="15" hidden="false" customHeight="false" outlineLevel="0" collapsed="false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7" t="str">
        <f aca="false">IF(B1930="","",IF(COUNTIF($B$2:B1930,B1930)=1,MAX($AV$1:AV1929)+1,""))</f>
        <v/>
      </c>
    </row>
    <row r="1931" customFormat="false" ht="15" hidden="false" customHeight="false" outlineLevel="0" collapsed="false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7" t="str">
        <f aca="false">IF(B1931="","",IF(COUNTIF($B$2:B1931,B1931)=1,MAX($AV$1:AV1930)+1,""))</f>
        <v/>
      </c>
    </row>
    <row r="1932" customFormat="false" ht="15" hidden="false" customHeight="false" outlineLevel="0" collapsed="false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7" t="str">
        <f aca="false">IF(B1932="","",IF(COUNTIF($B$2:B1932,B1932)=1,MAX($AV$1:AV1931)+1,""))</f>
        <v/>
      </c>
    </row>
    <row r="1933" customFormat="false" ht="15" hidden="false" customHeight="false" outlineLevel="0" collapsed="false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7" t="str">
        <f aca="false">IF(B1933="","",IF(COUNTIF($B$2:B1933,B1933)=1,MAX($AV$1:AV1932)+1,""))</f>
        <v/>
      </c>
    </row>
    <row r="1934" customFormat="false" ht="15" hidden="false" customHeight="false" outlineLevel="0" collapsed="false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7" t="str">
        <f aca="false">IF(B1934="","",IF(COUNTIF($B$2:B1934,B1934)=1,MAX($AV$1:AV1933)+1,""))</f>
        <v/>
      </c>
    </row>
    <row r="1935" customFormat="false" ht="15" hidden="false" customHeight="false" outlineLevel="0" collapsed="false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7" t="str">
        <f aca="false">IF(B1935="","",IF(COUNTIF($B$2:B1935,B1935)=1,MAX($AV$1:AV1934)+1,""))</f>
        <v/>
      </c>
    </row>
    <row r="1936" customFormat="false" ht="15" hidden="false" customHeight="false" outlineLevel="0" collapsed="false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7" t="str">
        <f aca="false">IF(B1936="","",IF(COUNTIF($B$2:B1936,B1936)=1,MAX($AV$1:AV1935)+1,""))</f>
        <v/>
      </c>
    </row>
    <row r="1937" customFormat="false" ht="15" hidden="false" customHeight="false" outlineLevel="0" collapsed="false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7" t="str">
        <f aca="false">IF(B1937="","",IF(COUNTIF($B$2:B1937,B1937)=1,MAX($AV$1:AV1936)+1,""))</f>
        <v/>
      </c>
    </row>
    <row r="1938" customFormat="false" ht="15" hidden="false" customHeight="false" outlineLevel="0" collapsed="false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7" t="str">
        <f aca="false">IF(B1938="","",IF(COUNTIF($B$2:B1938,B1938)=1,MAX($AV$1:AV1937)+1,""))</f>
        <v/>
      </c>
    </row>
    <row r="1939" customFormat="false" ht="15" hidden="false" customHeight="false" outlineLevel="0" collapsed="false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7" t="str">
        <f aca="false">IF(B1939="","",IF(COUNTIF($B$2:B1939,B1939)=1,MAX($AV$1:AV1938)+1,""))</f>
        <v/>
      </c>
    </row>
    <row r="1940" customFormat="false" ht="15" hidden="false" customHeight="false" outlineLevel="0" collapsed="false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7" t="str">
        <f aca="false">IF(B1940="","",IF(COUNTIF($B$2:B1940,B1940)=1,MAX($AV$1:AV1939)+1,""))</f>
        <v/>
      </c>
    </row>
    <row r="1941" customFormat="false" ht="15" hidden="false" customHeight="false" outlineLevel="0" collapsed="false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7" t="str">
        <f aca="false">IF(B1941="","",IF(COUNTIF($B$2:B1941,B1941)=1,MAX($AV$1:AV1940)+1,""))</f>
        <v/>
      </c>
    </row>
    <row r="1942" customFormat="false" ht="15" hidden="false" customHeight="false" outlineLevel="0" collapsed="false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7" t="str">
        <f aca="false">IF(B1942="","",IF(COUNTIF($B$2:B1942,B1942)=1,MAX($AV$1:AV1941)+1,""))</f>
        <v/>
      </c>
    </row>
    <row r="1943" customFormat="false" ht="15" hidden="false" customHeight="false" outlineLevel="0" collapsed="false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7" t="str">
        <f aca="false">IF(B1943="","",IF(COUNTIF($B$2:B1943,B1943)=1,MAX($AV$1:AV1942)+1,""))</f>
        <v/>
      </c>
    </row>
    <row r="1944" customFormat="false" ht="15" hidden="false" customHeight="false" outlineLevel="0" collapsed="false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7" t="str">
        <f aca="false">IF(B1944="","",IF(COUNTIF($B$2:B1944,B1944)=1,MAX($AV$1:AV1943)+1,""))</f>
        <v/>
      </c>
    </row>
    <row r="1945" customFormat="false" ht="15" hidden="false" customHeight="false" outlineLevel="0" collapsed="false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7" t="str">
        <f aca="false">IF(B1945="","",IF(COUNTIF($B$2:B1945,B1945)=1,MAX($AV$1:AV1944)+1,""))</f>
        <v/>
      </c>
    </row>
    <row r="1946" customFormat="false" ht="15" hidden="false" customHeight="false" outlineLevel="0" collapsed="false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7" t="str">
        <f aca="false">IF(B1946="","",IF(COUNTIF($B$2:B1946,B1946)=1,MAX($AV$1:AV1945)+1,""))</f>
        <v/>
      </c>
    </row>
    <row r="1947" customFormat="false" ht="15" hidden="false" customHeight="false" outlineLevel="0" collapsed="false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7" t="str">
        <f aca="false">IF(B1947="","",IF(COUNTIF($B$2:B1947,B1947)=1,MAX($AV$1:AV1946)+1,""))</f>
        <v/>
      </c>
    </row>
    <row r="1948" customFormat="false" ht="15" hidden="false" customHeight="false" outlineLevel="0" collapsed="false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7" t="str">
        <f aca="false">IF(B1948="","",IF(COUNTIF($B$2:B1948,B1948)=1,MAX($AV$1:AV1947)+1,""))</f>
        <v/>
      </c>
    </row>
    <row r="1949" customFormat="false" ht="15" hidden="false" customHeight="false" outlineLevel="0" collapsed="false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7" t="str">
        <f aca="false">IF(B1949="","",IF(COUNTIF($B$2:B1949,B1949)=1,MAX($AV$1:AV1948)+1,""))</f>
        <v/>
      </c>
    </row>
    <row r="1950" customFormat="false" ht="15" hidden="false" customHeight="false" outlineLevel="0" collapsed="false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7" t="str">
        <f aca="false">IF(B1950="","",IF(COUNTIF($B$2:B1950,B1950)=1,MAX($AV$1:AV1949)+1,""))</f>
        <v/>
      </c>
    </row>
    <row r="1951" customFormat="false" ht="15" hidden="false" customHeight="false" outlineLevel="0" collapsed="false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7" t="str">
        <f aca="false">IF(B1951="","",IF(COUNTIF($B$2:B1951,B1951)=1,MAX($AV$1:AV1950)+1,""))</f>
        <v/>
      </c>
    </row>
    <row r="1952" customFormat="false" ht="15" hidden="false" customHeight="false" outlineLevel="0" collapsed="false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7" t="str">
        <f aca="false">IF(B1952="","",IF(COUNTIF($B$2:B1952,B1952)=1,MAX($AV$1:AV1951)+1,""))</f>
        <v/>
      </c>
    </row>
    <row r="1953" customFormat="false" ht="15" hidden="false" customHeight="false" outlineLevel="0" collapsed="false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7" t="str">
        <f aca="false">IF(B1953="","",IF(COUNTIF($B$2:B1953,B1953)=1,MAX($AV$1:AV1952)+1,""))</f>
        <v/>
      </c>
    </row>
    <row r="1954" customFormat="false" ht="15" hidden="false" customHeight="false" outlineLevel="0" collapsed="false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7" t="str">
        <f aca="false">IF(B1954="","",IF(COUNTIF($B$2:B1954,B1954)=1,MAX($AV$1:AV1953)+1,""))</f>
        <v/>
      </c>
    </row>
    <row r="1955" customFormat="false" ht="15" hidden="false" customHeight="false" outlineLevel="0" collapsed="false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7" t="str">
        <f aca="false">IF(B1955="","",IF(COUNTIF($B$2:B1955,B1955)=1,MAX($AV$1:AV1954)+1,""))</f>
        <v/>
      </c>
    </row>
    <row r="1956" customFormat="false" ht="15" hidden="false" customHeight="false" outlineLevel="0" collapsed="false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7" t="str">
        <f aca="false">IF(B1956="","",IF(COUNTIF($B$2:B1956,B1956)=1,MAX($AV$1:AV1955)+1,""))</f>
        <v/>
      </c>
    </row>
    <row r="1957" customFormat="false" ht="15" hidden="false" customHeight="false" outlineLevel="0" collapsed="false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7" t="str">
        <f aca="false">IF(B1957="","",IF(COUNTIF($B$2:B1957,B1957)=1,MAX($AV$1:AV1956)+1,""))</f>
        <v/>
      </c>
    </row>
    <row r="1958" customFormat="false" ht="15" hidden="false" customHeight="false" outlineLevel="0" collapsed="false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7" t="str">
        <f aca="false">IF(B1958="","",IF(COUNTIF($B$2:B1958,B1958)=1,MAX($AV$1:AV1957)+1,""))</f>
        <v/>
      </c>
    </row>
    <row r="1959" customFormat="false" ht="15" hidden="false" customHeight="false" outlineLevel="0" collapsed="false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7" t="str">
        <f aca="false">IF(B1959="","",IF(COUNTIF($B$2:B1959,B1959)=1,MAX($AV$1:AV1958)+1,""))</f>
        <v/>
      </c>
    </row>
    <row r="1960" customFormat="false" ht="15" hidden="false" customHeight="false" outlineLevel="0" collapsed="false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7" t="str">
        <f aca="false">IF(B1960="","",IF(COUNTIF($B$2:B1960,B1960)=1,MAX($AV$1:AV1959)+1,""))</f>
        <v/>
      </c>
    </row>
    <row r="1961" customFormat="false" ht="15" hidden="false" customHeight="false" outlineLevel="0" collapsed="false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7" t="str">
        <f aca="false">IF(B1961="","",IF(COUNTIF($B$2:B1961,B1961)=1,MAX($AV$1:AV1960)+1,""))</f>
        <v/>
      </c>
    </row>
    <row r="1962" customFormat="false" ht="15" hidden="false" customHeight="false" outlineLevel="0" collapsed="false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7" t="str">
        <f aca="false">IF(B1962="","",IF(COUNTIF($B$2:B1962,B1962)=1,MAX($AV$1:AV1961)+1,""))</f>
        <v/>
      </c>
    </row>
    <row r="1963" customFormat="false" ht="15" hidden="false" customHeight="false" outlineLevel="0" collapsed="false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7" t="str">
        <f aca="false">IF(B1963="","",IF(COUNTIF($B$2:B1963,B1963)=1,MAX($AV$1:AV1962)+1,""))</f>
        <v/>
      </c>
    </row>
    <row r="1964" customFormat="false" ht="15" hidden="false" customHeight="false" outlineLevel="0" collapsed="false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7" t="str">
        <f aca="false">IF(B1964="","",IF(COUNTIF($B$2:B1964,B1964)=1,MAX($AV$1:AV1963)+1,""))</f>
        <v/>
      </c>
    </row>
    <row r="1965" customFormat="false" ht="15" hidden="false" customHeight="false" outlineLevel="0" collapsed="false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7" t="str">
        <f aca="false">IF(B1965="","",IF(COUNTIF($B$2:B1965,B1965)=1,MAX($AV$1:AV1964)+1,""))</f>
        <v/>
      </c>
    </row>
    <row r="1966" customFormat="false" ht="15" hidden="false" customHeight="false" outlineLevel="0" collapsed="false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7" t="str">
        <f aca="false">IF(B1966="","",IF(COUNTIF($B$2:B1966,B1966)=1,MAX($AV$1:AV1965)+1,""))</f>
        <v/>
      </c>
    </row>
    <row r="1967" customFormat="false" ht="15" hidden="false" customHeight="false" outlineLevel="0" collapsed="false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7" t="str">
        <f aca="false">IF(B1967="","",IF(COUNTIF($B$2:B1967,B1967)=1,MAX($AV$1:AV1966)+1,""))</f>
        <v/>
      </c>
    </row>
    <row r="1968" customFormat="false" ht="15" hidden="false" customHeight="false" outlineLevel="0" collapsed="false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7" t="str">
        <f aca="false">IF(B1968="","",IF(COUNTIF($B$2:B1968,B1968)=1,MAX($AV$1:AV1967)+1,""))</f>
        <v/>
      </c>
    </row>
    <row r="1969" customFormat="false" ht="15" hidden="false" customHeight="false" outlineLevel="0" collapsed="false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7" t="str">
        <f aca="false">IF(B1969="","",IF(COUNTIF($B$2:B1969,B1969)=1,MAX($AV$1:AV1968)+1,""))</f>
        <v/>
      </c>
    </row>
    <row r="1970" customFormat="false" ht="15" hidden="false" customHeight="false" outlineLevel="0" collapsed="false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7" t="str">
        <f aca="false">IF(B1970="","",IF(COUNTIF($B$2:B1970,B1970)=1,MAX($AV$1:AV1969)+1,""))</f>
        <v/>
      </c>
    </row>
    <row r="1971" customFormat="false" ht="15" hidden="false" customHeight="false" outlineLevel="0" collapsed="false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7" t="str">
        <f aca="false">IF(B1971="","",IF(COUNTIF($B$2:B1971,B1971)=1,MAX($AV$1:AV1970)+1,""))</f>
        <v/>
      </c>
    </row>
    <row r="1972" customFormat="false" ht="15" hidden="false" customHeight="false" outlineLevel="0" collapsed="false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7" t="str">
        <f aca="false">IF(B1972="","",IF(COUNTIF($B$2:B1972,B1972)=1,MAX($AV$1:AV1971)+1,""))</f>
        <v/>
      </c>
    </row>
    <row r="1973" customFormat="false" ht="15" hidden="false" customHeight="false" outlineLevel="0" collapsed="false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7" t="str">
        <f aca="false">IF(B1973="","",IF(COUNTIF($B$2:B1973,B1973)=1,MAX($AV$1:AV1972)+1,""))</f>
        <v/>
      </c>
    </row>
    <row r="1974" customFormat="false" ht="15" hidden="false" customHeight="false" outlineLevel="0" collapsed="false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7" t="str">
        <f aca="false">IF(B1974="","",IF(COUNTIF($B$2:B1974,B1974)=1,MAX($AV$1:AV1973)+1,""))</f>
        <v/>
      </c>
    </row>
    <row r="1975" customFormat="false" ht="15" hidden="false" customHeight="false" outlineLevel="0" collapsed="false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7" t="str">
        <f aca="false">IF(B1975="","",IF(COUNTIF($B$2:B1975,B1975)=1,MAX($AV$1:AV1974)+1,""))</f>
        <v/>
      </c>
    </row>
    <row r="1976" customFormat="false" ht="15" hidden="false" customHeight="false" outlineLevel="0" collapsed="false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7" t="str">
        <f aca="false">IF(B1976="","",IF(COUNTIF($B$2:B1976,B1976)=1,MAX($AV$1:AV1975)+1,""))</f>
        <v/>
      </c>
    </row>
    <row r="1977" customFormat="false" ht="15" hidden="false" customHeight="false" outlineLevel="0" collapsed="false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7" t="str">
        <f aca="false">IF(B1977="","",IF(COUNTIF($B$2:B1977,B1977)=1,MAX($AV$1:AV1976)+1,""))</f>
        <v/>
      </c>
    </row>
    <row r="1978" customFormat="false" ht="15" hidden="false" customHeight="false" outlineLevel="0" collapsed="false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7" t="str">
        <f aca="false">IF(B1978="","",IF(COUNTIF($B$2:B1978,B1978)=1,MAX($AV$1:AV1977)+1,""))</f>
        <v/>
      </c>
    </row>
    <row r="1979" customFormat="false" ht="15" hidden="false" customHeight="false" outlineLevel="0" collapsed="false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7" t="str">
        <f aca="false">IF(B1979="","",IF(COUNTIF($B$2:B1979,B1979)=1,MAX($AV$1:AV1978)+1,""))</f>
        <v/>
      </c>
    </row>
    <row r="1980" customFormat="false" ht="15" hidden="false" customHeight="false" outlineLevel="0" collapsed="false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7" t="str">
        <f aca="false">IF(B1980="","",IF(COUNTIF($B$2:B1980,B1980)=1,MAX($AV$1:AV1979)+1,""))</f>
        <v/>
      </c>
    </row>
    <row r="1981" customFormat="false" ht="15" hidden="false" customHeight="false" outlineLevel="0" collapsed="false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7" t="str">
        <f aca="false">IF(B1981="","",IF(COUNTIF($B$2:B1981,B1981)=1,MAX($AV$1:AV1980)+1,""))</f>
        <v/>
      </c>
    </row>
    <row r="1982" customFormat="false" ht="15" hidden="false" customHeight="false" outlineLevel="0" collapsed="false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7" t="str">
        <f aca="false">IF(B1982="","",IF(COUNTIF($B$2:B1982,B1982)=1,MAX($AV$1:AV1981)+1,""))</f>
        <v/>
      </c>
    </row>
    <row r="1983" customFormat="false" ht="15" hidden="false" customHeight="false" outlineLevel="0" collapsed="false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7" t="str">
        <f aca="false">IF(B1983="","",IF(COUNTIF($B$2:B1983,B1983)=1,MAX($AV$1:AV1982)+1,""))</f>
        <v/>
      </c>
    </row>
    <row r="1984" customFormat="false" ht="15" hidden="false" customHeight="false" outlineLevel="0" collapsed="false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7" t="str">
        <f aca="false">IF(B1984="","",IF(COUNTIF($B$2:B1984,B1984)=1,MAX($AV$1:AV1983)+1,""))</f>
        <v/>
      </c>
    </row>
    <row r="1985" customFormat="false" ht="15" hidden="false" customHeight="false" outlineLevel="0" collapsed="false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7" t="str">
        <f aca="false">IF(B1985="","",IF(COUNTIF($B$2:B1985,B1985)=1,MAX($AV$1:AV1984)+1,""))</f>
        <v/>
      </c>
    </row>
    <row r="1986" customFormat="false" ht="15" hidden="false" customHeight="false" outlineLevel="0" collapsed="false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7" t="str">
        <f aca="false">IF(B1986="","",IF(COUNTIF($B$2:B1986,B1986)=1,MAX($AV$1:AV1985)+1,""))</f>
        <v/>
      </c>
    </row>
    <row r="1987" customFormat="false" ht="15" hidden="false" customHeight="false" outlineLevel="0" collapsed="false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7" t="str">
        <f aca="false">IF(B1987="","",IF(COUNTIF($B$2:B1987,B1987)=1,MAX($AV$1:AV1986)+1,""))</f>
        <v/>
      </c>
    </row>
    <row r="1988" customFormat="false" ht="15" hidden="false" customHeight="false" outlineLevel="0" collapsed="false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7" t="str">
        <f aca="false">IF(B1988="","",IF(COUNTIF($B$2:B1988,B1988)=1,MAX($AV$1:AV1987)+1,""))</f>
        <v/>
      </c>
    </row>
    <row r="1989" customFormat="false" ht="15" hidden="false" customHeight="false" outlineLevel="0" collapsed="false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7" t="str">
        <f aca="false">IF(B1989="","",IF(COUNTIF($B$2:B1989,B1989)=1,MAX($AV$1:AV1988)+1,""))</f>
        <v/>
      </c>
    </row>
    <row r="1990" customFormat="false" ht="15" hidden="false" customHeight="false" outlineLevel="0" collapsed="false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7" t="str">
        <f aca="false">IF(B1990="","",IF(COUNTIF($B$2:B1990,B1990)=1,MAX($AV$1:AV1989)+1,""))</f>
        <v/>
      </c>
    </row>
    <row r="1991" customFormat="false" ht="15" hidden="false" customHeight="false" outlineLevel="0" collapsed="false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7" t="str">
        <f aca="false">IF(B1991="","",IF(COUNTIF($B$2:B1991,B1991)=1,MAX($AV$1:AV1990)+1,""))</f>
        <v/>
      </c>
    </row>
    <row r="1992" customFormat="false" ht="15" hidden="false" customHeight="false" outlineLevel="0" collapsed="false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7" t="str">
        <f aca="false">IF(B1992="","",IF(COUNTIF($B$2:B1992,B1992)=1,MAX($AV$1:AV1991)+1,""))</f>
        <v/>
      </c>
    </row>
    <row r="1993" customFormat="false" ht="15" hidden="false" customHeight="false" outlineLevel="0" collapsed="false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7" t="str">
        <f aca="false">IF(B1993="","",IF(COUNTIF($B$2:B1993,B1993)=1,MAX($AV$1:AV1992)+1,""))</f>
        <v/>
      </c>
    </row>
    <row r="1994" customFormat="false" ht="15" hidden="false" customHeight="false" outlineLevel="0" collapsed="false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7" t="str">
        <f aca="false">IF(B1994="","",IF(COUNTIF($B$2:B1994,B1994)=1,MAX($AV$1:AV1993)+1,""))</f>
        <v/>
      </c>
    </row>
    <row r="1995" customFormat="false" ht="15" hidden="false" customHeight="false" outlineLevel="0" collapsed="false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7" t="str">
        <f aca="false">IF(B1995="","",IF(COUNTIF($B$2:B1995,B1995)=1,MAX($AV$1:AV1994)+1,""))</f>
        <v/>
      </c>
    </row>
    <row r="1996" customFormat="false" ht="15" hidden="false" customHeight="false" outlineLevel="0" collapsed="false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7" t="str">
        <f aca="false">IF(B1996="","",IF(COUNTIF($B$2:B1996,B1996)=1,MAX($AV$1:AV1995)+1,""))</f>
        <v/>
      </c>
    </row>
    <row r="1997" customFormat="false" ht="15" hidden="false" customHeight="false" outlineLevel="0" collapsed="false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7" t="str">
        <f aca="false">IF(B1997="","",IF(COUNTIF($B$2:B1997,B1997)=1,MAX($AV$1:AV1996)+1,""))</f>
        <v/>
      </c>
    </row>
    <row r="1998" customFormat="false" ht="15" hidden="false" customHeight="false" outlineLevel="0" collapsed="false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7" t="str">
        <f aca="false">IF(B1998="","",IF(COUNTIF($B$2:B1998,B1998)=1,MAX($AV$1:AV1997)+1,""))</f>
        <v/>
      </c>
    </row>
    <row r="1999" customFormat="false" ht="15" hidden="false" customHeight="false" outlineLevel="0" collapsed="false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7" t="str">
        <f aca="false">IF(B1999="","",IF(COUNTIF($B$2:B1999,B1999)=1,MAX($AV$1:AV1998)+1,""))</f>
        <v/>
      </c>
    </row>
    <row r="2000" customFormat="false" ht="15" hidden="false" customHeight="false" outlineLevel="0" collapsed="false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7" t="str">
        <f aca="false">IF(B2000="","",IF(COUNTIF($B$2:B2000,B2000)=1,MAX($AV$1:AV1999)+1,""))</f>
        <v/>
      </c>
    </row>
    <row r="2001" customFormat="false" ht="15" hidden="false" customHeight="false" outlineLevel="0" collapsed="false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7" t="str">
        <f aca="false">IF(B2001="","",IF(COUNTIF($B$2:B2001,B2001)=1,MAX($AV$1:AV2000)+1,""))</f>
        <v/>
      </c>
    </row>
    <row r="2002" customFormat="false" ht="15" hidden="false" customHeight="false" outlineLevel="0" collapsed="false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7" t="str">
        <f aca="false">IF(B2002="","",IF(COUNTIF($B$2:B2002,B2002)=1,MAX($AV$1:AV2001)+1,""))</f>
        <v/>
      </c>
    </row>
    <row r="2003" customFormat="false" ht="15" hidden="false" customHeight="false" outlineLevel="0" collapsed="false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7" t="str">
        <f aca="false">IF(B2003="","",IF(COUNTIF($B$2:B2003,B2003)=1,MAX($AV$1:AV2002)+1,""))</f>
        <v/>
      </c>
    </row>
    <row r="2004" customFormat="false" ht="15" hidden="false" customHeight="false" outlineLevel="0" collapsed="false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7" t="str">
        <f aca="false">IF(B2004="","",IF(COUNTIF($B$2:B2004,B2004)=1,MAX($AV$1:AV2003)+1,""))</f>
        <v/>
      </c>
    </row>
    <row r="2005" customFormat="false" ht="15" hidden="false" customHeight="false" outlineLevel="0" collapsed="false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7" t="str">
        <f aca="false">IF(B2005="","",IF(COUNTIF($B$2:B2005,B2005)=1,MAX($AV$1:AV2004)+1,""))</f>
        <v/>
      </c>
    </row>
    <row r="2006" customFormat="false" ht="15" hidden="false" customHeight="false" outlineLevel="0" collapsed="false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7" t="str">
        <f aca="false">IF(B2006="","",IF(COUNTIF($B$2:B2006,B2006)=1,MAX($AV$1:AV2005)+1,""))</f>
        <v/>
      </c>
    </row>
    <row r="2007" customFormat="false" ht="15" hidden="false" customHeight="false" outlineLevel="0" collapsed="false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7" t="str">
        <f aca="false">IF(B2007="","",IF(COUNTIF($B$2:B2007,B2007)=1,MAX($AV$1:AV2006)+1,""))</f>
        <v/>
      </c>
    </row>
    <row r="2008" customFormat="false" ht="15" hidden="false" customHeight="false" outlineLevel="0" collapsed="false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7" t="str">
        <f aca="false">IF(B2008="","",IF(COUNTIF($B$2:B2008,B2008)=1,MAX($AV$1:AV2007)+1,""))</f>
        <v/>
      </c>
    </row>
    <row r="2009" customFormat="false" ht="15" hidden="false" customHeight="false" outlineLevel="0" collapsed="false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7" t="str">
        <f aca="false">IF(B2009="","",IF(COUNTIF($B$2:B2009,B2009)=1,MAX($AV$1:AV2008)+1,""))</f>
        <v/>
      </c>
    </row>
    <row r="2010" customFormat="false" ht="15" hidden="false" customHeight="false" outlineLevel="0" collapsed="false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7" t="str">
        <f aca="false">IF(B2010="","",IF(COUNTIF($B$2:B2010,B2010)=1,MAX($AV$1:AV2009)+1,""))</f>
        <v/>
      </c>
    </row>
    <row r="2011" customFormat="false" ht="15" hidden="false" customHeight="false" outlineLevel="0" collapsed="false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7" t="str">
        <f aca="false">IF(B2011="","",IF(COUNTIF($B$2:B2011,B2011)=1,MAX($AV$1:AV2010)+1,""))</f>
        <v/>
      </c>
    </row>
    <row r="2012" customFormat="false" ht="15" hidden="false" customHeight="false" outlineLevel="0" collapsed="false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7" t="str">
        <f aca="false">IF(B2012="","",IF(COUNTIF($B$2:B2012,B2012)=1,MAX($AV$1:AV2011)+1,""))</f>
        <v/>
      </c>
    </row>
    <row r="2013" customFormat="false" ht="15" hidden="false" customHeight="false" outlineLevel="0" collapsed="false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7" t="str">
        <f aca="false">IF(B2013="","",IF(COUNTIF($B$2:B2013,B2013)=1,MAX($AV$1:AV2012)+1,""))</f>
        <v/>
      </c>
    </row>
    <row r="2014" customFormat="false" ht="15" hidden="false" customHeight="false" outlineLevel="0" collapsed="false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7" t="str">
        <f aca="false">IF(B2014="","",IF(COUNTIF($B$2:B2014,B2014)=1,MAX($AV$1:AV2013)+1,""))</f>
        <v/>
      </c>
    </row>
    <row r="2015" customFormat="false" ht="15" hidden="false" customHeight="false" outlineLevel="0" collapsed="false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7" t="str">
        <f aca="false">IF(B2015="","",IF(COUNTIF($B$2:B2015,B2015)=1,MAX($AV$1:AV2014)+1,""))</f>
        <v/>
      </c>
    </row>
    <row r="2016" customFormat="false" ht="15" hidden="false" customHeight="false" outlineLevel="0" collapsed="false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7" t="str">
        <f aca="false">IF(B2016="","",IF(COUNTIF($B$2:B2016,B2016)=1,MAX($AV$1:AV2015)+1,""))</f>
        <v/>
      </c>
    </row>
    <row r="2017" customFormat="false" ht="15" hidden="false" customHeight="false" outlineLevel="0" collapsed="false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7" t="str">
        <f aca="false">IF(B2017="","",IF(COUNTIF($B$2:B2017,B2017)=1,MAX($AV$1:AV2016)+1,""))</f>
        <v/>
      </c>
    </row>
    <row r="2018" customFormat="false" ht="15" hidden="false" customHeight="false" outlineLevel="0" collapsed="false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7" t="str">
        <f aca="false">IF(B2018="","",IF(COUNTIF($B$2:B2018,B2018)=1,MAX($AV$1:AV2017)+1,""))</f>
        <v/>
      </c>
    </row>
    <row r="2019" customFormat="false" ht="15" hidden="false" customHeight="false" outlineLevel="0" collapsed="false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7" t="str">
        <f aca="false">IF(B2019="","",IF(COUNTIF($B$2:B2019,B2019)=1,MAX($AV$1:AV2018)+1,""))</f>
        <v/>
      </c>
    </row>
    <row r="2020" customFormat="false" ht="15" hidden="false" customHeight="false" outlineLevel="0" collapsed="false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7" t="str">
        <f aca="false">IF(B2020="","",IF(COUNTIF($B$2:B2020,B2020)=1,MAX($AV$1:AV2019)+1,""))</f>
        <v/>
      </c>
    </row>
    <row r="2021" customFormat="false" ht="15" hidden="false" customHeight="false" outlineLevel="0" collapsed="false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7" t="str">
        <f aca="false">IF(B2021="","",IF(COUNTIF($B$2:B2021,B2021)=1,MAX($AV$1:AV2020)+1,""))</f>
        <v/>
      </c>
    </row>
    <row r="2022" customFormat="false" ht="15" hidden="false" customHeight="false" outlineLevel="0" collapsed="false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7" t="str">
        <f aca="false">IF(B2022="","",IF(COUNTIF($B$2:B2022,B2022)=1,MAX($AV$1:AV2021)+1,""))</f>
        <v/>
      </c>
    </row>
    <row r="2023" customFormat="false" ht="15" hidden="false" customHeight="false" outlineLevel="0" collapsed="false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7" t="str">
        <f aca="false">IF(B2023="","",IF(COUNTIF($B$2:B2023,B2023)=1,MAX($AV$1:AV2022)+1,""))</f>
        <v/>
      </c>
    </row>
    <row r="2024" customFormat="false" ht="15" hidden="false" customHeight="false" outlineLevel="0" collapsed="false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7" t="str">
        <f aca="false">IF(B2024="","",IF(COUNTIF($B$2:B2024,B2024)=1,MAX($AV$1:AV2023)+1,""))</f>
        <v/>
      </c>
    </row>
    <row r="2025" customFormat="false" ht="15" hidden="false" customHeight="false" outlineLevel="0" collapsed="false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7" t="str">
        <f aca="false">IF(B2025="","",IF(COUNTIF($B$2:B2025,B2025)=1,MAX($AV$1:AV2024)+1,""))</f>
        <v/>
      </c>
    </row>
    <row r="2026" customFormat="false" ht="15" hidden="false" customHeight="false" outlineLevel="0" collapsed="false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7" t="str">
        <f aca="false">IF(B2026="","",IF(COUNTIF($B$2:B2026,B2026)=1,MAX($AV$1:AV2025)+1,""))</f>
        <v/>
      </c>
    </row>
    <row r="2027" customFormat="false" ht="15" hidden="false" customHeight="false" outlineLevel="0" collapsed="false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7" t="str">
        <f aca="false">IF(B2027="","",IF(COUNTIF($B$2:B2027,B2027)=1,MAX($AV$1:AV2026)+1,""))</f>
        <v/>
      </c>
    </row>
    <row r="2028" customFormat="false" ht="15" hidden="false" customHeight="false" outlineLevel="0" collapsed="false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7" t="str">
        <f aca="false">IF(B2028="","",IF(COUNTIF($B$2:B2028,B2028)=1,MAX($AV$1:AV2027)+1,""))</f>
        <v/>
      </c>
    </row>
    <row r="2029" customFormat="false" ht="15" hidden="false" customHeight="false" outlineLevel="0" collapsed="false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7" t="str">
        <f aca="false">IF(B2029="","",IF(COUNTIF($B$2:B2029,B2029)=1,MAX($AV$1:AV2028)+1,""))</f>
        <v/>
      </c>
    </row>
    <row r="2030" customFormat="false" ht="15" hidden="false" customHeight="false" outlineLevel="0" collapsed="false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7" t="str">
        <f aca="false">IF(B2030="","",IF(COUNTIF($B$2:B2030,B2030)=1,MAX($AV$1:AV2029)+1,""))</f>
        <v/>
      </c>
    </row>
    <row r="2031" customFormat="false" ht="15" hidden="false" customHeight="false" outlineLevel="0" collapsed="false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7" t="str">
        <f aca="false">IF(B2031="","",IF(COUNTIF($B$2:B2031,B2031)=1,MAX($AV$1:AV2030)+1,""))</f>
        <v/>
      </c>
    </row>
    <row r="2032" customFormat="false" ht="15" hidden="false" customHeight="false" outlineLevel="0" collapsed="false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7" t="str">
        <f aca="false">IF(B2032="","",IF(COUNTIF($B$2:B2032,B2032)=1,MAX($AV$1:AV2031)+1,""))</f>
        <v/>
      </c>
    </row>
    <row r="2033" customFormat="false" ht="15" hidden="false" customHeight="false" outlineLevel="0" collapsed="false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7" t="str">
        <f aca="false">IF(B2033="","",IF(COUNTIF($B$2:B2033,B2033)=1,MAX($AV$1:AV2032)+1,""))</f>
        <v/>
      </c>
    </row>
    <row r="2034" customFormat="false" ht="15" hidden="false" customHeight="false" outlineLevel="0" collapsed="false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7" t="str">
        <f aca="false">IF(B2034="","",IF(COUNTIF($B$2:B2034,B2034)=1,MAX($AV$1:AV2033)+1,""))</f>
        <v/>
      </c>
    </row>
    <row r="2035" customFormat="false" ht="15" hidden="false" customHeight="false" outlineLevel="0" collapsed="false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7" t="str">
        <f aca="false">IF(B2035="","",IF(COUNTIF($B$2:B2035,B2035)=1,MAX($AV$1:AV2034)+1,""))</f>
        <v/>
      </c>
    </row>
    <row r="2036" customFormat="false" ht="15" hidden="false" customHeight="false" outlineLevel="0" collapsed="false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7" t="str">
        <f aca="false">IF(B2036="","",IF(COUNTIF($B$2:B2036,B2036)=1,MAX($AV$1:AV2035)+1,""))</f>
        <v/>
      </c>
    </row>
    <row r="2037" customFormat="false" ht="15" hidden="false" customHeight="false" outlineLevel="0" collapsed="false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7" t="str">
        <f aca="false">IF(B2037="","",IF(COUNTIF($B$2:B2037,B2037)=1,MAX($AV$1:AV2036)+1,""))</f>
        <v/>
      </c>
    </row>
    <row r="2038" customFormat="false" ht="15" hidden="false" customHeight="false" outlineLevel="0" collapsed="false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7" t="str">
        <f aca="false">IF(B2038="","",IF(COUNTIF($B$2:B2038,B2038)=1,MAX($AV$1:AV2037)+1,""))</f>
        <v/>
      </c>
    </row>
    <row r="2039" customFormat="false" ht="15" hidden="false" customHeight="false" outlineLevel="0" collapsed="false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7" t="str">
        <f aca="false">IF(B2039="","",IF(COUNTIF($B$2:B2039,B2039)=1,MAX($AV$1:AV2038)+1,""))</f>
        <v/>
      </c>
    </row>
    <row r="2040" customFormat="false" ht="15" hidden="false" customHeight="false" outlineLevel="0" collapsed="false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7" t="str">
        <f aca="false">IF(B2040="","",IF(COUNTIF($B$2:B2040,B2040)=1,MAX($AV$1:AV2039)+1,""))</f>
        <v/>
      </c>
    </row>
    <row r="2041" customFormat="false" ht="15" hidden="false" customHeight="false" outlineLevel="0" collapsed="false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7" t="str">
        <f aca="false">IF(B2041="","",IF(COUNTIF($B$2:B2041,B2041)=1,MAX($AV$1:AV2040)+1,""))</f>
        <v/>
      </c>
    </row>
    <row r="2042" customFormat="false" ht="15" hidden="false" customHeight="false" outlineLevel="0" collapsed="false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7" t="str">
        <f aca="false">IF(B2042="","",IF(COUNTIF($B$2:B2042,B2042)=1,MAX($AV$1:AV2041)+1,""))</f>
        <v/>
      </c>
    </row>
    <row r="2043" customFormat="false" ht="15" hidden="false" customHeight="false" outlineLevel="0" collapsed="false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7" t="str">
        <f aca="false">IF(B2043="","",IF(COUNTIF($B$2:B2043,B2043)=1,MAX($AV$1:AV2042)+1,""))</f>
        <v/>
      </c>
    </row>
    <row r="2044" customFormat="false" ht="15" hidden="false" customHeight="false" outlineLevel="0" collapsed="false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7" t="str">
        <f aca="false">IF(B2044="","",IF(COUNTIF($B$2:B2044,B2044)=1,MAX($AV$1:AV2043)+1,""))</f>
        <v/>
      </c>
    </row>
    <row r="2045" customFormat="false" ht="15" hidden="false" customHeight="false" outlineLevel="0" collapsed="false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7" t="str">
        <f aca="false">IF(B2045="","",IF(COUNTIF($B$2:B2045,B2045)=1,MAX($AV$1:AV2044)+1,""))</f>
        <v/>
      </c>
    </row>
    <row r="2046" customFormat="false" ht="15" hidden="false" customHeight="false" outlineLevel="0" collapsed="false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7" t="str">
        <f aca="false">IF(B2046="","",IF(COUNTIF($B$2:B2046,B2046)=1,MAX($AV$1:AV2045)+1,""))</f>
        <v/>
      </c>
    </row>
    <row r="2047" customFormat="false" ht="15" hidden="false" customHeight="false" outlineLevel="0" collapsed="false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7" t="str">
        <f aca="false">IF(B2047="","",IF(COUNTIF($B$2:B2047,B2047)=1,MAX($AV$1:AV2046)+1,""))</f>
        <v/>
      </c>
    </row>
    <row r="2048" customFormat="false" ht="15" hidden="false" customHeight="false" outlineLevel="0" collapsed="false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7" t="str">
        <f aca="false">IF(B2048="","",IF(COUNTIF($B$2:B2048,B2048)=1,MAX($AV$1:AV2047)+1,""))</f>
        <v/>
      </c>
    </row>
    <row r="2049" customFormat="false" ht="15" hidden="false" customHeight="false" outlineLevel="0" collapsed="false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7" t="str">
        <f aca="false">IF(B2049="","",IF(COUNTIF($B$2:B2049,B2049)=1,MAX($AV$1:AV2048)+1,""))</f>
        <v/>
      </c>
    </row>
    <row r="2050" customFormat="false" ht="15" hidden="false" customHeight="false" outlineLevel="0" collapsed="false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7" t="str">
        <f aca="false">IF(B2050="","",IF(COUNTIF($B$2:B2050,B2050)=1,MAX($AV$1:AV2049)+1,""))</f>
        <v/>
      </c>
    </row>
    <row r="2051" customFormat="false" ht="15" hidden="false" customHeight="false" outlineLevel="0" collapsed="false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7" t="str">
        <f aca="false">IF(B2051="","",IF(COUNTIF($B$2:B2051,B2051)=1,MAX($AV$1:AV2050)+1,""))</f>
        <v/>
      </c>
    </row>
    <row r="2052" customFormat="false" ht="15" hidden="false" customHeight="false" outlineLevel="0" collapsed="false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7" t="str">
        <f aca="false">IF(B2052="","",IF(COUNTIF($B$2:B2052,B2052)=1,MAX($AV$1:AV2051)+1,""))</f>
        <v/>
      </c>
    </row>
    <row r="2053" customFormat="false" ht="15" hidden="false" customHeight="false" outlineLevel="0" collapsed="false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7" t="str">
        <f aca="false">IF(B2053="","",IF(COUNTIF($B$2:B2053,B2053)=1,MAX($AV$1:AV2052)+1,""))</f>
        <v/>
      </c>
    </row>
    <row r="2054" customFormat="false" ht="15" hidden="false" customHeight="false" outlineLevel="0" collapsed="false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7" t="str">
        <f aca="false">IF(B2054="","",IF(COUNTIF($B$2:B2054,B2054)=1,MAX($AV$1:AV2053)+1,""))</f>
        <v/>
      </c>
    </row>
    <row r="2055" customFormat="false" ht="15" hidden="false" customHeight="false" outlineLevel="0" collapsed="false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7" t="str">
        <f aca="false">IF(B2055="","",IF(COUNTIF($B$2:B2055,B2055)=1,MAX($AV$1:AV2054)+1,""))</f>
        <v/>
      </c>
    </row>
    <row r="2056" customFormat="false" ht="15" hidden="false" customHeight="false" outlineLevel="0" collapsed="false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7" t="str">
        <f aca="false">IF(B2056="","",IF(COUNTIF($B$2:B2056,B2056)=1,MAX($AV$1:AV2055)+1,""))</f>
        <v/>
      </c>
    </row>
    <row r="2057" customFormat="false" ht="15" hidden="false" customHeight="false" outlineLevel="0" collapsed="false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7" t="str">
        <f aca="false">IF(B2057="","",IF(COUNTIF($B$2:B2057,B2057)=1,MAX($AV$1:AV2056)+1,""))</f>
        <v/>
      </c>
    </row>
    <row r="2058" customFormat="false" ht="15" hidden="false" customHeight="false" outlineLevel="0" collapsed="false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7" t="str">
        <f aca="false">IF(B2058="","",IF(COUNTIF($B$2:B2058,B2058)=1,MAX($AV$1:AV2057)+1,""))</f>
        <v/>
      </c>
    </row>
    <row r="2059" customFormat="false" ht="15" hidden="false" customHeight="false" outlineLevel="0" collapsed="false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7" t="str">
        <f aca="false">IF(B2059="","",IF(COUNTIF($B$2:B2059,B2059)=1,MAX($AV$1:AV2058)+1,""))</f>
        <v/>
      </c>
    </row>
    <row r="2060" customFormat="false" ht="15" hidden="false" customHeight="false" outlineLevel="0" collapsed="false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7" t="str">
        <f aca="false">IF(B2060="","",IF(COUNTIF($B$2:B2060,B2060)=1,MAX($AV$1:AV2059)+1,""))</f>
        <v/>
      </c>
    </row>
    <row r="2061" customFormat="false" ht="15" hidden="false" customHeight="false" outlineLevel="0" collapsed="false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7" t="str">
        <f aca="false">IF(B2061="","",IF(COUNTIF($B$2:B2061,B2061)=1,MAX($AV$1:AV2060)+1,""))</f>
        <v/>
      </c>
    </row>
    <row r="2062" customFormat="false" ht="15" hidden="false" customHeight="false" outlineLevel="0" collapsed="false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7" t="str">
        <f aca="false">IF(B2062="","",IF(COUNTIF($B$2:B2062,B2062)=1,MAX($AV$1:AV2061)+1,""))</f>
        <v/>
      </c>
    </row>
    <row r="2063" customFormat="false" ht="15" hidden="false" customHeight="false" outlineLevel="0" collapsed="false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7" t="str">
        <f aca="false">IF(B2063="","",IF(COUNTIF($B$2:B2063,B2063)=1,MAX($AV$1:AV2062)+1,""))</f>
        <v/>
      </c>
    </row>
    <row r="2064" customFormat="false" ht="15" hidden="false" customHeight="false" outlineLevel="0" collapsed="false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7" t="str">
        <f aca="false">IF(B2064="","",IF(COUNTIF($B$2:B2064,B2064)=1,MAX($AV$1:AV2063)+1,""))</f>
        <v/>
      </c>
    </row>
    <row r="2065" customFormat="false" ht="15" hidden="false" customHeight="false" outlineLevel="0" collapsed="false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7" t="str">
        <f aca="false">IF(B2065="","",IF(COUNTIF($B$2:B2065,B2065)=1,MAX($AV$1:AV2064)+1,""))</f>
        <v/>
      </c>
    </row>
    <row r="2066" customFormat="false" ht="15" hidden="false" customHeight="false" outlineLevel="0" collapsed="false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7" t="str">
        <f aca="false">IF(B2066="","",IF(COUNTIF($B$2:B2066,B2066)=1,MAX($AV$1:AV2065)+1,""))</f>
        <v/>
      </c>
    </row>
    <row r="2067" customFormat="false" ht="15" hidden="false" customHeight="false" outlineLevel="0" collapsed="false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7" t="str">
        <f aca="false">IF(B2067="","",IF(COUNTIF($B$2:B2067,B2067)=1,MAX($AV$1:AV2066)+1,""))</f>
        <v/>
      </c>
    </row>
    <row r="2068" customFormat="false" ht="15" hidden="false" customHeight="false" outlineLevel="0" collapsed="false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7" t="str">
        <f aca="false">IF(B2068="","",IF(COUNTIF($B$2:B2068,B2068)=1,MAX($AV$1:AV2067)+1,""))</f>
        <v/>
      </c>
    </row>
    <row r="2069" customFormat="false" ht="15" hidden="false" customHeight="false" outlineLevel="0" collapsed="false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7" t="str">
        <f aca="false">IF(B2069="","",IF(COUNTIF($B$2:B2069,B2069)=1,MAX($AV$1:AV2068)+1,""))</f>
        <v/>
      </c>
    </row>
    <row r="2070" customFormat="false" ht="15" hidden="false" customHeight="false" outlineLevel="0" collapsed="false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7" t="str">
        <f aca="false">IF(B2070="","",IF(COUNTIF($B$2:B2070,B2070)=1,MAX($AV$1:AV2069)+1,""))</f>
        <v/>
      </c>
    </row>
    <row r="2071" customFormat="false" ht="15" hidden="false" customHeight="false" outlineLevel="0" collapsed="false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7" t="str">
        <f aca="false">IF(B2071="","",IF(COUNTIF($B$2:B2071,B2071)=1,MAX($AV$1:AV2070)+1,""))</f>
        <v/>
      </c>
    </row>
    <row r="2072" customFormat="false" ht="15" hidden="false" customHeight="false" outlineLevel="0" collapsed="false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7" t="str">
        <f aca="false">IF(B2072="","",IF(COUNTIF($B$2:B2072,B2072)=1,MAX($AV$1:AV2071)+1,""))</f>
        <v/>
      </c>
    </row>
    <row r="2073" customFormat="false" ht="15" hidden="false" customHeight="false" outlineLevel="0" collapsed="false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7" t="str">
        <f aca="false">IF(B2073="","",IF(COUNTIF($B$2:B2073,B2073)=1,MAX($AV$1:AV2072)+1,""))</f>
        <v/>
      </c>
    </row>
    <row r="2074" customFormat="false" ht="15" hidden="false" customHeight="false" outlineLevel="0" collapsed="false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7" t="str">
        <f aca="false">IF(B2074="","",IF(COUNTIF($B$2:B2074,B2074)=1,MAX($AV$1:AV2073)+1,""))</f>
        <v/>
      </c>
    </row>
    <row r="2075" customFormat="false" ht="15" hidden="false" customHeight="false" outlineLevel="0" collapsed="false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7" t="str">
        <f aca="false">IF(B2075="","",IF(COUNTIF($B$2:B2075,B2075)=1,MAX($AV$1:AV2074)+1,""))</f>
        <v/>
      </c>
    </row>
    <row r="2076" customFormat="false" ht="15" hidden="false" customHeight="false" outlineLevel="0" collapsed="false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7" t="str">
        <f aca="false">IF(B2076="","",IF(COUNTIF($B$2:B2076,B2076)=1,MAX($AV$1:AV2075)+1,""))</f>
        <v/>
      </c>
    </row>
    <row r="2077" customFormat="false" ht="15" hidden="false" customHeight="false" outlineLevel="0" collapsed="false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7" t="str">
        <f aca="false">IF(B2077="","",IF(COUNTIF($B$2:B2077,B2077)=1,MAX($AV$1:AV2076)+1,""))</f>
        <v/>
      </c>
    </row>
    <row r="2078" customFormat="false" ht="15" hidden="false" customHeight="false" outlineLevel="0" collapsed="false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7" t="str">
        <f aca="false">IF(B2078="","",IF(COUNTIF($B$2:B2078,B2078)=1,MAX($AV$1:AV2077)+1,""))</f>
        <v/>
      </c>
    </row>
    <row r="2079" customFormat="false" ht="15" hidden="false" customHeight="false" outlineLevel="0" collapsed="false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7" t="str">
        <f aca="false">IF(B2079="","",IF(COUNTIF($B$2:B2079,B2079)=1,MAX($AV$1:AV2078)+1,""))</f>
        <v/>
      </c>
    </row>
    <row r="2080" customFormat="false" ht="15" hidden="false" customHeight="false" outlineLevel="0" collapsed="false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7" t="str">
        <f aca="false">IF(B2080="","",IF(COUNTIF($B$2:B2080,B2080)=1,MAX($AV$1:AV2079)+1,""))</f>
        <v/>
      </c>
    </row>
    <row r="2081" customFormat="false" ht="15" hidden="false" customHeight="false" outlineLevel="0" collapsed="false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7" t="str">
        <f aca="false">IF(B2081="","",IF(COUNTIF($B$2:B2081,B2081)=1,MAX($AV$1:AV2080)+1,""))</f>
        <v/>
      </c>
    </row>
    <row r="2082" customFormat="false" ht="15" hidden="false" customHeight="false" outlineLevel="0" collapsed="false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7" t="str">
        <f aca="false">IF(B2082="","",IF(COUNTIF($B$2:B2082,B2082)=1,MAX($AV$1:AV2081)+1,""))</f>
        <v/>
      </c>
    </row>
    <row r="2083" customFormat="false" ht="15" hidden="false" customHeight="false" outlineLevel="0" collapsed="false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7" t="str">
        <f aca="false">IF(B2083="","",IF(COUNTIF($B$2:B2083,B2083)=1,MAX($AV$1:AV2082)+1,""))</f>
        <v/>
      </c>
    </row>
    <row r="2084" customFormat="false" ht="15" hidden="false" customHeight="false" outlineLevel="0" collapsed="false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7" t="str">
        <f aca="false">IF(B2084="","",IF(COUNTIF($B$2:B2084,B2084)=1,MAX($AV$1:AV2083)+1,""))</f>
        <v/>
      </c>
    </row>
    <row r="2085" customFormat="false" ht="15" hidden="false" customHeight="false" outlineLevel="0" collapsed="false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7" t="str">
        <f aca="false">IF(B2085="","",IF(COUNTIF($B$2:B2085,B2085)=1,MAX($AV$1:AV2084)+1,""))</f>
        <v/>
      </c>
    </row>
    <row r="2086" customFormat="false" ht="15" hidden="false" customHeight="false" outlineLevel="0" collapsed="false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7" t="str">
        <f aca="false">IF(B2086="","",IF(COUNTIF($B$2:B2086,B2086)=1,MAX($AV$1:AV2085)+1,""))</f>
        <v/>
      </c>
    </row>
    <row r="2087" customFormat="false" ht="15" hidden="false" customHeight="false" outlineLevel="0" collapsed="false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7" t="str">
        <f aca="false">IF(B2087="","",IF(COUNTIF($B$2:B2087,B2087)=1,MAX($AV$1:AV2086)+1,""))</f>
        <v/>
      </c>
    </row>
    <row r="2088" customFormat="false" ht="15" hidden="false" customHeight="false" outlineLevel="0" collapsed="false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7" t="str">
        <f aca="false">IF(B2088="","",IF(COUNTIF($B$2:B2088,B2088)=1,MAX($AV$1:AV2087)+1,""))</f>
        <v/>
      </c>
    </row>
    <row r="2089" customFormat="false" ht="15" hidden="false" customHeight="false" outlineLevel="0" collapsed="false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7" t="str">
        <f aca="false">IF(B2089="","",IF(COUNTIF($B$2:B2089,B2089)=1,MAX($AV$1:AV2088)+1,""))</f>
        <v/>
      </c>
    </row>
    <row r="2090" customFormat="false" ht="15" hidden="false" customHeight="false" outlineLevel="0" collapsed="false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7" t="str">
        <f aca="false">IF(B2090="","",IF(COUNTIF($B$2:B2090,B2090)=1,MAX($AV$1:AV2089)+1,""))</f>
        <v/>
      </c>
    </row>
    <row r="2091" customFormat="false" ht="15" hidden="false" customHeight="false" outlineLevel="0" collapsed="false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7" t="str">
        <f aca="false">IF(B2091="","",IF(COUNTIF($B$2:B2091,B2091)=1,MAX($AV$1:AV2090)+1,""))</f>
        <v/>
      </c>
    </row>
    <row r="2092" customFormat="false" ht="15" hidden="false" customHeight="false" outlineLevel="0" collapsed="false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7" t="str">
        <f aca="false">IF(B2092="","",IF(COUNTIF($B$2:B2092,B2092)=1,MAX($AV$1:AV2091)+1,""))</f>
        <v/>
      </c>
    </row>
    <row r="2093" customFormat="false" ht="15" hidden="false" customHeight="false" outlineLevel="0" collapsed="false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7" t="str">
        <f aca="false">IF(B2093="","",IF(COUNTIF($B$2:B2093,B2093)=1,MAX($AV$1:AV2092)+1,""))</f>
        <v/>
      </c>
    </row>
    <row r="2094" customFormat="false" ht="15" hidden="false" customHeight="false" outlineLevel="0" collapsed="false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7" t="str">
        <f aca="false">IF(B2094="","",IF(COUNTIF($B$2:B2094,B2094)=1,MAX($AV$1:AV2093)+1,""))</f>
        <v/>
      </c>
    </row>
    <row r="2095" customFormat="false" ht="15" hidden="false" customHeight="false" outlineLevel="0" collapsed="false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7" t="str">
        <f aca="false">IF(B2095="","",IF(COUNTIF($B$2:B2095,B2095)=1,MAX($AV$1:AV2094)+1,""))</f>
        <v/>
      </c>
    </row>
    <row r="2096" customFormat="false" ht="15" hidden="false" customHeight="false" outlineLevel="0" collapsed="false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7" t="str">
        <f aca="false">IF(B2096="","",IF(COUNTIF($B$2:B2096,B2096)=1,MAX($AV$1:AV2095)+1,""))</f>
        <v/>
      </c>
    </row>
    <row r="2097" customFormat="false" ht="15" hidden="false" customHeight="false" outlineLevel="0" collapsed="false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7" t="str">
        <f aca="false">IF(B2097="","",IF(COUNTIF($B$2:B2097,B2097)=1,MAX($AV$1:AV2096)+1,""))</f>
        <v/>
      </c>
    </row>
    <row r="2098" customFormat="false" ht="15" hidden="false" customHeight="false" outlineLevel="0" collapsed="false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7" t="str">
        <f aca="false">IF(B2098="","",IF(COUNTIF($B$2:B2098,B2098)=1,MAX($AV$1:AV2097)+1,""))</f>
        <v/>
      </c>
    </row>
    <row r="2099" customFormat="false" ht="15" hidden="false" customHeight="false" outlineLevel="0" collapsed="false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7" t="str">
        <f aca="false">IF(B2099="","",IF(COUNTIF($B$2:B2099,B2099)=1,MAX($AV$1:AV2098)+1,""))</f>
        <v/>
      </c>
    </row>
    <row r="2100" customFormat="false" ht="15" hidden="false" customHeight="false" outlineLevel="0" collapsed="false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7" t="str">
        <f aca="false">IF(B2100="","",IF(COUNTIF($B$2:B2100,B2100)=1,MAX($AV$1:AV2099)+1,""))</f>
        <v/>
      </c>
    </row>
    <row r="2101" customFormat="false" ht="15" hidden="false" customHeight="false" outlineLevel="0" collapsed="false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7" t="str">
        <f aca="false">IF(B2101="","",IF(COUNTIF($B$2:B2101,B2101)=1,MAX($AV$1:AV2100)+1,""))</f>
        <v/>
      </c>
    </row>
    <row r="2102" customFormat="false" ht="15" hidden="false" customHeight="false" outlineLevel="0" collapsed="false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7" t="str">
        <f aca="false">IF(B2102="","",IF(COUNTIF($B$2:B2102,B2102)=1,MAX($AV$1:AV2101)+1,""))</f>
        <v/>
      </c>
    </row>
    <row r="2103" customFormat="false" ht="15" hidden="false" customHeight="false" outlineLevel="0" collapsed="false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7" t="str">
        <f aca="false">IF(B2103="","",IF(COUNTIF($B$2:B2103,B2103)=1,MAX($AV$1:AV2102)+1,""))</f>
        <v/>
      </c>
    </row>
    <row r="2104" customFormat="false" ht="15" hidden="false" customHeight="false" outlineLevel="0" collapsed="false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7" t="str">
        <f aca="false">IF(B2104="","",IF(COUNTIF($B$2:B2104,B2104)=1,MAX($AV$1:AV2103)+1,""))</f>
        <v/>
      </c>
    </row>
    <row r="2105" customFormat="false" ht="15" hidden="false" customHeight="false" outlineLevel="0" collapsed="false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7" t="str">
        <f aca="false">IF(B2105="","",IF(COUNTIF($B$2:B2105,B2105)=1,MAX($AV$1:AV2104)+1,""))</f>
        <v/>
      </c>
    </row>
    <row r="2106" customFormat="false" ht="15" hidden="false" customHeight="false" outlineLevel="0" collapsed="false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7" t="str">
        <f aca="false">IF(B2106="","",IF(COUNTIF($B$2:B2106,B2106)=1,MAX($AV$1:AV2105)+1,""))</f>
        <v/>
      </c>
    </row>
    <row r="2107" customFormat="false" ht="15" hidden="false" customHeight="false" outlineLevel="0" collapsed="false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7" t="str">
        <f aca="false">IF(B2107="","",IF(COUNTIF($B$2:B2107,B2107)=1,MAX($AV$1:AV2106)+1,""))</f>
        <v/>
      </c>
    </row>
    <row r="2108" customFormat="false" ht="15" hidden="false" customHeight="false" outlineLevel="0" collapsed="false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7" t="str">
        <f aca="false">IF(B2108="","",IF(COUNTIF($B$2:B2108,B2108)=1,MAX($AV$1:AV2107)+1,""))</f>
        <v/>
      </c>
    </row>
    <row r="2109" customFormat="false" ht="15" hidden="false" customHeight="false" outlineLevel="0" collapsed="false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7" t="str">
        <f aca="false">IF(B2109="","",IF(COUNTIF($B$2:B2109,B2109)=1,MAX($AV$1:AV2108)+1,""))</f>
        <v/>
      </c>
    </row>
    <row r="2110" customFormat="false" ht="15" hidden="false" customHeight="false" outlineLevel="0" collapsed="false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7" t="str">
        <f aca="false">IF(B2110="","",IF(COUNTIF($B$2:B2110,B2110)=1,MAX($AV$1:AV2109)+1,""))</f>
        <v/>
      </c>
    </row>
    <row r="2111" customFormat="false" ht="15" hidden="false" customHeight="false" outlineLevel="0" collapsed="false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7" t="str">
        <f aca="false">IF(B2111="","",IF(COUNTIF($B$2:B2111,B2111)=1,MAX($AV$1:AV2110)+1,""))</f>
        <v/>
      </c>
    </row>
    <row r="2112" customFormat="false" ht="15" hidden="false" customHeight="false" outlineLevel="0" collapsed="false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7" t="str">
        <f aca="false">IF(B2112="","",IF(COUNTIF($B$2:B2112,B2112)=1,MAX($AV$1:AV2111)+1,""))</f>
        <v/>
      </c>
    </row>
    <row r="2113" customFormat="false" ht="15" hidden="false" customHeight="false" outlineLevel="0" collapsed="false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7" t="str">
        <f aca="false">IF(B2113="","",IF(COUNTIF($B$2:B2113,B2113)=1,MAX($AV$1:AV2112)+1,""))</f>
        <v/>
      </c>
    </row>
    <row r="2114" customFormat="false" ht="15" hidden="false" customHeight="false" outlineLevel="0" collapsed="false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7" t="str">
        <f aca="false">IF(B2114="","",IF(COUNTIF($B$2:B2114,B2114)=1,MAX($AV$1:AV2113)+1,""))</f>
        <v/>
      </c>
    </row>
    <row r="2115" customFormat="false" ht="15" hidden="false" customHeight="false" outlineLevel="0" collapsed="false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7" t="str">
        <f aca="false">IF(B2115="","",IF(COUNTIF($B$2:B2115,B2115)=1,MAX($AV$1:AV2114)+1,""))</f>
        <v/>
      </c>
    </row>
    <row r="2116" customFormat="false" ht="15" hidden="false" customHeight="false" outlineLevel="0" collapsed="false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7" t="str">
        <f aca="false">IF(B2116="","",IF(COUNTIF($B$2:B2116,B2116)=1,MAX($AV$1:AV2115)+1,""))</f>
        <v/>
      </c>
    </row>
    <row r="2117" customFormat="false" ht="15" hidden="false" customHeight="false" outlineLevel="0" collapsed="false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7" t="str">
        <f aca="false">IF(B2117="","",IF(COUNTIF($B$2:B2117,B2117)=1,MAX($AV$1:AV2116)+1,""))</f>
        <v/>
      </c>
    </row>
    <row r="2118" customFormat="false" ht="15" hidden="false" customHeight="false" outlineLevel="0" collapsed="false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7" t="str">
        <f aca="false">IF(B2118="","",IF(COUNTIF($B$2:B2118,B2118)=1,MAX($AV$1:AV2117)+1,""))</f>
        <v/>
      </c>
    </row>
    <row r="2119" customFormat="false" ht="15" hidden="false" customHeight="false" outlineLevel="0" collapsed="false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7" t="str">
        <f aca="false">IF(B2119="","",IF(COUNTIF($B$2:B2119,B2119)=1,MAX($AV$1:AV2118)+1,""))</f>
        <v/>
      </c>
    </row>
    <row r="2120" customFormat="false" ht="15" hidden="false" customHeight="false" outlineLevel="0" collapsed="false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7" t="str">
        <f aca="false">IF(B2120="","",IF(COUNTIF($B$2:B2120,B2120)=1,MAX($AV$1:AV2119)+1,""))</f>
        <v/>
      </c>
    </row>
    <row r="2121" customFormat="false" ht="15" hidden="false" customHeight="false" outlineLevel="0" collapsed="false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7" t="str">
        <f aca="false">IF(B2121="","",IF(COUNTIF($B$2:B2121,B2121)=1,MAX($AV$1:AV2120)+1,""))</f>
        <v/>
      </c>
    </row>
    <row r="2122" customFormat="false" ht="15" hidden="false" customHeight="false" outlineLevel="0" collapsed="false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7" t="str">
        <f aca="false">IF(B2122="","",IF(COUNTIF($B$2:B2122,B2122)=1,MAX($AV$1:AV2121)+1,""))</f>
        <v/>
      </c>
    </row>
    <row r="2123" customFormat="false" ht="15" hidden="false" customHeight="false" outlineLevel="0" collapsed="false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7" t="str">
        <f aca="false">IF(B2123="","",IF(COUNTIF($B$2:B2123,B2123)=1,MAX($AV$1:AV2122)+1,""))</f>
        <v/>
      </c>
    </row>
    <row r="2124" customFormat="false" ht="15" hidden="false" customHeight="false" outlineLevel="0" collapsed="false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7" t="str">
        <f aca="false">IF(B2124="","",IF(COUNTIF($B$2:B2124,B2124)=1,MAX($AV$1:AV2123)+1,""))</f>
        <v/>
      </c>
    </row>
    <row r="2125" customFormat="false" ht="15" hidden="false" customHeight="false" outlineLevel="0" collapsed="false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7" t="str">
        <f aca="false">IF(B2125="","",IF(COUNTIF($B$2:B2125,B2125)=1,MAX($AV$1:AV2124)+1,""))</f>
        <v/>
      </c>
    </row>
    <row r="2126" customFormat="false" ht="15" hidden="false" customHeight="false" outlineLevel="0" collapsed="false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7" t="str">
        <f aca="false">IF(B2126="","",IF(COUNTIF($B$2:B2126,B2126)=1,MAX($AV$1:AV2125)+1,""))</f>
        <v/>
      </c>
    </row>
    <row r="2127" customFormat="false" ht="15" hidden="false" customHeight="false" outlineLevel="0" collapsed="false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7" t="str">
        <f aca="false">IF(B2127="","",IF(COUNTIF($B$2:B2127,B2127)=1,MAX($AV$1:AV2126)+1,""))</f>
        <v/>
      </c>
    </row>
    <row r="2128" customFormat="false" ht="15" hidden="false" customHeight="false" outlineLevel="0" collapsed="false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7" t="str">
        <f aca="false">IF(B2128="","",IF(COUNTIF($B$2:B2128,B2128)=1,MAX($AV$1:AV2127)+1,""))</f>
        <v/>
      </c>
    </row>
    <row r="2129" customFormat="false" ht="15" hidden="false" customHeight="false" outlineLevel="0" collapsed="false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7" t="str">
        <f aca="false">IF(B2129="","",IF(COUNTIF($B$2:B2129,B2129)=1,MAX($AV$1:AV2128)+1,""))</f>
        <v/>
      </c>
    </row>
    <row r="2130" customFormat="false" ht="15" hidden="false" customHeight="false" outlineLevel="0" collapsed="false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7" t="str">
        <f aca="false">IF(B2130="","",IF(COUNTIF($B$2:B2130,B2130)=1,MAX($AV$1:AV2129)+1,""))</f>
        <v/>
      </c>
    </row>
    <row r="2131" customFormat="false" ht="15" hidden="false" customHeight="false" outlineLevel="0" collapsed="false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7" t="str">
        <f aca="false">IF(B2131="","",IF(COUNTIF($B$2:B2131,B2131)=1,MAX($AV$1:AV2130)+1,""))</f>
        <v/>
      </c>
    </row>
    <row r="2132" customFormat="false" ht="15" hidden="false" customHeight="false" outlineLevel="0" collapsed="false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7" t="str">
        <f aca="false">IF(B2132="","",IF(COUNTIF($B$2:B2132,B2132)=1,MAX($AV$1:AV2131)+1,""))</f>
        <v/>
      </c>
    </row>
    <row r="2133" customFormat="false" ht="15" hidden="false" customHeight="false" outlineLevel="0" collapsed="false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7" t="str">
        <f aca="false">IF(B2133="","",IF(COUNTIF($B$2:B2133,B2133)=1,MAX($AV$1:AV2132)+1,""))</f>
        <v/>
      </c>
    </row>
    <row r="2134" customFormat="false" ht="15" hidden="false" customHeight="false" outlineLevel="0" collapsed="false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7" t="str">
        <f aca="false">IF(B2134="","",IF(COUNTIF($B$2:B2134,B2134)=1,MAX($AV$1:AV2133)+1,""))</f>
        <v/>
      </c>
    </row>
    <row r="2135" customFormat="false" ht="15" hidden="false" customHeight="false" outlineLevel="0" collapsed="false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7" t="str">
        <f aca="false">IF(B2135="","",IF(COUNTIF($B$2:B2135,B2135)=1,MAX($AV$1:AV2134)+1,""))</f>
        <v/>
      </c>
    </row>
    <row r="2136" customFormat="false" ht="15" hidden="false" customHeight="false" outlineLevel="0" collapsed="false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7" t="str">
        <f aca="false">IF(B2136="","",IF(COUNTIF($B$2:B2136,B2136)=1,MAX($AV$1:AV2135)+1,""))</f>
        <v/>
      </c>
    </row>
    <row r="2137" customFormat="false" ht="15" hidden="false" customHeight="false" outlineLevel="0" collapsed="false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7" t="str">
        <f aca="false">IF(B2137="","",IF(COUNTIF($B$2:B2137,B2137)=1,MAX($AV$1:AV2136)+1,""))</f>
        <v/>
      </c>
    </row>
    <row r="2138" customFormat="false" ht="15" hidden="false" customHeight="false" outlineLevel="0" collapsed="false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7" t="str">
        <f aca="false">IF(B2138="","",IF(COUNTIF($B$2:B2138,B2138)=1,MAX($AV$1:AV2137)+1,""))</f>
        <v/>
      </c>
    </row>
    <row r="2139" customFormat="false" ht="15" hidden="false" customHeight="false" outlineLevel="0" collapsed="false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7" t="str">
        <f aca="false">IF(B2139="","",IF(COUNTIF($B$2:B2139,B2139)=1,MAX($AV$1:AV2138)+1,""))</f>
        <v/>
      </c>
    </row>
    <row r="2140" customFormat="false" ht="15" hidden="false" customHeight="false" outlineLevel="0" collapsed="false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7" t="str">
        <f aca="false">IF(B2140="","",IF(COUNTIF($B$2:B2140,B2140)=1,MAX($AV$1:AV2139)+1,""))</f>
        <v/>
      </c>
    </row>
    <row r="2141" customFormat="false" ht="15" hidden="false" customHeight="false" outlineLevel="0" collapsed="false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7" t="str">
        <f aca="false">IF(B2141="","",IF(COUNTIF($B$2:B2141,B2141)=1,MAX($AV$1:AV2140)+1,""))</f>
        <v/>
      </c>
    </row>
    <row r="2142" customFormat="false" ht="15" hidden="false" customHeight="false" outlineLevel="0" collapsed="false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7" t="str">
        <f aca="false">IF(B2142="","",IF(COUNTIF($B$2:B2142,B2142)=1,MAX($AV$1:AV2141)+1,""))</f>
        <v/>
      </c>
    </row>
    <row r="2143" customFormat="false" ht="15" hidden="false" customHeight="false" outlineLevel="0" collapsed="false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7" t="str">
        <f aca="false">IF(B2143="","",IF(COUNTIF($B$2:B2143,B2143)=1,MAX($AV$1:AV2142)+1,""))</f>
        <v/>
      </c>
    </row>
    <row r="2144" customFormat="false" ht="15" hidden="false" customHeight="false" outlineLevel="0" collapsed="false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7" t="str">
        <f aca="false">IF(B2144="","",IF(COUNTIF($B$2:B2144,B2144)=1,MAX($AV$1:AV2143)+1,""))</f>
        <v/>
      </c>
    </row>
    <row r="2145" customFormat="false" ht="15" hidden="false" customHeight="false" outlineLevel="0" collapsed="false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7" t="str">
        <f aca="false">IF(B2145="","",IF(COUNTIF($B$2:B2145,B2145)=1,MAX($AV$1:AV2144)+1,""))</f>
        <v/>
      </c>
    </row>
    <row r="2146" customFormat="false" ht="15" hidden="false" customHeight="false" outlineLevel="0" collapsed="false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7" t="str">
        <f aca="false">IF(B2146="","",IF(COUNTIF($B$2:B2146,B2146)=1,MAX($AV$1:AV2145)+1,""))</f>
        <v/>
      </c>
    </row>
    <row r="2147" customFormat="false" ht="15" hidden="false" customHeight="false" outlineLevel="0" collapsed="false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7" t="str">
        <f aca="false">IF(B2147="","",IF(COUNTIF($B$2:B2147,B2147)=1,MAX($AV$1:AV2146)+1,""))</f>
        <v/>
      </c>
    </row>
    <row r="2148" customFormat="false" ht="15" hidden="false" customHeight="false" outlineLevel="0" collapsed="false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7" t="str">
        <f aca="false">IF(B2148="","",IF(COUNTIF($B$2:B2148,B2148)=1,MAX($AV$1:AV2147)+1,""))</f>
        <v/>
      </c>
    </row>
    <row r="2149" customFormat="false" ht="15" hidden="false" customHeight="false" outlineLevel="0" collapsed="false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7" t="str">
        <f aca="false">IF(B2149="","",IF(COUNTIF($B$2:B2149,B2149)=1,MAX($AV$1:AV2148)+1,""))</f>
        <v/>
      </c>
    </row>
    <row r="2150" customFormat="false" ht="15" hidden="false" customHeight="false" outlineLevel="0" collapsed="false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7" t="str">
        <f aca="false">IF(B2150="","",IF(COUNTIF($B$2:B2150,B2150)=1,MAX($AV$1:AV2149)+1,""))</f>
        <v/>
      </c>
    </row>
    <row r="2151" customFormat="false" ht="15" hidden="false" customHeight="false" outlineLevel="0" collapsed="false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7" t="str">
        <f aca="false">IF(B2151="","",IF(COUNTIF($B$2:B2151,B2151)=1,MAX($AV$1:AV2150)+1,""))</f>
        <v/>
      </c>
    </row>
    <row r="2152" customFormat="false" ht="15" hidden="false" customHeight="false" outlineLevel="0" collapsed="false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7" t="str">
        <f aca="false">IF(B2152="","",IF(COUNTIF($B$2:B2152,B2152)=1,MAX($AV$1:AV2151)+1,""))</f>
        <v/>
      </c>
    </row>
    <row r="2153" customFormat="false" ht="15" hidden="false" customHeight="false" outlineLevel="0" collapsed="false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7" t="str">
        <f aca="false">IF(B2153="","",IF(COUNTIF($B$2:B2153,B2153)=1,MAX($AV$1:AV2152)+1,""))</f>
        <v/>
      </c>
    </row>
    <row r="2154" customFormat="false" ht="15" hidden="false" customHeight="false" outlineLevel="0" collapsed="false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7" t="str">
        <f aca="false">IF(B2154="","",IF(COUNTIF($B$2:B2154,B2154)=1,MAX($AV$1:AV2153)+1,""))</f>
        <v/>
      </c>
    </row>
    <row r="2155" customFormat="false" ht="15" hidden="false" customHeight="false" outlineLevel="0" collapsed="false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7" t="str">
        <f aca="false">IF(B2155="","",IF(COUNTIF($B$2:B2155,B2155)=1,MAX($AV$1:AV2154)+1,""))</f>
        <v/>
      </c>
    </row>
    <row r="2156" customFormat="false" ht="15" hidden="false" customHeight="false" outlineLevel="0" collapsed="false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7" t="str">
        <f aca="false">IF(B2156="","",IF(COUNTIF($B$2:B2156,B2156)=1,MAX($AV$1:AV2155)+1,""))</f>
        <v/>
      </c>
    </row>
    <row r="2157" customFormat="false" ht="15" hidden="false" customHeight="false" outlineLevel="0" collapsed="false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7" t="str">
        <f aca="false">IF(B2157="","",IF(COUNTIF($B$2:B2157,B2157)=1,MAX($AV$1:AV2156)+1,""))</f>
        <v/>
      </c>
    </row>
    <row r="2158" customFormat="false" ht="15" hidden="false" customHeight="false" outlineLevel="0" collapsed="false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7" t="str">
        <f aca="false">IF(B2158="","",IF(COUNTIF($B$2:B2158,B2158)=1,MAX($AV$1:AV2157)+1,""))</f>
        <v/>
      </c>
    </row>
    <row r="2159" customFormat="false" ht="15" hidden="false" customHeight="false" outlineLevel="0" collapsed="false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7" t="str">
        <f aca="false">IF(B2159="","",IF(COUNTIF($B$2:B2159,B2159)=1,MAX($AV$1:AV2158)+1,""))</f>
        <v/>
      </c>
    </row>
    <row r="2160" customFormat="false" ht="15" hidden="false" customHeight="false" outlineLevel="0" collapsed="false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7" t="str">
        <f aca="false">IF(B2160="","",IF(COUNTIF($B$2:B2160,B2160)=1,MAX($AV$1:AV2159)+1,""))</f>
        <v/>
      </c>
    </row>
    <row r="2161" customFormat="false" ht="15" hidden="false" customHeight="false" outlineLevel="0" collapsed="false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7" t="str">
        <f aca="false">IF(B2161="","",IF(COUNTIF($B$2:B2161,B2161)=1,MAX($AV$1:AV2160)+1,""))</f>
        <v/>
      </c>
    </row>
    <row r="2162" customFormat="false" ht="15" hidden="false" customHeight="false" outlineLevel="0" collapsed="false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7" t="str">
        <f aca="false">IF(B2162="","",IF(COUNTIF($B$2:B2162,B2162)=1,MAX($AV$1:AV2161)+1,""))</f>
        <v/>
      </c>
    </row>
    <row r="2163" customFormat="false" ht="15" hidden="false" customHeight="false" outlineLevel="0" collapsed="false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7" t="str">
        <f aca="false">IF(B2163="","",IF(COUNTIF($B$2:B2163,B2163)=1,MAX($AV$1:AV2162)+1,""))</f>
        <v/>
      </c>
    </row>
    <row r="2164" customFormat="false" ht="15" hidden="false" customHeight="false" outlineLevel="0" collapsed="false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7" t="str">
        <f aca="false">IF(B2164="","",IF(COUNTIF($B$2:B2164,B2164)=1,MAX($AV$1:AV2163)+1,""))</f>
        <v/>
      </c>
    </row>
    <row r="2165" customFormat="false" ht="15" hidden="false" customHeight="false" outlineLevel="0" collapsed="false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7" t="str">
        <f aca="false">IF(B2165="","",IF(COUNTIF($B$2:B2165,B2165)=1,MAX($AV$1:AV2164)+1,""))</f>
        <v/>
      </c>
    </row>
    <row r="2166" customFormat="false" ht="15" hidden="false" customHeight="false" outlineLevel="0" collapsed="false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7" t="str">
        <f aca="false">IF(B2166="","",IF(COUNTIF($B$2:B2166,B2166)=1,MAX($AV$1:AV2165)+1,""))</f>
        <v/>
      </c>
    </row>
    <row r="2167" customFormat="false" ht="15" hidden="false" customHeight="false" outlineLevel="0" collapsed="false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7" t="str">
        <f aca="false">IF(B2167="","",IF(COUNTIF($B$2:B2167,B2167)=1,MAX($AV$1:AV2166)+1,""))</f>
        <v/>
      </c>
    </row>
    <row r="2168" customFormat="false" ht="15" hidden="false" customHeight="false" outlineLevel="0" collapsed="false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7" t="str">
        <f aca="false">IF(B2168="","",IF(COUNTIF($B$2:B2168,B2168)=1,MAX($AV$1:AV2167)+1,""))</f>
        <v/>
      </c>
    </row>
    <row r="2169" customFormat="false" ht="15" hidden="false" customHeight="false" outlineLevel="0" collapsed="false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7" t="str">
        <f aca="false">IF(B2169="","",IF(COUNTIF($B$2:B2169,B2169)=1,MAX($AV$1:AV2168)+1,""))</f>
        <v/>
      </c>
    </row>
    <row r="2170" customFormat="false" ht="15" hidden="false" customHeight="false" outlineLevel="0" collapsed="false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7" t="str">
        <f aca="false">IF(B2170="","",IF(COUNTIF($B$2:B2170,B2170)=1,MAX($AV$1:AV2169)+1,""))</f>
        <v/>
      </c>
    </row>
    <row r="2171" customFormat="false" ht="15" hidden="false" customHeight="false" outlineLevel="0" collapsed="false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7" t="str">
        <f aca="false">IF(B2171="","",IF(COUNTIF($B$2:B2171,B2171)=1,MAX($AV$1:AV2170)+1,""))</f>
        <v/>
      </c>
    </row>
    <row r="2172" customFormat="false" ht="15" hidden="false" customHeight="false" outlineLevel="0" collapsed="false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7" t="str">
        <f aca="false">IF(B2172="","",IF(COUNTIF($B$2:B2172,B2172)=1,MAX($AV$1:AV2171)+1,""))</f>
        <v/>
      </c>
    </row>
    <row r="2173" customFormat="false" ht="15" hidden="false" customHeight="false" outlineLevel="0" collapsed="false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7" t="str">
        <f aca="false">IF(B2173="","",IF(COUNTIF($B$2:B2173,B2173)=1,MAX($AV$1:AV2172)+1,""))</f>
        <v/>
      </c>
    </row>
    <row r="2174" customFormat="false" ht="15" hidden="false" customHeight="false" outlineLevel="0" collapsed="false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7" t="str">
        <f aca="false">IF(B2174="","",IF(COUNTIF($B$2:B2174,B2174)=1,MAX($AV$1:AV2173)+1,""))</f>
        <v/>
      </c>
    </row>
    <row r="2175" customFormat="false" ht="15" hidden="false" customHeight="false" outlineLevel="0" collapsed="false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7" t="str">
        <f aca="false">IF(B2175="","",IF(COUNTIF($B$2:B2175,B2175)=1,MAX($AV$1:AV2174)+1,""))</f>
        <v/>
      </c>
    </row>
    <row r="2176" customFormat="false" ht="15" hidden="false" customHeight="false" outlineLevel="0" collapsed="false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7" t="str">
        <f aca="false">IF(B2176="","",IF(COUNTIF($B$2:B2176,B2176)=1,MAX($AV$1:AV2175)+1,""))</f>
        <v/>
      </c>
    </row>
    <row r="2177" customFormat="false" ht="15" hidden="false" customHeight="false" outlineLevel="0" collapsed="false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7" t="str">
        <f aca="false">IF(B2177="","",IF(COUNTIF($B$2:B2177,B2177)=1,MAX($AV$1:AV2176)+1,""))</f>
        <v/>
      </c>
    </row>
    <row r="2178" customFormat="false" ht="15" hidden="false" customHeight="false" outlineLevel="0" collapsed="false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7" t="str">
        <f aca="false">IF(B2178="","",IF(COUNTIF($B$2:B2178,B2178)=1,MAX($AV$1:AV2177)+1,""))</f>
        <v/>
      </c>
    </row>
    <row r="2179" customFormat="false" ht="15" hidden="false" customHeight="false" outlineLevel="0" collapsed="false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7" t="str">
        <f aca="false">IF(B2179="","",IF(COUNTIF($B$2:B2179,B2179)=1,MAX($AV$1:AV2178)+1,""))</f>
        <v/>
      </c>
    </row>
    <row r="2180" customFormat="false" ht="15" hidden="false" customHeight="false" outlineLevel="0" collapsed="false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7" t="str">
        <f aca="false">IF(B2180="","",IF(COUNTIF($B$2:B2180,B2180)=1,MAX($AV$1:AV2179)+1,""))</f>
        <v/>
      </c>
    </row>
    <row r="2181" customFormat="false" ht="15" hidden="false" customHeight="false" outlineLevel="0" collapsed="false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7" t="str">
        <f aca="false">IF(B2181="","",IF(COUNTIF($B$2:B2181,B2181)=1,MAX($AV$1:AV2180)+1,""))</f>
        <v/>
      </c>
    </row>
    <row r="2182" customFormat="false" ht="15" hidden="false" customHeight="false" outlineLevel="0" collapsed="false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7" t="str">
        <f aca="false">IF(B2182="","",IF(COUNTIF($B$2:B2182,B2182)=1,MAX($AV$1:AV2181)+1,""))</f>
        <v/>
      </c>
    </row>
    <row r="2183" customFormat="false" ht="15" hidden="false" customHeight="false" outlineLevel="0" collapsed="false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7" t="str">
        <f aca="false">IF(B2183="","",IF(COUNTIF($B$2:B2183,B2183)=1,MAX($AV$1:AV2182)+1,""))</f>
        <v/>
      </c>
    </row>
    <row r="2184" customFormat="false" ht="15" hidden="false" customHeight="false" outlineLevel="0" collapsed="false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7" t="str">
        <f aca="false">IF(B2184="","",IF(COUNTIF($B$2:B2184,B2184)=1,MAX($AV$1:AV2183)+1,""))</f>
        <v/>
      </c>
    </row>
    <row r="2185" customFormat="false" ht="15" hidden="false" customHeight="false" outlineLevel="0" collapsed="false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7" t="str">
        <f aca="false">IF(B2185="","",IF(COUNTIF($B$2:B2185,B2185)=1,MAX($AV$1:AV2184)+1,""))</f>
        <v/>
      </c>
    </row>
    <row r="2186" customFormat="false" ht="15" hidden="false" customHeight="false" outlineLevel="0" collapsed="false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7" t="str">
        <f aca="false">IF(B2186="","",IF(COUNTIF($B$2:B2186,B2186)=1,MAX($AV$1:AV2185)+1,""))</f>
        <v/>
      </c>
    </row>
    <row r="2187" customFormat="false" ht="15" hidden="false" customHeight="false" outlineLevel="0" collapsed="false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7" t="str">
        <f aca="false">IF(B2187="","",IF(COUNTIF($B$2:B2187,B2187)=1,MAX($AV$1:AV2186)+1,""))</f>
        <v/>
      </c>
    </row>
    <row r="2188" customFormat="false" ht="15" hidden="false" customHeight="false" outlineLevel="0" collapsed="false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7" t="str">
        <f aca="false">IF(B2188="","",IF(COUNTIF($B$2:B2188,B2188)=1,MAX($AV$1:AV2187)+1,""))</f>
        <v/>
      </c>
    </row>
    <row r="2189" customFormat="false" ht="15" hidden="false" customHeight="false" outlineLevel="0" collapsed="false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7" t="str">
        <f aca="false">IF(B2189="","",IF(COUNTIF($B$2:B2189,B2189)=1,MAX($AV$1:AV2188)+1,""))</f>
        <v/>
      </c>
    </row>
    <row r="2190" customFormat="false" ht="15" hidden="false" customHeight="false" outlineLevel="0" collapsed="false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7" t="str">
        <f aca="false">IF(B2190="","",IF(COUNTIF($B$2:B2190,B2190)=1,MAX($AV$1:AV2189)+1,""))</f>
        <v/>
      </c>
    </row>
    <row r="2191" customFormat="false" ht="15" hidden="false" customHeight="false" outlineLevel="0" collapsed="false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7" t="str">
        <f aca="false">IF(B2191="","",IF(COUNTIF($B$2:B2191,B2191)=1,MAX($AV$1:AV2190)+1,""))</f>
        <v/>
      </c>
    </row>
    <row r="2192" customFormat="false" ht="15" hidden="false" customHeight="false" outlineLevel="0" collapsed="false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7" t="str">
        <f aca="false">IF(B2192="","",IF(COUNTIF($B$2:B2192,B2192)=1,MAX($AV$1:AV2191)+1,""))</f>
        <v/>
      </c>
    </row>
    <row r="2193" customFormat="false" ht="15" hidden="false" customHeight="false" outlineLevel="0" collapsed="false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7" t="str">
        <f aca="false">IF(B2193="","",IF(COUNTIF($B$2:B2193,B2193)=1,MAX($AV$1:AV2192)+1,""))</f>
        <v/>
      </c>
    </row>
    <row r="2194" customFormat="false" ht="15" hidden="false" customHeight="false" outlineLevel="0" collapsed="false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7" t="str">
        <f aca="false">IF(B2194="","",IF(COUNTIF($B$2:B2194,B2194)=1,MAX($AV$1:AV2193)+1,""))</f>
        <v/>
      </c>
    </row>
    <row r="2195" customFormat="false" ht="15" hidden="false" customHeight="false" outlineLevel="0" collapsed="false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7" t="str">
        <f aca="false">IF(B2195="","",IF(COUNTIF($B$2:B2195,B2195)=1,MAX($AV$1:AV2194)+1,""))</f>
        <v/>
      </c>
    </row>
    <row r="2196" customFormat="false" ht="15" hidden="false" customHeight="false" outlineLevel="0" collapsed="false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7" t="str">
        <f aca="false">IF(B2196="","",IF(COUNTIF($B$2:B2196,B2196)=1,MAX($AV$1:AV2195)+1,""))</f>
        <v/>
      </c>
    </row>
    <row r="2197" customFormat="false" ht="15" hidden="false" customHeight="false" outlineLevel="0" collapsed="false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7" t="str">
        <f aca="false">IF(B2197="","",IF(COUNTIF($B$2:B2197,B2197)=1,MAX($AV$1:AV2196)+1,""))</f>
        <v/>
      </c>
    </row>
    <row r="2198" customFormat="false" ht="15" hidden="false" customHeight="false" outlineLevel="0" collapsed="false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7" t="str">
        <f aca="false">IF(B2198="","",IF(COUNTIF($B$2:B2198,B2198)=1,MAX($AV$1:AV2197)+1,""))</f>
        <v/>
      </c>
    </row>
    <row r="2199" customFormat="false" ht="15" hidden="false" customHeight="false" outlineLevel="0" collapsed="false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7" t="str">
        <f aca="false">IF(B2199="","",IF(COUNTIF($B$2:B2199,B2199)=1,MAX($AV$1:AV2198)+1,""))</f>
        <v/>
      </c>
    </row>
    <row r="2200" customFormat="false" ht="15" hidden="false" customHeight="false" outlineLevel="0" collapsed="false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7" t="str">
        <f aca="false">IF(B2200="","",IF(COUNTIF($B$2:B2200,B2200)=1,MAX($AV$1:AV2199)+1,""))</f>
        <v/>
      </c>
    </row>
    <row r="2201" customFormat="false" ht="15" hidden="false" customHeight="false" outlineLevel="0" collapsed="false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7" t="str">
        <f aca="false">IF(B2201="","",IF(COUNTIF($B$2:B2201,B2201)=1,MAX($AV$1:AV2200)+1,""))</f>
        <v/>
      </c>
    </row>
    <row r="2202" customFormat="false" ht="15" hidden="false" customHeight="false" outlineLevel="0" collapsed="false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7" t="str">
        <f aca="false">IF(B2202="","",IF(COUNTIF($B$2:B2202,B2202)=1,MAX($AV$1:AV2201)+1,""))</f>
        <v/>
      </c>
    </row>
    <row r="2203" customFormat="false" ht="15" hidden="false" customHeight="false" outlineLevel="0" collapsed="false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7" t="str">
        <f aca="false">IF(B2203="","",IF(COUNTIF($B$2:B2203,B2203)=1,MAX($AV$1:AV2202)+1,""))</f>
        <v/>
      </c>
    </row>
    <row r="2204" customFormat="false" ht="15" hidden="false" customHeight="false" outlineLevel="0" collapsed="false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7" t="str">
        <f aca="false">IF(B2204="","",IF(COUNTIF($B$2:B2204,B2204)=1,MAX($AV$1:AV2203)+1,""))</f>
        <v/>
      </c>
    </row>
    <row r="2205" customFormat="false" ht="15" hidden="false" customHeight="false" outlineLevel="0" collapsed="false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7" t="str">
        <f aca="false">IF(B2205="","",IF(COUNTIF($B$2:B2205,B2205)=1,MAX($AV$1:AV2204)+1,""))</f>
        <v/>
      </c>
    </row>
    <row r="2206" customFormat="false" ht="15" hidden="false" customHeight="false" outlineLevel="0" collapsed="false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7" t="str">
        <f aca="false">IF(B2206="","",IF(COUNTIF($B$2:B2206,B2206)=1,MAX($AV$1:AV2205)+1,""))</f>
        <v/>
      </c>
    </row>
    <row r="2207" customFormat="false" ht="15" hidden="false" customHeight="false" outlineLevel="0" collapsed="false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7" t="str">
        <f aca="false">IF(B2207="","",IF(COUNTIF($B$2:B2207,B2207)=1,MAX($AV$1:AV2206)+1,""))</f>
        <v/>
      </c>
    </row>
    <row r="2208" customFormat="false" ht="15" hidden="false" customHeight="false" outlineLevel="0" collapsed="false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7" t="str">
        <f aca="false">IF(B2208="","",IF(COUNTIF($B$2:B2208,B2208)=1,MAX($AV$1:AV2207)+1,""))</f>
        <v/>
      </c>
    </row>
    <row r="2209" customFormat="false" ht="15" hidden="false" customHeight="false" outlineLevel="0" collapsed="false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  <c r="AV2209" s="7" t="str">
        <f aca="false">IF(B2209="","",IF(COUNTIF($B$2:B2209,B2209)=1,MAX($AV$1:AV2208)+1,""))</f>
        <v/>
      </c>
    </row>
    <row r="2210" customFormat="false" ht="15" hidden="false" customHeight="false" outlineLevel="0" collapsed="false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7" t="str">
        <f aca="false">IF(B2210="","",IF(COUNTIF($B$2:B2210,B2210)=1,MAX($AV$1:AV2209)+1,""))</f>
        <v/>
      </c>
    </row>
    <row r="2211" customFormat="false" ht="15" hidden="false" customHeight="false" outlineLevel="0" collapsed="false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7" t="str">
        <f aca="false">IF(B2211="","",IF(COUNTIF($B$2:B2211,B2211)=1,MAX($AV$1:AV2210)+1,""))</f>
        <v/>
      </c>
    </row>
    <row r="2212" customFormat="false" ht="15" hidden="false" customHeight="false" outlineLevel="0" collapsed="false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7" t="str">
        <f aca="false">IF(B2212="","",IF(COUNTIF($B$2:B2212,B2212)=1,MAX($AV$1:AV2211)+1,""))</f>
        <v/>
      </c>
    </row>
    <row r="2213" customFormat="false" ht="15" hidden="false" customHeight="false" outlineLevel="0" collapsed="false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7" t="str">
        <f aca="false">IF(B2213="","",IF(COUNTIF($B$2:B2213,B2213)=1,MAX($AV$1:AV2212)+1,""))</f>
        <v/>
      </c>
    </row>
    <row r="2214" customFormat="false" ht="15" hidden="false" customHeight="false" outlineLevel="0" collapsed="false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7" t="str">
        <f aca="false">IF(B2214="","",IF(COUNTIF($B$2:B2214,B2214)=1,MAX($AV$1:AV2213)+1,""))</f>
        <v/>
      </c>
    </row>
    <row r="2215" customFormat="false" ht="15" hidden="false" customHeight="false" outlineLevel="0" collapsed="false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7" t="str">
        <f aca="false">IF(B2215="","",IF(COUNTIF($B$2:B2215,B2215)=1,MAX($AV$1:AV2214)+1,""))</f>
        <v/>
      </c>
    </row>
    <row r="2216" customFormat="false" ht="15" hidden="false" customHeight="false" outlineLevel="0" collapsed="false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7" t="str">
        <f aca="false">IF(B2216="","",IF(COUNTIF($B$2:B2216,B2216)=1,MAX($AV$1:AV2215)+1,""))</f>
        <v/>
      </c>
    </row>
    <row r="2217" customFormat="false" ht="15" hidden="false" customHeight="false" outlineLevel="0" collapsed="false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7" t="str">
        <f aca="false">IF(B2217="","",IF(COUNTIF($B$2:B2217,B2217)=1,MAX($AV$1:AV2216)+1,""))</f>
        <v/>
      </c>
    </row>
    <row r="2218" customFormat="false" ht="15" hidden="false" customHeight="false" outlineLevel="0" collapsed="false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7" t="str">
        <f aca="false">IF(B2218="","",IF(COUNTIF($B$2:B2218,B2218)=1,MAX($AV$1:AV2217)+1,""))</f>
        <v/>
      </c>
    </row>
    <row r="2219" customFormat="false" ht="15" hidden="false" customHeight="false" outlineLevel="0" collapsed="false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7" t="str">
        <f aca="false">IF(B2219="","",IF(COUNTIF($B$2:B2219,B2219)=1,MAX($AV$1:AV2218)+1,""))</f>
        <v/>
      </c>
    </row>
    <row r="2220" customFormat="false" ht="15" hidden="false" customHeight="false" outlineLevel="0" collapsed="false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7" t="str">
        <f aca="false">IF(B2220="","",IF(COUNTIF($B$2:B2220,B2220)=1,MAX($AV$1:AV2219)+1,""))</f>
        <v/>
      </c>
    </row>
    <row r="2221" customFormat="false" ht="15" hidden="false" customHeight="false" outlineLevel="0" collapsed="false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7" t="str">
        <f aca="false">IF(B2221="","",IF(COUNTIF($B$2:B2221,B2221)=1,MAX($AV$1:AV2220)+1,""))</f>
        <v/>
      </c>
    </row>
    <row r="2222" customFormat="false" ht="15" hidden="false" customHeight="false" outlineLevel="0" collapsed="false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7" t="str">
        <f aca="false">IF(B2222="","",IF(COUNTIF($B$2:B2222,B2222)=1,MAX($AV$1:AV2221)+1,""))</f>
        <v/>
      </c>
    </row>
    <row r="2223" customFormat="false" ht="15" hidden="false" customHeight="false" outlineLevel="0" collapsed="false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7" t="str">
        <f aca="false">IF(B2223="","",IF(COUNTIF($B$2:B2223,B2223)=1,MAX($AV$1:AV2222)+1,""))</f>
        <v/>
      </c>
    </row>
    <row r="2224" customFormat="false" ht="15" hidden="false" customHeight="false" outlineLevel="0" collapsed="false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7" t="str">
        <f aca="false">IF(B2224="","",IF(COUNTIF($B$2:B2224,B2224)=1,MAX($AV$1:AV2223)+1,""))</f>
        <v/>
      </c>
    </row>
    <row r="2225" customFormat="false" ht="15" hidden="false" customHeight="false" outlineLevel="0" collapsed="false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7" t="str">
        <f aca="false">IF(B2225="","",IF(COUNTIF($B$2:B2225,B2225)=1,MAX($AV$1:AV2224)+1,""))</f>
        <v/>
      </c>
    </row>
    <row r="2226" customFormat="false" ht="15" hidden="false" customHeight="false" outlineLevel="0" collapsed="false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7" t="str">
        <f aca="false">IF(B2226="","",IF(COUNTIF($B$2:B2226,B2226)=1,MAX($AV$1:AV2225)+1,""))</f>
        <v/>
      </c>
    </row>
    <row r="2227" customFormat="false" ht="15" hidden="false" customHeight="false" outlineLevel="0" collapsed="false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7" t="str">
        <f aca="false">IF(B2227="","",IF(COUNTIF($B$2:B2227,B2227)=1,MAX($AV$1:AV2226)+1,""))</f>
        <v/>
      </c>
    </row>
    <row r="2228" customFormat="false" ht="15" hidden="false" customHeight="false" outlineLevel="0" collapsed="false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7" t="str">
        <f aca="false">IF(B2228="","",IF(COUNTIF($B$2:B2228,B2228)=1,MAX($AV$1:AV2227)+1,""))</f>
        <v/>
      </c>
    </row>
    <row r="2229" customFormat="false" ht="15" hidden="false" customHeight="false" outlineLevel="0" collapsed="false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7" t="str">
        <f aca="false">IF(B2229="","",IF(COUNTIF($B$2:B2229,B2229)=1,MAX($AV$1:AV2228)+1,""))</f>
        <v/>
      </c>
    </row>
    <row r="2230" customFormat="false" ht="15" hidden="false" customHeight="false" outlineLevel="0" collapsed="false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7" t="str">
        <f aca="false">IF(B2230="","",IF(COUNTIF($B$2:B2230,B2230)=1,MAX($AV$1:AV2229)+1,""))</f>
        <v/>
      </c>
    </row>
    <row r="2231" customFormat="false" ht="15" hidden="false" customHeight="false" outlineLevel="0" collapsed="false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7" t="str">
        <f aca="false">IF(B2231="","",IF(COUNTIF($B$2:B2231,B2231)=1,MAX($AV$1:AV2230)+1,""))</f>
        <v/>
      </c>
    </row>
    <row r="2232" customFormat="false" ht="15" hidden="false" customHeight="false" outlineLevel="0" collapsed="false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7" t="str">
        <f aca="false">IF(B2232="","",IF(COUNTIF($B$2:B2232,B2232)=1,MAX($AV$1:AV2231)+1,""))</f>
        <v/>
      </c>
    </row>
    <row r="2233" customFormat="false" ht="15" hidden="false" customHeight="false" outlineLevel="0" collapsed="false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7" t="str">
        <f aca="false">IF(B2233="","",IF(COUNTIF($B$2:B2233,B2233)=1,MAX($AV$1:AV2232)+1,""))</f>
        <v/>
      </c>
    </row>
    <row r="2234" customFormat="false" ht="15" hidden="false" customHeight="false" outlineLevel="0" collapsed="false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7" t="str">
        <f aca="false">IF(B2234="","",IF(COUNTIF($B$2:B2234,B2234)=1,MAX($AV$1:AV2233)+1,""))</f>
        <v/>
      </c>
    </row>
    <row r="2235" customFormat="false" ht="15" hidden="false" customHeight="false" outlineLevel="0" collapsed="false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7" t="str">
        <f aca="false">IF(B2235="","",IF(COUNTIF($B$2:B2235,B2235)=1,MAX($AV$1:AV2234)+1,""))</f>
        <v/>
      </c>
    </row>
    <row r="2236" customFormat="false" ht="15" hidden="false" customHeight="false" outlineLevel="0" collapsed="false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7" t="str">
        <f aca="false">IF(B2236="","",IF(COUNTIF($B$2:B2236,B2236)=1,MAX($AV$1:AV2235)+1,""))</f>
        <v/>
      </c>
    </row>
    <row r="2237" customFormat="false" ht="15" hidden="false" customHeight="false" outlineLevel="0" collapsed="false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7" t="str">
        <f aca="false">IF(B2237="","",IF(COUNTIF($B$2:B2237,B2237)=1,MAX($AV$1:AV2236)+1,""))</f>
        <v/>
      </c>
    </row>
    <row r="2238" customFormat="false" ht="15" hidden="false" customHeight="false" outlineLevel="0" collapsed="false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7" t="str">
        <f aca="false">IF(B2238="","",IF(COUNTIF($B$2:B2238,B2238)=1,MAX($AV$1:AV2237)+1,""))</f>
        <v/>
      </c>
    </row>
    <row r="2239" customFormat="false" ht="15" hidden="false" customHeight="false" outlineLevel="0" collapsed="false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7" t="str">
        <f aca="false">IF(B2239="","",IF(COUNTIF($B$2:B2239,B2239)=1,MAX($AV$1:AV2238)+1,""))</f>
        <v/>
      </c>
    </row>
    <row r="2240" customFormat="false" ht="15" hidden="false" customHeight="false" outlineLevel="0" collapsed="false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7" t="str">
        <f aca="false">IF(B2240="","",IF(COUNTIF($B$2:B2240,B2240)=1,MAX($AV$1:AV2239)+1,""))</f>
        <v/>
      </c>
    </row>
    <row r="2241" customFormat="false" ht="15" hidden="false" customHeight="false" outlineLevel="0" collapsed="false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7" t="str">
        <f aca="false">IF(B2241="","",IF(COUNTIF($B$2:B2241,B2241)=1,MAX($AV$1:AV2240)+1,""))</f>
        <v/>
      </c>
    </row>
    <row r="2242" customFormat="false" ht="15" hidden="false" customHeight="false" outlineLevel="0" collapsed="false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7" t="str">
        <f aca="false">IF(B2242="","",IF(COUNTIF($B$2:B2242,B2242)=1,MAX($AV$1:AV2241)+1,""))</f>
        <v/>
      </c>
    </row>
    <row r="2243" customFormat="false" ht="15" hidden="false" customHeight="false" outlineLevel="0" collapsed="false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7" t="str">
        <f aca="false">IF(B2243="","",IF(COUNTIF($B$2:B2243,B2243)=1,MAX($AV$1:AV2242)+1,""))</f>
        <v/>
      </c>
    </row>
    <row r="2244" customFormat="false" ht="15" hidden="false" customHeight="false" outlineLevel="0" collapsed="false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7" t="str">
        <f aca="false">IF(B2244="","",IF(COUNTIF($B$2:B2244,B2244)=1,MAX($AV$1:AV2243)+1,""))</f>
        <v/>
      </c>
    </row>
    <row r="2245" customFormat="false" ht="15" hidden="false" customHeight="false" outlineLevel="0" collapsed="false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7" t="str">
        <f aca="false">IF(B2245="","",IF(COUNTIF($B$2:B2245,B2245)=1,MAX($AV$1:AV2244)+1,""))</f>
        <v/>
      </c>
    </row>
    <row r="2246" customFormat="false" ht="15" hidden="false" customHeight="false" outlineLevel="0" collapsed="false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7" t="str">
        <f aca="false">IF(B2246="","",IF(COUNTIF($B$2:B2246,B2246)=1,MAX($AV$1:AV2245)+1,""))</f>
        <v/>
      </c>
    </row>
    <row r="2247" customFormat="false" ht="15" hidden="false" customHeight="false" outlineLevel="0" collapsed="false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7" t="str">
        <f aca="false">IF(B2247="","",IF(COUNTIF($B$2:B2247,B2247)=1,MAX($AV$1:AV2246)+1,""))</f>
        <v/>
      </c>
    </row>
    <row r="2248" customFormat="false" ht="15" hidden="false" customHeight="false" outlineLevel="0" collapsed="false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7" t="str">
        <f aca="false">IF(B2248="","",IF(COUNTIF($B$2:B2248,B2248)=1,MAX($AV$1:AV2247)+1,""))</f>
        <v/>
      </c>
    </row>
    <row r="2249" customFormat="false" ht="15" hidden="false" customHeight="false" outlineLevel="0" collapsed="false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7" t="str">
        <f aca="false">IF(B2249="","",IF(COUNTIF($B$2:B2249,B2249)=1,MAX($AV$1:AV2248)+1,""))</f>
        <v/>
      </c>
    </row>
    <row r="2250" customFormat="false" ht="15" hidden="false" customHeight="false" outlineLevel="0" collapsed="false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7" t="str">
        <f aca="false">IF(B2250="","",IF(COUNTIF($B$2:B2250,B2250)=1,MAX($AV$1:AV2249)+1,""))</f>
        <v/>
      </c>
    </row>
    <row r="2251" customFormat="false" ht="15" hidden="false" customHeight="false" outlineLevel="0" collapsed="false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7" t="str">
        <f aca="false">IF(B2251="","",IF(COUNTIF($B$2:B2251,B2251)=1,MAX($AV$1:AV2250)+1,""))</f>
        <v/>
      </c>
    </row>
    <row r="2252" customFormat="false" ht="15" hidden="false" customHeight="false" outlineLevel="0" collapsed="false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7" t="str">
        <f aca="false">IF(B2252="","",IF(COUNTIF($B$2:B2252,B2252)=1,MAX($AV$1:AV2251)+1,""))</f>
        <v/>
      </c>
    </row>
    <row r="2253" customFormat="false" ht="15" hidden="false" customHeight="false" outlineLevel="0" collapsed="false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7" t="str">
        <f aca="false">IF(B2253="","",IF(COUNTIF($B$2:B2253,B2253)=1,MAX($AV$1:AV2252)+1,""))</f>
        <v/>
      </c>
    </row>
    <row r="2254" customFormat="false" ht="15" hidden="false" customHeight="false" outlineLevel="0" collapsed="false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7" t="str">
        <f aca="false">IF(B2254="","",IF(COUNTIF($B$2:B2254,B2254)=1,MAX($AV$1:AV2253)+1,""))</f>
        <v/>
      </c>
    </row>
    <row r="2255" customFormat="false" ht="15" hidden="false" customHeight="false" outlineLevel="0" collapsed="false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7" t="str">
        <f aca="false">IF(B2255="","",IF(COUNTIF($B$2:B2255,B2255)=1,MAX($AV$1:AV2254)+1,""))</f>
        <v/>
      </c>
    </row>
    <row r="2256" customFormat="false" ht="15" hidden="false" customHeight="false" outlineLevel="0" collapsed="false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7" t="str">
        <f aca="false">IF(B2256="","",IF(COUNTIF($B$2:B2256,B2256)=1,MAX($AV$1:AV2255)+1,""))</f>
        <v/>
      </c>
    </row>
    <row r="2257" customFormat="false" ht="15" hidden="false" customHeight="false" outlineLevel="0" collapsed="false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7" t="str">
        <f aca="false">IF(B2257="","",IF(COUNTIF($B$2:B2257,B2257)=1,MAX($AV$1:AV2256)+1,""))</f>
        <v/>
      </c>
    </row>
    <row r="2258" customFormat="false" ht="15" hidden="false" customHeight="false" outlineLevel="0" collapsed="false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7" t="str">
        <f aca="false">IF(B2258="","",IF(COUNTIF($B$2:B2258,B2258)=1,MAX($AV$1:AV2257)+1,""))</f>
        <v/>
      </c>
    </row>
    <row r="2259" customFormat="false" ht="15" hidden="false" customHeight="false" outlineLevel="0" collapsed="false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7" t="str">
        <f aca="false">IF(B2259="","",IF(COUNTIF($B$2:B2259,B2259)=1,MAX($AV$1:AV2258)+1,""))</f>
        <v/>
      </c>
    </row>
    <row r="2260" customFormat="false" ht="15" hidden="false" customHeight="false" outlineLevel="0" collapsed="false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7" t="str">
        <f aca="false">IF(B2260="","",IF(COUNTIF($B$2:B2260,B2260)=1,MAX($AV$1:AV2259)+1,""))</f>
        <v/>
      </c>
    </row>
    <row r="2261" customFormat="false" ht="15" hidden="false" customHeight="false" outlineLevel="0" collapsed="false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7" t="str">
        <f aca="false">IF(B2261="","",IF(COUNTIF($B$2:B2261,B2261)=1,MAX($AV$1:AV2260)+1,""))</f>
        <v/>
      </c>
    </row>
    <row r="2262" customFormat="false" ht="15" hidden="false" customHeight="false" outlineLevel="0" collapsed="false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7" t="str">
        <f aca="false">IF(B2262="","",IF(COUNTIF($B$2:B2262,B2262)=1,MAX($AV$1:AV2261)+1,""))</f>
        <v/>
      </c>
    </row>
    <row r="2263" customFormat="false" ht="15" hidden="false" customHeight="false" outlineLevel="0" collapsed="false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7" t="str">
        <f aca="false">IF(B2263="","",IF(COUNTIF($B$2:B2263,B2263)=1,MAX($AV$1:AV2262)+1,""))</f>
        <v/>
      </c>
    </row>
    <row r="2264" customFormat="false" ht="15" hidden="false" customHeight="false" outlineLevel="0" collapsed="false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7" t="str">
        <f aca="false">IF(B2264="","",IF(COUNTIF($B$2:B2264,B2264)=1,MAX($AV$1:AV2263)+1,""))</f>
        <v/>
      </c>
    </row>
    <row r="2265" customFormat="false" ht="15" hidden="false" customHeight="false" outlineLevel="0" collapsed="false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7" t="str">
        <f aca="false">IF(B2265="","",IF(COUNTIF($B$2:B2265,B2265)=1,MAX($AV$1:AV2264)+1,""))</f>
        <v/>
      </c>
    </row>
    <row r="2266" customFormat="false" ht="15" hidden="false" customHeight="false" outlineLevel="0" collapsed="false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7" t="str">
        <f aca="false">IF(B2266="","",IF(COUNTIF($B$2:B2266,B2266)=1,MAX($AV$1:AV2265)+1,""))</f>
        <v/>
      </c>
    </row>
    <row r="2267" customFormat="false" ht="15" hidden="false" customHeight="false" outlineLevel="0" collapsed="false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7" t="str">
        <f aca="false">IF(B2267="","",IF(COUNTIF($B$2:B2267,B2267)=1,MAX($AV$1:AV2266)+1,""))</f>
        <v/>
      </c>
    </row>
    <row r="2268" customFormat="false" ht="15" hidden="false" customHeight="false" outlineLevel="0" collapsed="false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7" t="str">
        <f aca="false">IF(B2268="","",IF(COUNTIF($B$2:B2268,B2268)=1,MAX($AV$1:AV2267)+1,""))</f>
        <v/>
      </c>
    </row>
    <row r="2269" customFormat="false" ht="15" hidden="false" customHeight="false" outlineLevel="0" collapsed="false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7" t="str">
        <f aca="false">IF(B2269="","",IF(COUNTIF($B$2:B2269,B2269)=1,MAX($AV$1:AV2268)+1,""))</f>
        <v/>
      </c>
    </row>
    <row r="2270" customFormat="false" ht="15" hidden="false" customHeight="false" outlineLevel="0" collapsed="false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7" t="str">
        <f aca="false">IF(B2270="","",IF(COUNTIF($B$2:B2270,B2270)=1,MAX($AV$1:AV2269)+1,""))</f>
        <v/>
      </c>
    </row>
    <row r="2271" customFormat="false" ht="15" hidden="false" customHeight="false" outlineLevel="0" collapsed="false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7" t="str">
        <f aca="false">IF(B2271="","",IF(COUNTIF($B$2:B2271,B2271)=1,MAX($AV$1:AV2270)+1,""))</f>
        <v/>
      </c>
    </row>
    <row r="2272" customFormat="false" ht="15" hidden="false" customHeight="false" outlineLevel="0" collapsed="false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7" t="str">
        <f aca="false">IF(B2272="","",IF(COUNTIF($B$2:B2272,B2272)=1,MAX($AV$1:AV2271)+1,""))</f>
        <v/>
      </c>
    </row>
    <row r="2273" customFormat="false" ht="15" hidden="false" customHeight="false" outlineLevel="0" collapsed="false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7" t="str">
        <f aca="false">IF(B2273="","",IF(COUNTIF($B$2:B2273,B2273)=1,MAX($AV$1:AV2272)+1,""))</f>
        <v/>
      </c>
    </row>
    <row r="2274" customFormat="false" ht="15" hidden="false" customHeight="false" outlineLevel="0" collapsed="false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7" t="str">
        <f aca="false">IF(B2274="","",IF(COUNTIF($B$2:B2274,B2274)=1,MAX($AV$1:AV2273)+1,""))</f>
        <v/>
      </c>
    </row>
    <row r="2275" customFormat="false" ht="15" hidden="false" customHeight="false" outlineLevel="0" collapsed="false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7" t="str">
        <f aca="false">IF(B2275="","",IF(COUNTIF($B$2:B2275,B2275)=1,MAX($AV$1:AV2274)+1,""))</f>
        <v/>
      </c>
    </row>
    <row r="2276" customFormat="false" ht="15" hidden="false" customHeight="false" outlineLevel="0" collapsed="false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7" t="str">
        <f aca="false">IF(B2276="","",IF(COUNTIF($B$2:B2276,B2276)=1,MAX($AV$1:AV2275)+1,""))</f>
        <v/>
      </c>
    </row>
    <row r="2277" customFormat="false" ht="15" hidden="false" customHeight="false" outlineLevel="0" collapsed="false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7" t="str">
        <f aca="false">IF(B2277="","",IF(COUNTIF($B$2:B2277,B2277)=1,MAX($AV$1:AV2276)+1,""))</f>
        <v/>
      </c>
    </row>
    <row r="2278" customFormat="false" ht="15" hidden="false" customHeight="false" outlineLevel="0" collapsed="false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7" t="str">
        <f aca="false">IF(B2278="","",IF(COUNTIF($B$2:B2278,B2278)=1,MAX($AV$1:AV2277)+1,""))</f>
        <v/>
      </c>
    </row>
    <row r="2279" customFormat="false" ht="15" hidden="false" customHeight="false" outlineLevel="0" collapsed="false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7" t="str">
        <f aca="false">IF(B2279="","",IF(COUNTIF($B$2:B2279,B2279)=1,MAX($AV$1:AV2278)+1,""))</f>
        <v/>
      </c>
    </row>
    <row r="2280" customFormat="false" ht="15" hidden="false" customHeight="false" outlineLevel="0" collapsed="false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7" t="str">
        <f aca="false">IF(B2280="","",IF(COUNTIF($B$2:B2280,B2280)=1,MAX($AV$1:AV2279)+1,""))</f>
        <v/>
      </c>
    </row>
    <row r="2281" customFormat="false" ht="15" hidden="false" customHeight="false" outlineLevel="0" collapsed="false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7" t="str">
        <f aca="false">IF(B2281="","",IF(COUNTIF($B$2:B2281,B2281)=1,MAX($AV$1:AV2280)+1,""))</f>
        <v/>
      </c>
    </row>
    <row r="2282" customFormat="false" ht="15" hidden="false" customHeight="false" outlineLevel="0" collapsed="false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  <c r="AU2282" s="2"/>
      <c r="AV2282" s="7" t="str">
        <f aca="false">IF(B2282="","",IF(COUNTIF($B$2:B2282,B2282)=1,MAX($AV$1:AV2281)+1,""))</f>
        <v/>
      </c>
    </row>
    <row r="2283" customFormat="false" ht="15" hidden="false" customHeight="false" outlineLevel="0" collapsed="false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7" t="str">
        <f aca="false">IF(B2283="","",IF(COUNTIF($B$2:B2283,B2283)=1,MAX($AV$1:AV2282)+1,""))</f>
        <v/>
      </c>
    </row>
    <row r="2284" customFormat="false" ht="15" hidden="false" customHeight="false" outlineLevel="0" collapsed="false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7" t="str">
        <f aca="false">IF(B2284="","",IF(COUNTIF($B$2:B2284,B2284)=1,MAX($AV$1:AV2283)+1,""))</f>
        <v/>
      </c>
    </row>
    <row r="2285" customFormat="false" ht="15" hidden="false" customHeight="false" outlineLevel="0" collapsed="false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7" t="str">
        <f aca="false">IF(B2285="","",IF(COUNTIF($B$2:B2285,B2285)=1,MAX($AV$1:AV2284)+1,""))</f>
        <v/>
      </c>
    </row>
    <row r="2286" customFormat="false" ht="15" hidden="false" customHeight="false" outlineLevel="0" collapsed="false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  <c r="AV2286" s="7" t="str">
        <f aca="false">IF(B2286="","",IF(COUNTIF($B$2:B2286,B2286)=1,MAX($AV$1:AV2285)+1,""))</f>
        <v/>
      </c>
    </row>
    <row r="2287" customFormat="false" ht="15" hidden="false" customHeight="false" outlineLevel="0" collapsed="false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7" t="str">
        <f aca="false">IF(B2287="","",IF(COUNTIF($B$2:B2287,B2287)=1,MAX($AV$1:AV2286)+1,""))</f>
        <v/>
      </c>
    </row>
    <row r="2288" customFormat="false" ht="15" hidden="false" customHeight="false" outlineLevel="0" collapsed="false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7" t="str">
        <f aca="false">IF(B2288="","",IF(COUNTIF($B$2:B2288,B2288)=1,MAX($AV$1:AV2287)+1,""))</f>
        <v/>
      </c>
    </row>
    <row r="2289" customFormat="false" ht="15" hidden="false" customHeight="false" outlineLevel="0" collapsed="false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7" t="str">
        <f aca="false">IF(B2289="","",IF(COUNTIF($B$2:B2289,B2289)=1,MAX($AV$1:AV2288)+1,""))</f>
        <v/>
      </c>
    </row>
    <row r="2290" customFormat="false" ht="15" hidden="false" customHeight="false" outlineLevel="0" collapsed="false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7" t="str">
        <f aca="false">IF(B2290="","",IF(COUNTIF($B$2:B2290,B2290)=1,MAX($AV$1:AV2289)+1,""))</f>
        <v/>
      </c>
    </row>
    <row r="2291" customFormat="false" ht="15" hidden="false" customHeight="false" outlineLevel="0" collapsed="false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7" t="str">
        <f aca="false">IF(B2291="","",IF(COUNTIF($B$2:B2291,B2291)=1,MAX($AV$1:AV2290)+1,""))</f>
        <v/>
      </c>
    </row>
    <row r="2292" customFormat="false" ht="15" hidden="false" customHeight="false" outlineLevel="0" collapsed="false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7" t="str">
        <f aca="false">IF(B2292="","",IF(COUNTIF($B$2:B2292,B2292)=1,MAX($AV$1:AV2291)+1,""))</f>
        <v/>
      </c>
    </row>
    <row r="2293" customFormat="false" ht="15" hidden="false" customHeight="false" outlineLevel="0" collapsed="false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7" t="str">
        <f aca="false">IF(B2293="","",IF(COUNTIF($B$2:B2293,B2293)=1,MAX($AV$1:AV2292)+1,""))</f>
        <v/>
      </c>
    </row>
    <row r="2294" customFormat="false" ht="15" hidden="false" customHeight="false" outlineLevel="0" collapsed="false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7" t="str">
        <f aca="false">IF(B2294="","",IF(COUNTIF($B$2:B2294,B2294)=1,MAX($AV$1:AV2293)+1,""))</f>
        <v/>
      </c>
    </row>
    <row r="2295" customFormat="false" ht="15" hidden="false" customHeight="false" outlineLevel="0" collapsed="false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7" t="str">
        <f aca="false">IF(B2295="","",IF(COUNTIF($B$2:B2295,B2295)=1,MAX($AV$1:AV2294)+1,""))</f>
        <v/>
      </c>
    </row>
    <row r="2296" customFormat="false" ht="15" hidden="false" customHeight="false" outlineLevel="0" collapsed="false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7" t="str">
        <f aca="false">IF(B2296="","",IF(COUNTIF($B$2:B2296,B2296)=1,MAX($AV$1:AV2295)+1,""))</f>
        <v/>
      </c>
    </row>
    <row r="2297" customFormat="false" ht="15" hidden="false" customHeight="false" outlineLevel="0" collapsed="false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7" t="str">
        <f aca="false">IF(B2297="","",IF(COUNTIF($B$2:B2297,B2297)=1,MAX($AV$1:AV2296)+1,""))</f>
        <v/>
      </c>
    </row>
    <row r="2298" customFormat="false" ht="15" hidden="false" customHeight="false" outlineLevel="0" collapsed="false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7" t="str">
        <f aca="false">IF(B2298="","",IF(COUNTIF($B$2:B2298,B2298)=1,MAX($AV$1:AV2297)+1,""))</f>
        <v/>
      </c>
    </row>
    <row r="2299" customFormat="false" ht="15" hidden="false" customHeight="false" outlineLevel="0" collapsed="false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7" t="str">
        <f aca="false">IF(B2299="","",IF(COUNTIF($B$2:B2299,B2299)=1,MAX($AV$1:AV2298)+1,""))</f>
        <v/>
      </c>
    </row>
    <row r="2300" customFormat="false" ht="15" hidden="false" customHeight="false" outlineLevel="0" collapsed="false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7" t="str">
        <f aca="false">IF(B2300="","",IF(COUNTIF($B$2:B2300,B2300)=1,MAX($AV$1:AV2299)+1,""))</f>
        <v/>
      </c>
    </row>
    <row r="2301" customFormat="false" ht="15" hidden="false" customHeight="false" outlineLevel="0" collapsed="false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7" t="str">
        <f aca="false">IF(B2301="","",IF(COUNTIF($B$2:B2301,B2301)=1,MAX($AV$1:AV2300)+1,""))</f>
        <v/>
      </c>
    </row>
    <row r="2302" customFormat="false" ht="15" hidden="false" customHeight="false" outlineLevel="0" collapsed="false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7" t="str">
        <f aca="false">IF(B2302="","",IF(COUNTIF($B$2:B2302,B2302)=1,MAX($AV$1:AV2301)+1,""))</f>
        <v/>
      </c>
    </row>
    <row r="2303" customFormat="false" ht="15" hidden="false" customHeight="false" outlineLevel="0" collapsed="false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7" t="str">
        <f aca="false">IF(B2303="","",IF(COUNTIF($B$2:B2303,B2303)=1,MAX($AV$1:AV2302)+1,""))</f>
        <v/>
      </c>
    </row>
    <row r="2304" customFormat="false" ht="15" hidden="false" customHeight="false" outlineLevel="0" collapsed="false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7" t="str">
        <f aca="false">IF(B2304="","",IF(COUNTIF($B$2:B2304,B2304)=1,MAX($AV$1:AV2303)+1,""))</f>
        <v/>
      </c>
    </row>
    <row r="2305" customFormat="false" ht="15" hidden="false" customHeight="false" outlineLevel="0" collapsed="false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7" t="str">
        <f aca="false">IF(B2305="","",IF(COUNTIF($B$2:B2305,B2305)=1,MAX($AV$1:AV2304)+1,""))</f>
        <v/>
      </c>
    </row>
    <row r="2306" customFormat="false" ht="15" hidden="false" customHeight="false" outlineLevel="0" collapsed="false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7" t="str">
        <f aca="false">IF(B2306="","",IF(COUNTIF($B$2:B2306,B2306)=1,MAX($AV$1:AV2305)+1,""))</f>
        <v/>
      </c>
    </row>
    <row r="2307" customFormat="false" ht="15" hidden="false" customHeight="false" outlineLevel="0" collapsed="false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  <c r="AU2307" s="2"/>
      <c r="AV2307" s="7" t="str">
        <f aca="false">IF(B2307="","",IF(COUNTIF($B$2:B2307,B2307)=1,MAX($AV$1:AV2306)+1,""))</f>
        <v/>
      </c>
    </row>
    <row r="2308" customFormat="false" ht="15" hidden="false" customHeight="false" outlineLevel="0" collapsed="false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7" t="str">
        <f aca="false">IF(B2308="","",IF(COUNTIF($B$2:B2308,B2308)=1,MAX($AV$1:AV2307)+1,""))</f>
        <v/>
      </c>
    </row>
    <row r="2309" customFormat="false" ht="15" hidden="false" customHeight="false" outlineLevel="0" collapsed="false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  <c r="AV2309" s="7" t="str">
        <f aca="false">IF(B2309="","",IF(COUNTIF($B$2:B2309,B2309)=1,MAX($AV$1:AV2308)+1,""))</f>
        <v/>
      </c>
    </row>
    <row r="2310" customFormat="false" ht="15" hidden="false" customHeight="false" outlineLevel="0" collapsed="false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7" t="str">
        <f aca="false">IF(B2310="","",IF(COUNTIF($B$2:B2310,B2310)=1,MAX($AV$1:AV2309)+1,""))</f>
        <v/>
      </c>
    </row>
    <row r="2311" customFormat="false" ht="15" hidden="false" customHeight="false" outlineLevel="0" collapsed="false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7" t="str">
        <f aca="false">IF(B2311="","",IF(COUNTIF($B$2:B2311,B2311)=1,MAX($AV$1:AV2310)+1,""))</f>
        <v/>
      </c>
    </row>
    <row r="2312" customFormat="false" ht="15" hidden="false" customHeight="false" outlineLevel="0" collapsed="false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7" t="str">
        <f aca="false">IF(B2312="","",IF(COUNTIF($B$2:B2312,B2312)=1,MAX($AV$1:AV2311)+1,""))</f>
        <v/>
      </c>
    </row>
    <row r="2313" customFormat="false" ht="15" hidden="false" customHeight="false" outlineLevel="0" collapsed="false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7" t="str">
        <f aca="false">IF(B2313="","",IF(COUNTIF($B$2:B2313,B2313)=1,MAX($AV$1:AV2312)+1,""))</f>
        <v/>
      </c>
    </row>
    <row r="2314" customFormat="false" ht="15" hidden="false" customHeight="false" outlineLevel="0" collapsed="false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7" t="str">
        <f aca="false">IF(B2314="","",IF(COUNTIF($B$2:B2314,B2314)=1,MAX($AV$1:AV2313)+1,""))</f>
        <v/>
      </c>
    </row>
    <row r="2315" customFormat="false" ht="15" hidden="false" customHeight="false" outlineLevel="0" collapsed="false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7" t="str">
        <f aca="false">IF(B2315="","",IF(COUNTIF($B$2:B2315,B2315)=1,MAX($AV$1:AV2314)+1,""))</f>
        <v/>
      </c>
    </row>
    <row r="2316" customFormat="false" ht="15" hidden="false" customHeight="false" outlineLevel="0" collapsed="false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7" t="str">
        <f aca="false">IF(B2316="","",IF(COUNTIF($B$2:B2316,B2316)=1,MAX($AV$1:AV2315)+1,""))</f>
        <v/>
      </c>
    </row>
    <row r="2317" customFormat="false" ht="15" hidden="false" customHeight="false" outlineLevel="0" collapsed="false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7" t="str">
        <f aca="false">IF(B2317="","",IF(COUNTIF($B$2:B2317,B2317)=1,MAX($AV$1:AV2316)+1,""))</f>
        <v/>
      </c>
    </row>
    <row r="2318" customFormat="false" ht="15" hidden="false" customHeight="false" outlineLevel="0" collapsed="false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  <c r="AV2318" s="7" t="str">
        <f aca="false">IF(B2318="","",IF(COUNTIF($B$2:B2318,B2318)=1,MAX($AV$1:AV2317)+1,""))</f>
        <v/>
      </c>
    </row>
    <row r="2319" customFormat="false" ht="15" hidden="false" customHeight="false" outlineLevel="0" collapsed="false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7" t="str">
        <f aca="false">IF(B2319="","",IF(COUNTIF($B$2:B2319,B2319)=1,MAX($AV$1:AV2318)+1,""))</f>
        <v/>
      </c>
    </row>
    <row r="2320" customFormat="false" ht="15" hidden="false" customHeight="false" outlineLevel="0" collapsed="false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7" t="str">
        <f aca="false">IF(B2320="","",IF(COUNTIF($B$2:B2320,B2320)=1,MAX($AV$1:AV2319)+1,""))</f>
        <v/>
      </c>
    </row>
    <row r="2321" customFormat="false" ht="15" hidden="false" customHeight="false" outlineLevel="0" collapsed="false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7" t="str">
        <f aca="false">IF(B2321="","",IF(COUNTIF($B$2:B2321,B2321)=1,MAX($AV$1:AV2320)+1,""))</f>
        <v/>
      </c>
    </row>
    <row r="2322" customFormat="false" ht="15" hidden="false" customHeight="false" outlineLevel="0" collapsed="false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7" t="str">
        <f aca="false">IF(B2322="","",IF(COUNTIF($B$2:B2322,B2322)=1,MAX($AV$1:AV2321)+1,""))</f>
        <v/>
      </c>
    </row>
    <row r="2323" customFormat="false" ht="15" hidden="false" customHeight="false" outlineLevel="0" collapsed="false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7" t="str">
        <f aca="false">IF(B2323="","",IF(COUNTIF($B$2:B2323,B2323)=1,MAX($AV$1:AV2322)+1,""))</f>
        <v/>
      </c>
    </row>
    <row r="2324" customFormat="false" ht="15" hidden="false" customHeight="false" outlineLevel="0" collapsed="false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7" t="str">
        <f aca="false">IF(B2324="","",IF(COUNTIF($B$2:B2324,B2324)=1,MAX($AV$1:AV2323)+1,""))</f>
        <v/>
      </c>
    </row>
    <row r="2325" customFormat="false" ht="15" hidden="false" customHeight="false" outlineLevel="0" collapsed="false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7" t="str">
        <f aca="false">IF(B2325="","",IF(COUNTIF($B$2:B2325,B2325)=1,MAX($AV$1:AV2324)+1,""))</f>
        <v/>
      </c>
    </row>
    <row r="2326" customFormat="false" ht="15" hidden="false" customHeight="false" outlineLevel="0" collapsed="false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7" t="str">
        <f aca="false">IF(B2326="","",IF(COUNTIF($B$2:B2326,B2326)=1,MAX($AV$1:AV2325)+1,""))</f>
        <v/>
      </c>
    </row>
    <row r="2327" customFormat="false" ht="15" hidden="false" customHeight="false" outlineLevel="0" collapsed="false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7" t="str">
        <f aca="false">IF(B2327="","",IF(COUNTIF($B$2:B2327,B2327)=1,MAX($AV$1:AV2326)+1,""))</f>
        <v/>
      </c>
    </row>
    <row r="2328" customFormat="false" ht="15" hidden="false" customHeight="false" outlineLevel="0" collapsed="false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7" t="str">
        <f aca="false">IF(B2328="","",IF(COUNTIF($B$2:B2328,B2328)=1,MAX($AV$1:AV2327)+1,""))</f>
        <v/>
      </c>
    </row>
    <row r="2329" customFormat="false" ht="15" hidden="false" customHeight="false" outlineLevel="0" collapsed="false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  <c r="AV2329" s="7" t="str">
        <f aca="false">IF(B2329="","",IF(COUNTIF($B$2:B2329,B2329)=1,MAX($AV$1:AV2328)+1,""))</f>
        <v/>
      </c>
    </row>
    <row r="2330" customFormat="false" ht="15" hidden="false" customHeight="false" outlineLevel="0" collapsed="false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7" t="str">
        <f aca="false">IF(B2330="","",IF(COUNTIF($B$2:B2330,B2330)=1,MAX($AV$1:AV2329)+1,""))</f>
        <v/>
      </c>
    </row>
    <row r="2331" customFormat="false" ht="15" hidden="false" customHeight="false" outlineLevel="0" collapsed="false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7" t="str">
        <f aca="false">IF(B2331="","",IF(COUNTIF($B$2:B2331,B2331)=1,MAX($AV$1:AV2330)+1,""))</f>
        <v/>
      </c>
    </row>
    <row r="2332" customFormat="false" ht="15" hidden="false" customHeight="false" outlineLevel="0" collapsed="false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7" t="str">
        <f aca="false">IF(B2332="","",IF(COUNTIF($B$2:B2332,B2332)=1,MAX($AV$1:AV2331)+1,""))</f>
        <v/>
      </c>
    </row>
    <row r="2333" customFormat="false" ht="15" hidden="false" customHeight="false" outlineLevel="0" collapsed="false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7" t="str">
        <f aca="false">IF(B2333="","",IF(COUNTIF($B$2:B2333,B2333)=1,MAX($AV$1:AV2332)+1,""))</f>
        <v/>
      </c>
    </row>
    <row r="2334" customFormat="false" ht="15" hidden="false" customHeight="false" outlineLevel="0" collapsed="false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7" t="str">
        <f aca="false">IF(B2334="","",IF(COUNTIF($B$2:B2334,B2334)=1,MAX($AV$1:AV2333)+1,""))</f>
        <v/>
      </c>
    </row>
    <row r="2335" customFormat="false" ht="15" hidden="false" customHeight="false" outlineLevel="0" collapsed="false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7" t="str">
        <f aca="false">IF(B2335="","",IF(COUNTIF($B$2:B2335,B2335)=1,MAX($AV$1:AV2334)+1,""))</f>
        <v/>
      </c>
    </row>
    <row r="2336" customFormat="false" ht="15" hidden="false" customHeight="false" outlineLevel="0" collapsed="false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  <c r="AV2336" s="7" t="str">
        <f aca="false">IF(B2336="","",IF(COUNTIF($B$2:B2336,B2336)=1,MAX($AV$1:AV2335)+1,""))</f>
        <v/>
      </c>
    </row>
    <row r="2337" customFormat="false" ht="15" hidden="false" customHeight="false" outlineLevel="0" collapsed="false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7" t="str">
        <f aca="false">IF(B2337="","",IF(COUNTIF($B$2:B2337,B2337)=1,MAX($AV$1:AV2336)+1,""))</f>
        <v/>
      </c>
    </row>
    <row r="2338" customFormat="false" ht="15" hidden="false" customHeight="false" outlineLevel="0" collapsed="false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7" t="str">
        <f aca="false">IF(B2338="","",IF(COUNTIF($B$2:B2338,B2338)=1,MAX($AV$1:AV2337)+1,""))</f>
        <v/>
      </c>
    </row>
    <row r="2339" customFormat="false" ht="15" hidden="false" customHeight="false" outlineLevel="0" collapsed="false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7" t="str">
        <f aca="false">IF(B2339="","",IF(COUNTIF($B$2:B2339,B2339)=1,MAX($AV$1:AV2338)+1,""))</f>
        <v/>
      </c>
    </row>
    <row r="2340" customFormat="false" ht="15" hidden="false" customHeight="false" outlineLevel="0" collapsed="false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7" t="str">
        <f aca="false">IF(B2340="","",IF(COUNTIF($B$2:B2340,B2340)=1,MAX($AV$1:AV2339)+1,""))</f>
        <v/>
      </c>
    </row>
    <row r="2341" customFormat="false" ht="15" hidden="false" customHeight="false" outlineLevel="0" collapsed="false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7" t="str">
        <f aca="false">IF(B2341="","",IF(COUNTIF($B$2:B2341,B2341)=1,MAX($AV$1:AV2340)+1,""))</f>
        <v/>
      </c>
    </row>
    <row r="2342" customFormat="false" ht="15" hidden="false" customHeight="false" outlineLevel="0" collapsed="false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  <c r="AV2342" s="7" t="str">
        <f aca="false">IF(B2342="","",IF(COUNTIF($B$2:B2342,B2342)=1,MAX($AV$1:AV2341)+1,""))</f>
        <v/>
      </c>
    </row>
    <row r="2343" customFormat="false" ht="15" hidden="false" customHeight="false" outlineLevel="0" collapsed="false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7" t="str">
        <f aca="false">IF(B2343="","",IF(COUNTIF($B$2:B2343,B2343)=1,MAX($AV$1:AV2342)+1,""))</f>
        <v/>
      </c>
    </row>
    <row r="2344" customFormat="false" ht="15" hidden="false" customHeight="false" outlineLevel="0" collapsed="false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7" t="str">
        <f aca="false">IF(B2344="","",IF(COUNTIF($B$2:B2344,B2344)=1,MAX($AV$1:AV2343)+1,""))</f>
        <v/>
      </c>
    </row>
    <row r="2345" customFormat="false" ht="15" hidden="false" customHeight="false" outlineLevel="0" collapsed="false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7" t="str">
        <f aca="false">IF(B2345="","",IF(COUNTIF($B$2:B2345,B2345)=1,MAX($AV$1:AV2344)+1,""))</f>
        <v/>
      </c>
    </row>
    <row r="2346" customFormat="false" ht="15" hidden="false" customHeight="false" outlineLevel="0" collapsed="false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7" t="str">
        <f aca="false">IF(B2346="","",IF(COUNTIF($B$2:B2346,B2346)=1,MAX($AV$1:AV2345)+1,""))</f>
        <v/>
      </c>
    </row>
    <row r="2347" customFormat="false" ht="15" hidden="false" customHeight="false" outlineLevel="0" collapsed="false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  <c r="AV2347" s="7" t="str">
        <f aca="false">IF(B2347="","",IF(COUNTIF($B$2:B2347,B2347)=1,MAX($AV$1:AV2346)+1,""))</f>
        <v/>
      </c>
    </row>
    <row r="2348" customFormat="false" ht="15" hidden="false" customHeight="false" outlineLevel="0" collapsed="false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  <c r="AV2348" s="7" t="str">
        <f aca="false">IF(B2348="","",IF(COUNTIF($B$2:B2348,B2348)=1,MAX($AV$1:AV2347)+1,""))</f>
        <v/>
      </c>
    </row>
    <row r="2349" customFormat="false" ht="15" hidden="false" customHeight="false" outlineLevel="0" collapsed="false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7" t="str">
        <f aca="false">IF(B2349="","",IF(COUNTIF($B$2:B2349,B2349)=1,MAX($AV$1:AV2348)+1,""))</f>
        <v/>
      </c>
    </row>
    <row r="2350" customFormat="false" ht="15" hidden="false" customHeight="false" outlineLevel="0" collapsed="false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  <c r="AU2350" s="2"/>
      <c r="AV2350" s="7" t="str">
        <f aca="false">IF(B2350="","",IF(COUNTIF($B$2:B2350,B2350)=1,MAX($AV$1:AV2349)+1,""))</f>
        <v/>
      </c>
    </row>
    <row r="2351" customFormat="false" ht="15" hidden="false" customHeight="false" outlineLevel="0" collapsed="false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7" t="str">
        <f aca="false">IF(B2351="","",IF(COUNTIF($B$2:B2351,B2351)=1,MAX($AV$1:AV2350)+1,""))</f>
        <v/>
      </c>
    </row>
    <row r="2352" customFormat="false" ht="15" hidden="false" customHeight="false" outlineLevel="0" collapsed="false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  <c r="AV2352" s="7" t="str">
        <f aca="false">IF(B2352="","",IF(COUNTIF($B$2:B2352,B2352)=1,MAX($AV$1:AV2351)+1,""))</f>
        <v/>
      </c>
    </row>
    <row r="2353" customFormat="false" ht="15" hidden="false" customHeight="false" outlineLevel="0" collapsed="false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7" t="str">
        <f aca="false">IF(B2353="","",IF(COUNTIF($B$2:B2353,B2353)=1,MAX($AV$1:AV2352)+1,""))</f>
        <v/>
      </c>
    </row>
    <row r="2354" customFormat="false" ht="15" hidden="false" customHeight="false" outlineLevel="0" collapsed="false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  <c r="AU2354" s="2"/>
      <c r="AV2354" s="7" t="str">
        <f aca="false">IF(B2354="","",IF(COUNTIF($B$2:B2354,B2354)=1,MAX($AV$1:AV2353)+1,""))</f>
        <v/>
      </c>
    </row>
    <row r="2355" customFormat="false" ht="15" hidden="false" customHeight="false" outlineLevel="0" collapsed="false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7" t="str">
        <f aca="false">IF(B2355="","",IF(COUNTIF($B$2:B2355,B2355)=1,MAX($AV$1:AV2354)+1,""))</f>
        <v/>
      </c>
    </row>
    <row r="2356" customFormat="false" ht="15" hidden="false" customHeight="false" outlineLevel="0" collapsed="false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7" t="str">
        <f aca="false">IF(B2356="","",IF(COUNTIF($B$2:B2356,B2356)=1,MAX($AV$1:AV2355)+1,""))</f>
        <v/>
      </c>
    </row>
    <row r="2357" customFormat="false" ht="15" hidden="false" customHeight="false" outlineLevel="0" collapsed="false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  <c r="AV2357" s="7" t="str">
        <f aca="false">IF(B2357="","",IF(COUNTIF($B$2:B2357,B2357)=1,MAX($AV$1:AV2356)+1,""))</f>
        <v/>
      </c>
    </row>
    <row r="2358" customFormat="false" ht="15" hidden="false" customHeight="false" outlineLevel="0" collapsed="false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  <c r="AU2358" s="2"/>
      <c r="AV2358" s="7" t="str">
        <f aca="false">IF(B2358="","",IF(COUNTIF($B$2:B2358,B2358)=1,MAX($AV$1:AV2357)+1,""))</f>
        <v/>
      </c>
    </row>
    <row r="2359" customFormat="false" ht="15" hidden="false" customHeight="false" outlineLevel="0" collapsed="false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  <c r="AV2359" s="7" t="str">
        <f aca="false">IF(B2359="","",IF(COUNTIF($B$2:B2359,B2359)=1,MAX($AV$1:AV2358)+1,""))</f>
        <v/>
      </c>
    </row>
    <row r="2360" customFormat="false" ht="15" hidden="false" customHeight="false" outlineLevel="0" collapsed="false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7" t="str">
        <f aca="false">IF(B2360="","",IF(COUNTIF($B$2:B2360,B2360)=1,MAX($AV$1:AV2359)+1,""))</f>
        <v/>
      </c>
    </row>
    <row r="2361" customFormat="false" ht="15" hidden="false" customHeight="false" outlineLevel="0" collapsed="false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7" t="str">
        <f aca="false">IF(B2361="","",IF(COUNTIF($B$2:B2361,B2361)=1,MAX($AV$1:AV2360)+1,""))</f>
        <v/>
      </c>
    </row>
    <row r="2362" customFormat="false" ht="15" hidden="false" customHeight="false" outlineLevel="0" collapsed="false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  <c r="AV2362" s="7" t="str">
        <f aca="false">IF(B2362="","",IF(COUNTIF($B$2:B2362,B2362)=1,MAX($AV$1:AV2361)+1,""))</f>
        <v/>
      </c>
    </row>
    <row r="2363" customFormat="false" ht="15" hidden="false" customHeight="false" outlineLevel="0" collapsed="false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  <c r="AV2363" s="7" t="str">
        <f aca="false">IF(B2363="","",IF(COUNTIF($B$2:B2363,B2363)=1,MAX($AV$1:AV2362)+1,""))</f>
        <v/>
      </c>
    </row>
    <row r="2364" customFormat="false" ht="15" hidden="false" customHeight="false" outlineLevel="0" collapsed="false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7" t="str">
        <f aca="false">IF(B2364="","",IF(COUNTIF($B$2:B2364,B2364)=1,MAX($AV$1:AV2363)+1,""))</f>
        <v/>
      </c>
    </row>
    <row r="2365" customFormat="false" ht="15" hidden="false" customHeight="false" outlineLevel="0" collapsed="false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7" t="str">
        <f aca="false">IF(B2365="","",IF(COUNTIF($B$2:B2365,B2365)=1,MAX($AV$1:AV2364)+1,""))</f>
        <v/>
      </c>
    </row>
    <row r="2366" customFormat="false" ht="15" hidden="false" customHeight="false" outlineLevel="0" collapsed="false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7" t="str">
        <f aca="false">IF(B2366="","",IF(COUNTIF($B$2:B2366,B2366)=1,MAX($AV$1:AV2365)+1,""))</f>
        <v/>
      </c>
    </row>
    <row r="2367" customFormat="false" ht="15" hidden="false" customHeight="false" outlineLevel="0" collapsed="false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7" t="str">
        <f aca="false">IF(B2367="","",IF(COUNTIF($B$2:B2367,B2367)=1,MAX($AV$1:AV2366)+1,""))</f>
        <v/>
      </c>
    </row>
    <row r="2368" customFormat="false" ht="15" hidden="false" customHeight="false" outlineLevel="0" collapsed="false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7" t="str">
        <f aca="false">IF(B2368="","",IF(COUNTIF($B$2:B2368,B2368)=1,MAX($AV$1:AV2367)+1,""))</f>
        <v/>
      </c>
    </row>
    <row r="2369" customFormat="false" ht="15" hidden="false" customHeight="false" outlineLevel="0" collapsed="false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7" t="str">
        <f aca="false">IF(B2369="","",IF(COUNTIF($B$2:B2369,B2369)=1,MAX($AV$1:AV2368)+1,""))</f>
        <v/>
      </c>
    </row>
    <row r="2370" customFormat="false" ht="15" hidden="false" customHeight="false" outlineLevel="0" collapsed="false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  <c r="AV2370" s="7" t="str">
        <f aca="false">IF(B2370="","",IF(COUNTIF($B$2:B2370,B2370)=1,MAX($AV$1:AV2369)+1,""))</f>
        <v/>
      </c>
    </row>
    <row r="2371" customFormat="false" ht="15" hidden="false" customHeight="false" outlineLevel="0" collapsed="false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  <c r="AV2371" s="7" t="str">
        <f aca="false">IF(B2371="","",IF(COUNTIF($B$2:B2371,B2371)=1,MAX($AV$1:AV2370)+1,""))</f>
        <v/>
      </c>
    </row>
    <row r="2372" customFormat="false" ht="15" hidden="false" customHeight="false" outlineLevel="0" collapsed="false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  <c r="AU2372" s="2"/>
      <c r="AV2372" s="7" t="str">
        <f aca="false">IF(B2372="","",IF(COUNTIF($B$2:B2372,B2372)=1,MAX($AV$1:AV2371)+1,""))</f>
        <v/>
      </c>
    </row>
    <row r="2373" customFormat="false" ht="15" hidden="false" customHeight="false" outlineLevel="0" collapsed="false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7" t="str">
        <f aca="false">IF(B2373="","",IF(COUNTIF($B$2:B2373,B2373)=1,MAX($AV$1:AV2372)+1,""))</f>
        <v/>
      </c>
    </row>
    <row r="2374" customFormat="false" ht="15" hidden="false" customHeight="false" outlineLevel="0" collapsed="false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7" t="str">
        <f aca="false">IF(B2374="","",IF(COUNTIF($B$2:B2374,B2374)=1,MAX($AV$1:AV2373)+1,""))</f>
        <v/>
      </c>
    </row>
    <row r="2375" customFormat="false" ht="15" hidden="false" customHeight="false" outlineLevel="0" collapsed="false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7" t="str">
        <f aca="false">IF(B2375="","",IF(COUNTIF($B$2:B2375,B2375)=1,MAX($AV$1:AV2374)+1,""))</f>
        <v/>
      </c>
    </row>
    <row r="2376" customFormat="false" ht="15" hidden="false" customHeight="false" outlineLevel="0" collapsed="false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7" t="str">
        <f aca="false">IF(B2376="","",IF(COUNTIF($B$2:B2376,B2376)=1,MAX($AV$1:AV2375)+1,""))</f>
        <v/>
      </c>
    </row>
    <row r="2377" customFormat="false" ht="15" hidden="false" customHeight="false" outlineLevel="0" collapsed="false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7" t="str">
        <f aca="false">IF(B2377="","",IF(COUNTIF($B$2:B2377,B2377)=1,MAX($AV$1:AV2376)+1,""))</f>
        <v/>
      </c>
    </row>
    <row r="2378" customFormat="false" ht="15" hidden="false" customHeight="false" outlineLevel="0" collapsed="false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7" t="str">
        <f aca="false">IF(B2378="","",IF(COUNTIF($B$2:B2378,B2378)=1,MAX($AV$1:AV2377)+1,""))</f>
        <v/>
      </c>
    </row>
    <row r="2379" customFormat="false" ht="15" hidden="false" customHeight="false" outlineLevel="0" collapsed="false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  <c r="AU2379" s="2"/>
      <c r="AV2379" s="7" t="str">
        <f aca="false">IF(B2379="","",IF(COUNTIF($B$2:B2379,B2379)=1,MAX($AV$1:AV2378)+1,""))</f>
        <v/>
      </c>
    </row>
    <row r="2380" customFormat="false" ht="15" hidden="false" customHeight="false" outlineLevel="0" collapsed="false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  <c r="AV2380" s="7" t="str">
        <f aca="false">IF(B2380="","",IF(COUNTIF($B$2:B2380,B2380)=1,MAX($AV$1:AV2379)+1,""))</f>
        <v/>
      </c>
    </row>
    <row r="2381" customFormat="false" ht="15" hidden="false" customHeight="false" outlineLevel="0" collapsed="false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  <c r="AU2381" s="2"/>
      <c r="AV2381" s="7" t="str">
        <f aca="false">IF(B2381="","",IF(COUNTIF($B$2:B2381,B2381)=1,MAX($AV$1:AV2380)+1,""))</f>
        <v/>
      </c>
    </row>
    <row r="2382" customFormat="false" ht="15" hidden="false" customHeight="false" outlineLevel="0" collapsed="false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7" t="str">
        <f aca="false">IF(B2382="","",IF(COUNTIF($B$2:B2382,B2382)=1,MAX($AV$1:AV2381)+1,""))</f>
        <v/>
      </c>
    </row>
    <row r="2383" customFormat="false" ht="15" hidden="false" customHeight="false" outlineLevel="0" collapsed="false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7" t="str">
        <f aca="false">IF(B2383="","",IF(COUNTIF($B$2:B2383,B2383)=1,MAX($AV$1:AV2382)+1,""))</f>
        <v/>
      </c>
    </row>
    <row r="2384" customFormat="false" ht="15" hidden="false" customHeight="false" outlineLevel="0" collapsed="false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7" t="str">
        <f aca="false">IF(B2384="","",IF(COUNTIF($B$2:B2384,B2384)=1,MAX($AV$1:AV2383)+1,""))</f>
        <v/>
      </c>
    </row>
    <row r="2385" customFormat="false" ht="15" hidden="false" customHeight="false" outlineLevel="0" collapsed="false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  <c r="AU2385" s="2"/>
      <c r="AV2385" s="7" t="str">
        <f aca="false">IF(B2385="","",IF(COUNTIF($B$2:B2385,B2385)=1,MAX($AV$1:AV2384)+1,""))</f>
        <v/>
      </c>
    </row>
    <row r="2386" customFormat="false" ht="15" hidden="false" customHeight="false" outlineLevel="0" collapsed="false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7" t="str">
        <f aca="false">IF(B2386="","",IF(COUNTIF($B$2:B2386,B2386)=1,MAX($AV$1:AV2385)+1,""))</f>
        <v/>
      </c>
    </row>
    <row r="2387" customFormat="false" ht="15" hidden="false" customHeight="false" outlineLevel="0" collapsed="false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7" t="str">
        <f aca="false">IF(B2387="","",IF(COUNTIF($B$2:B2387,B2387)=1,MAX($AV$1:AV2386)+1,""))</f>
        <v/>
      </c>
    </row>
    <row r="2388" customFormat="false" ht="15" hidden="false" customHeight="false" outlineLevel="0" collapsed="false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  <c r="AV2388" s="7" t="str">
        <f aca="false">IF(B2388="","",IF(COUNTIF($B$2:B2388,B2388)=1,MAX($AV$1:AV2387)+1,""))</f>
        <v/>
      </c>
    </row>
    <row r="2389" customFormat="false" ht="15" hidden="false" customHeight="false" outlineLevel="0" collapsed="false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7" t="str">
        <f aca="false">IF(B2389="","",IF(COUNTIF($B$2:B2389,B2389)=1,MAX($AV$1:AV2388)+1,""))</f>
        <v/>
      </c>
    </row>
    <row r="2390" customFormat="false" ht="15" hidden="false" customHeight="false" outlineLevel="0" collapsed="false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  <c r="AV2390" s="7" t="str">
        <f aca="false">IF(B2390="","",IF(COUNTIF($B$2:B2390,B2390)=1,MAX($AV$1:AV2389)+1,""))</f>
        <v/>
      </c>
    </row>
    <row r="2391" customFormat="false" ht="15" hidden="false" customHeight="false" outlineLevel="0" collapsed="false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  <c r="AV2391" s="7" t="str">
        <f aca="false">IF(B2391="","",IF(COUNTIF($B$2:B2391,B2391)=1,MAX($AV$1:AV2390)+1,""))</f>
        <v/>
      </c>
    </row>
    <row r="2392" customFormat="false" ht="15" hidden="false" customHeight="false" outlineLevel="0" collapsed="false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  <c r="AU2392" s="2"/>
      <c r="AV2392" s="7" t="str">
        <f aca="false">IF(B2392="","",IF(COUNTIF($B$2:B2392,B2392)=1,MAX($AV$1:AV2391)+1,""))</f>
        <v/>
      </c>
    </row>
    <row r="2393" customFormat="false" ht="15" hidden="false" customHeight="false" outlineLevel="0" collapsed="false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7" t="str">
        <f aca="false">IF(B2393="","",IF(COUNTIF($B$2:B2393,B2393)=1,MAX($AV$1:AV2392)+1,""))</f>
        <v/>
      </c>
    </row>
    <row r="2394" customFormat="false" ht="15" hidden="false" customHeight="false" outlineLevel="0" collapsed="false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7" t="str">
        <f aca="false">IF(B2394="","",IF(COUNTIF($B$2:B2394,B2394)=1,MAX($AV$1:AV2393)+1,""))</f>
        <v/>
      </c>
    </row>
    <row r="2395" customFormat="false" ht="15" hidden="false" customHeight="false" outlineLevel="0" collapsed="false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7" t="str">
        <f aca="false">IF(B2395="","",IF(COUNTIF($B$2:B2395,B2395)=1,MAX($AV$1:AV2394)+1,""))</f>
        <v/>
      </c>
    </row>
    <row r="2396" customFormat="false" ht="15" hidden="false" customHeight="false" outlineLevel="0" collapsed="false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7" t="str">
        <f aca="false">IF(B2396="","",IF(COUNTIF($B$2:B2396,B2396)=1,MAX($AV$1:AV2395)+1,""))</f>
        <v/>
      </c>
    </row>
    <row r="2397" customFormat="false" ht="15" hidden="false" customHeight="false" outlineLevel="0" collapsed="false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7" t="str">
        <f aca="false">IF(B2397="","",IF(COUNTIF($B$2:B2397,B2397)=1,MAX($AV$1:AV2396)+1,""))</f>
        <v/>
      </c>
    </row>
    <row r="2398" customFormat="false" ht="15" hidden="false" customHeight="false" outlineLevel="0" collapsed="false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7" t="str">
        <f aca="false">IF(B2398="","",IF(COUNTIF($B$2:B2398,B2398)=1,MAX($AV$1:AV2397)+1,""))</f>
        <v/>
      </c>
    </row>
    <row r="2399" customFormat="false" ht="15" hidden="false" customHeight="false" outlineLevel="0" collapsed="false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  <c r="AU2399" s="2"/>
      <c r="AV2399" s="7" t="str">
        <f aca="false">IF(B2399="","",IF(COUNTIF($B$2:B2399,B2399)=1,MAX($AV$1:AV2398)+1,""))</f>
        <v/>
      </c>
    </row>
    <row r="2400" customFormat="false" ht="15" hidden="false" customHeight="false" outlineLevel="0" collapsed="false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7" t="str">
        <f aca="false">IF(B2400="","",IF(COUNTIF($B$2:B2400,B2400)=1,MAX($AV$1:AV2399)+1,""))</f>
        <v/>
      </c>
    </row>
    <row r="2401" customFormat="false" ht="15" hidden="false" customHeight="false" outlineLevel="0" collapsed="false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7" t="str">
        <f aca="false">IF(B2401="","",IF(COUNTIF($B$2:B2401,B2401)=1,MAX($AV$1:AV2400)+1,""))</f>
        <v/>
      </c>
    </row>
    <row r="2402" customFormat="false" ht="15" hidden="false" customHeight="false" outlineLevel="0" collapsed="false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  <c r="AV2402" s="7" t="str">
        <f aca="false">IF(B2402="","",IF(COUNTIF($B$2:B2402,B2402)=1,MAX($AV$1:AV2401)+1,""))</f>
        <v/>
      </c>
    </row>
    <row r="2403" customFormat="false" ht="15" hidden="false" customHeight="false" outlineLevel="0" collapsed="false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7" t="str">
        <f aca="false">IF(B2403="","",IF(COUNTIF($B$2:B2403,B2403)=1,MAX($AV$1:AV2402)+1,""))</f>
        <v/>
      </c>
    </row>
    <row r="2404" customFormat="false" ht="15" hidden="false" customHeight="false" outlineLevel="0" collapsed="false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  <c r="AU2404" s="2"/>
      <c r="AV2404" s="7" t="str">
        <f aca="false">IF(B2404="","",IF(COUNTIF($B$2:B2404,B2404)=1,MAX($AV$1:AV2403)+1,""))</f>
        <v/>
      </c>
    </row>
    <row r="2405" customFormat="false" ht="15" hidden="false" customHeight="false" outlineLevel="0" collapsed="false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7" t="str">
        <f aca="false">IF(B2405="","",IF(COUNTIF($B$2:B2405,B2405)=1,MAX($AV$1:AV2404)+1,""))</f>
        <v/>
      </c>
    </row>
    <row r="2406" customFormat="false" ht="15" hidden="false" customHeight="false" outlineLevel="0" collapsed="false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  <c r="AV2406" s="7" t="str">
        <f aca="false">IF(B2406="","",IF(COUNTIF($B$2:B2406,B2406)=1,MAX($AV$1:AV2405)+1,""))</f>
        <v/>
      </c>
    </row>
    <row r="2407" customFormat="false" ht="15" hidden="false" customHeight="false" outlineLevel="0" collapsed="false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7" t="str">
        <f aca="false">IF(B2407="","",IF(COUNTIF($B$2:B2407,B2407)=1,MAX($AV$1:AV2406)+1,""))</f>
        <v/>
      </c>
    </row>
    <row r="2408" customFormat="false" ht="15" hidden="false" customHeight="false" outlineLevel="0" collapsed="false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  <c r="AU2408" s="2"/>
      <c r="AV2408" s="7" t="str">
        <f aca="false">IF(B2408="","",IF(COUNTIF($B$2:B2408,B2408)=1,MAX($AV$1:AV2407)+1,""))</f>
        <v/>
      </c>
    </row>
    <row r="2409" customFormat="false" ht="15" hidden="false" customHeight="false" outlineLevel="0" collapsed="false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7" t="str">
        <f aca="false">IF(B2409="","",IF(COUNTIF($B$2:B2409,B2409)=1,MAX($AV$1:AV2408)+1,""))</f>
        <v/>
      </c>
    </row>
    <row r="2410" customFormat="false" ht="15" hidden="false" customHeight="false" outlineLevel="0" collapsed="false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7" t="str">
        <f aca="false">IF(B2410="","",IF(COUNTIF($B$2:B2410,B2410)=1,MAX($AV$1:AV2409)+1,""))</f>
        <v/>
      </c>
    </row>
    <row r="2411" customFormat="false" ht="15" hidden="false" customHeight="false" outlineLevel="0" collapsed="false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7" t="str">
        <f aca="false">IF(B2411="","",IF(COUNTIF($B$2:B2411,B2411)=1,MAX($AV$1:AV2410)+1,""))</f>
        <v/>
      </c>
    </row>
    <row r="2412" customFormat="false" ht="15" hidden="false" customHeight="false" outlineLevel="0" collapsed="false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7" t="str">
        <f aca="false">IF(B2412="","",IF(COUNTIF($B$2:B2412,B2412)=1,MAX($AV$1:AV2411)+1,""))</f>
        <v/>
      </c>
    </row>
    <row r="2413" customFormat="false" ht="15" hidden="false" customHeight="false" outlineLevel="0" collapsed="false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7" t="str">
        <f aca="false">IF(B2413="","",IF(COUNTIF($B$2:B2413,B2413)=1,MAX($AV$1:AV2412)+1,""))</f>
        <v/>
      </c>
    </row>
    <row r="2414" customFormat="false" ht="15" hidden="false" customHeight="false" outlineLevel="0" collapsed="false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7" t="str">
        <f aca="false">IF(B2414="","",IF(COUNTIF($B$2:B2414,B2414)=1,MAX($AV$1:AV2413)+1,""))</f>
        <v/>
      </c>
    </row>
    <row r="2415" customFormat="false" ht="15" hidden="false" customHeight="false" outlineLevel="0" collapsed="false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7" t="str">
        <f aca="false">IF(B2415="","",IF(COUNTIF($B$2:B2415,B2415)=1,MAX($AV$1:AV2414)+1,""))</f>
        <v/>
      </c>
    </row>
    <row r="2416" customFormat="false" ht="15" hidden="false" customHeight="false" outlineLevel="0" collapsed="false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7" t="str">
        <f aca="false">IF(B2416="","",IF(COUNTIF($B$2:B2416,B2416)=1,MAX($AV$1:AV2415)+1,""))</f>
        <v/>
      </c>
    </row>
    <row r="2417" customFormat="false" ht="15" hidden="false" customHeight="false" outlineLevel="0" collapsed="false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7" t="str">
        <f aca="false">IF(B2417="","",IF(COUNTIF($B$2:B2417,B2417)=1,MAX($AV$1:AV2416)+1,""))</f>
        <v/>
      </c>
    </row>
    <row r="2418" customFormat="false" ht="15" hidden="false" customHeight="false" outlineLevel="0" collapsed="false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7" t="str">
        <f aca="false">IF(B2418="","",IF(COUNTIF($B$2:B2418,B2418)=1,MAX($AV$1:AV2417)+1,""))</f>
        <v/>
      </c>
    </row>
    <row r="2419" customFormat="false" ht="15" hidden="false" customHeight="false" outlineLevel="0" collapsed="false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7" t="str">
        <f aca="false">IF(B2419="","",IF(COUNTIF($B$2:B2419,B2419)=1,MAX($AV$1:AV2418)+1,""))</f>
        <v/>
      </c>
    </row>
    <row r="2420" customFormat="false" ht="15" hidden="false" customHeight="false" outlineLevel="0" collapsed="false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7" t="str">
        <f aca="false">IF(B2420="","",IF(COUNTIF($B$2:B2420,B2420)=1,MAX($AV$1:AV2419)+1,""))</f>
        <v/>
      </c>
    </row>
    <row r="2421" customFormat="false" ht="15" hidden="false" customHeight="false" outlineLevel="0" collapsed="false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7" t="str">
        <f aca="false">IF(B2421="","",IF(COUNTIF($B$2:B2421,B2421)=1,MAX($AV$1:AV2420)+1,""))</f>
        <v/>
      </c>
    </row>
    <row r="2422" customFormat="false" ht="15" hidden="false" customHeight="false" outlineLevel="0" collapsed="false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7" t="str">
        <f aca="false">IF(B2422="","",IF(COUNTIF($B$2:B2422,B2422)=1,MAX($AV$1:AV2421)+1,""))</f>
        <v/>
      </c>
    </row>
    <row r="2423" customFormat="false" ht="15" hidden="false" customHeight="false" outlineLevel="0" collapsed="false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7" t="str">
        <f aca="false">IF(B2423="","",IF(COUNTIF($B$2:B2423,B2423)=1,MAX($AV$1:AV2422)+1,""))</f>
        <v/>
      </c>
    </row>
    <row r="2424" customFormat="false" ht="15" hidden="false" customHeight="false" outlineLevel="0" collapsed="false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  <c r="AV2424" s="7" t="str">
        <f aca="false">IF(B2424="","",IF(COUNTIF($B$2:B2424,B2424)=1,MAX($AV$1:AV2423)+1,""))</f>
        <v/>
      </c>
    </row>
    <row r="2425" customFormat="false" ht="15" hidden="false" customHeight="false" outlineLevel="0" collapsed="false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7" t="str">
        <f aca="false">IF(B2425="","",IF(COUNTIF($B$2:B2425,B2425)=1,MAX($AV$1:AV2424)+1,""))</f>
        <v/>
      </c>
    </row>
    <row r="2426" customFormat="false" ht="15" hidden="false" customHeight="false" outlineLevel="0" collapsed="false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7" t="str">
        <f aca="false">IF(B2426="","",IF(COUNTIF($B$2:B2426,B2426)=1,MAX($AV$1:AV2425)+1,""))</f>
        <v/>
      </c>
    </row>
    <row r="2427" customFormat="false" ht="15" hidden="false" customHeight="false" outlineLevel="0" collapsed="false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7" t="str">
        <f aca="false">IF(B2427="","",IF(COUNTIF($B$2:B2427,B2427)=1,MAX($AV$1:AV2426)+1,""))</f>
        <v/>
      </c>
    </row>
    <row r="2428" customFormat="false" ht="15" hidden="false" customHeight="false" outlineLevel="0" collapsed="false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  <c r="AU2428" s="2"/>
      <c r="AV2428" s="7" t="str">
        <f aca="false">IF(B2428="","",IF(COUNTIF($B$2:B2428,B2428)=1,MAX($AV$1:AV2427)+1,""))</f>
        <v/>
      </c>
    </row>
    <row r="2429" customFormat="false" ht="15" hidden="false" customHeight="false" outlineLevel="0" collapsed="false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7" t="str">
        <f aca="false">IF(B2429="","",IF(COUNTIF($B$2:B2429,B2429)=1,MAX($AV$1:AV2428)+1,""))</f>
        <v/>
      </c>
    </row>
    <row r="2430" customFormat="false" ht="15" hidden="false" customHeight="false" outlineLevel="0" collapsed="false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7" t="str">
        <f aca="false">IF(B2430="","",IF(COUNTIF($B$2:B2430,B2430)=1,MAX($AV$1:AV2429)+1,""))</f>
        <v/>
      </c>
    </row>
    <row r="2431" customFormat="false" ht="15" hidden="false" customHeight="false" outlineLevel="0" collapsed="false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7" t="str">
        <f aca="false">IF(B2431="","",IF(COUNTIF($B$2:B2431,B2431)=1,MAX($AV$1:AV2430)+1,""))</f>
        <v/>
      </c>
    </row>
    <row r="2432" customFormat="false" ht="15" hidden="false" customHeight="false" outlineLevel="0" collapsed="false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7" t="str">
        <f aca="false">IF(B2432="","",IF(COUNTIF($B$2:B2432,B2432)=1,MAX($AV$1:AV2431)+1,""))</f>
        <v/>
      </c>
    </row>
    <row r="2433" customFormat="false" ht="15" hidden="false" customHeight="false" outlineLevel="0" collapsed="false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  <c r="AV2433" s="7" t="str">
        <f aca="false">IF(B2433="","",IF(COUNTIF($B$2:B2433,B2433)=1,MAX($AV$1:AV2432)+1,""))</f>
        <v/>
      </c>
    </row>
    <row r="2434" customFormat="false" ht="15" hidden="false" customHeight="false" outlineLevel="0" collapsed="false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  <c r="AV2434" s="7" t="str">
        <f aca="false">IF(B2434="","",IF(COUNTIF($B$2:B2434,B2434)=1,MAX($AV$1:AV2433)+1,""))</f>
        <v/>
      </c>
    </row>
    <row r="2435" customFormat="false" ht="15" hidden="false" customHeight="false" outlineLevel="0" collapsed="false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7" t="str">
        <f aca="false">IF(B2435="","",IF(COUNTIF($B$2:B2435,B2435)=1,MAX($AV$1:AV2434)+1,""))</f>
        <v/>
      </c>
    </row>
    <row r="2436" customFormat="false" ht="15" hidden="false" customHeight="false" outlineLevel="0" collapsed="false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7" t="str">
        <f aca="false">IF(B2436="","",IF(COUNTIF($B$2:B2436,B2436)=1,MAX($AV$1:AV2435)+1,""))</f>
        <v/>
      </c>
    </row>
    <row r="2437" customFormat="false" ht="15" hidden="false" customHeight="false" outlineLevel="0" collapsed="false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  <c r="AU2437" s="2"/>
      <c r="AV2437" s="7" t="str">
        <f aca="false">IF(B2437="","",IF(COUNTIF($B$2:B2437,B2437)=1,MAX($AV$1:AV2436)+1,""))</f>
        <v/>
      </c>
    </row>
    <row r="2438" customFormat="false" ht="15" hidden="false" customHeight="false" outlineLevel="0" collapsed="false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  <c r="AT2438" s="2"/>
      <c r="AU2438" s="2"/>
      <c r="AV2438" s="7" t="str">
        <f aca="false">IF(B2438="","",IF(COUNTIF($B$2:B2438,B2438)=1,MAX($AV$1:AV2437)+1,""))</f>
        <v/>
      </c>
    </row>
    <row r="2439" customFormat="false" ht="15" hidden="false" customHeight="false" outlineLevel="0" collapsed="false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  <c r="AV2439" s="7" t="str">
        <f aca="false">IF(B2439="","",IF(COUNTIF($B$2:B2439,B2439)=1,MAX($AV$1:AV2438)+1,""))</f>
        <v/>
      </c>
    </row>
    <row r="2440" customFormat="false" ht="15" hidden="false" customHeight="false" outlineLevel="0" collapsed="false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7" t="str">
        <f aca="false">IF(B2440="","",IF(COUNTIF($B$2:B2440,B2440)=1,MAX($AV$1:AV2439)+1,""))</f>
        <v/>
      </c>
    </row>
    <row r="2441" customFormat="false" ht="15" hidden="false" customHeight="false" outlineLevel="0" collapsed="false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7" t="str">
        <f aca="false">IF(B2441="","",IF(COUNTIF($B$2:B2441,B2441)=1,MAX($AV$1:AV2440)+1,""))</f>
        <v/>
      </c>
    </row>
    <row r="2442" customFormat="false" ht="15" hidden="false" customHeight="false" outlineLevel="0" collapsed="false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7" t="str">
        <f aca="false">IF(B2442="","",IF(COUNTIF($B$2:B2442,B2442)=1,MAX($AV$1:AV2441)+1,""))</f>
        <v/>
      </c>
    </row>
    <row r="2443" customFormat="false" ht="15" hidden="false" customHeight="false" outlineLevel="0" collapsed="false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7" t="str">
        <f aca="false">IF(B2443="","",IF(COUNTIF($B$2:B2443,B2443)=1,MAX($AV$1:AV2442)+1,""))</f>
        <v/>
      </c>
    </row>
    <row r="2444" customFormat="false" ht="15" hidden="false" customHeight="false" outlineLevel="0" collapsed="false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7" t="str">
        <f aca="false">IF(B2444="","",IF(COUNTIF($B$2:B2444,B2444)=1,MAX($AV$1:AV2443)+1,""))</f>
        <v/>
      </c>
    </row>
    <row r="2445" customFormat="false" ht="15" hidden="false" customHeight="false" outlineLevel="0" collapsed="false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7" t="str">
        <f aca="false">IF(B2445="","",IF(COUNTIF($B$2:B2445,B2445)=1,MAX($AV$1:AV2444)+1,""))</f>
        <v/>
      </c>
    </row>
    <row r="2446" customFormat="false" ht="15" hidden="false" customHeight="false" outlineLevel="0" collapsed="false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7" t="str">
        <f aca="false">IF(B2446="","",IF(COUNTIF($B$2:B2446,B2446)=1,MAX($AV$1:AV2445)+1,""))</f>
        <v/>
      </c>
    </row>
    <row r="2447" customFormat="false" ht="15" hidden="false" customHeight="false" outlineLevel="0" collapsed="false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7" t="str">
        <f aca="false">IF(B2447="","",IF(COUNTIF($B$2:B2447,B2447)=1,MAX($AV$1:AV2446)+1,""))</f>
        <v/>
      </c>
    </row>
    <row r="2448" customFormat="false" ht="15" hidden="false" customHeight="false" outlineLevel="0" collapsed="false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7" t="str">
        <f aca="false">IF(B2448="","",IF(COUNTIF($B$2:B2448,B2448)=1,MAX($AV$1:AV2447)+1,""))</f>
        <v/>
      </c>
    </row>
    <row r="2449" customFormat="false" ht="15" hidden="false" customHeight="false" outlineLevel="0" collapsed="false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7" t="str">
        <f aca="false">IF(B2449="","",IF(COUNTIF($B$2:B2449,B2449)=1,MAX($AV$1:AV2448)+1,""))</f>
        <v/>
      </c>
    </row>
    <row r="2450" customFormat="false" ht="15" hidden="false" customHeight="false" outlineLevel="0" collapsed="false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7" t="str">
        <f aca="false">IF(B2450="","",IF(COUNTIF($B$2:B2450,B2450)=1,MAX($AV$1:AV2449)+1,""))</f>
        <v/>
      </c>
    </row>
    <row r="2451" customFormat="false" ht="15" hidden="false" customHeight="false" outlineLevel="0" collapsed="false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7" t="str">
        <f aca="false">IF(B2451="","",IF(COUNTIF($B$2:B2451,B2451)=1,MAX($AV$1:AV2450)+1,""))</f>
        <v/>
      </c>
    </row>
    <row r="2452" customFormat="false" ht="15" hidden="false" customHeight="false" outlineLevel="0" collapsed="false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7" t="str">
        <f aca="false">IF(B2452="","",IF(COUNTIF($B$2:B2452,B2452)=1,MAX($AV$1:AV2451)+1,""))</f>
        <v/>
      </c>
    </row>
    <row r="2453" customFormat="false" ht="15" hidden="false" customHeight="false" outlineLevel="0" collapsed="false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7" t="str">
        <f aca="false">IF(B2453="","",IF(COUNTIF($B$2:B2453,B2453)=1,MAX($AV$1:AV2452)+1,""))</f>
        <v/>
      </c>
    </row>
    <row r="2454" customFormat="false" ht="15" hidden="false" customHeight="false" outlineLevel="0" collapsed="false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7" t="str">
        <f aca="false">IF(B2454="","",IF(COUNTIF($B$2:B2454,B2454)=1,MAX($AV$1:AV2453)+1,""))</f>
        <v/>
      </c>
    </row>
    <row r="2455" customFormat="false" ht="15" hidden="false" customHeight="false" outlineLevel="0" collapsed="false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7" t="str">
        <f aca="false">IF(B2455="","",IF(COUNTIF($B$2:B2455,B2455)=1,MAX($AV$1:AV2454)+1,""))</f>
        <v/>
      </c>
    </row>
    <row r="2456" customFormat="false" ht="15" hidden="false" customHeight="false" outlineLevel="0" collapsed="false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7" t="str">
        <f aca="false">IF(B2456="","",IF(COUNTIF($B$2:B2456,B2456)=1,MAX($AV$1:AV2455)+1,""))</f>
        <v/>
      </c>
    </row>
    <row r="2457" customFormat="false" ht="15" hidden="false" customHeight="false" outlineLevel="0" collapsed="false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7" t="str">
        <f aca="false">IF(B2457="","",IF(COUNTIF($B$2:B2457,B2457)=1,MAX($AV$1:AV2456)+1,""))</f>
        <v/>
      </c>
    </row>
    <row r="2458" customFormat="false" ht="15" hidden="false" customHeight="false" outlineLevel="0" collapsed="false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7" t="str">
        <f aca="false">IF(B2458="","",IF(COUNTIF($B$2:B2458,B2458)=1,MAX($AV$1:AV2457)+1,""))</f>
        <v/>
      </c>
    </row>
    <row r="2459" customFormat="false" ht="15" hidden="false" customHeight="false" outlineLevel="0" collapsed="false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7" t="str">
        <f aca="false">IF(B2459="","",IF(COUNTIF($B$2:B2459,B2459)=1,MAX($AV$1:AV2458)+1,""))</f>
        <v/>
      </c>
    </row>
    <row r="2460" customFormat="false" ht="15" hidden="false" customHeight="false" outlineLevel="0" collapsed="false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7" t="str">
        <f aca="false">IF(B2460="","",IF(COUNTIF($B$2:B2460,B2460)=1,MAX($AV$1:AV2459)+1,""))</f>
        <v/>
      </c>
    </row>
    <row r="2461" customFormat="false" ht="15" hidden="false" customHeight="false" outlineLevel="0" collapsed="false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7" t="str">
        <f aca="false">IF(B2461="","",IF(COUNTIF($B$2:B2461,B2461)=1,MAX($AV$1:AV2460)+1,""))</f>
        <v/>
      </c>
    </row>
    <row r="2462" customFormat="false" ht="15" hidden="false" customHeight="false" outlineLevel="0" collapsed="false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  <c r="AV2462" s="7" t="str">
        <f aca="false">IF(B2462="","",IF(COUNTIF($B$2:B2462,B2462)=1,MAX($AV$1:AV2461)+1,""))</f>
        <v/>
      </c>
    </row>
    <row r="2463" customFormat="false" ht="15" hidden="false" customHeight="false" outlineLevel="0" collapsed="false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7" t="str">
        <f aca="false">IF(B2463="","",IF(COUNTIF($B$2:B2463,B2463)=1,MAX($AV$1:AV2462)+1,""))</f>
        <v/>
      </c>
    </row>
    <row r="2464" customFormat="false" ht="15" hidden="false" customHeight="false" outlineLevel="0" collapsed="false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7" t="str">
        <f aca="false">IF(B2464="","",IF(COUNTIF($B$2:B2464,B2464)=1,MAX($AV$1:AV2463)+1,""))</f>
        <v/>
      </c>
    </row>
    <row r="2465" customFormat="false" ht="15" hidden="false" customHeight="false" outlineLevel="0" collapsed="false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7" t="str">
        <f aca="false">IF(B2465="","",IF(COUNTIF($B$2:B2465,B2465)=1,MAX($AV$1:AV2464)+1,""))</f>
        <v/>
      </c>
    </row>
    <row r="2466" customFormat="false" ht="15" hidden="false" customHeight="false" outlineLevel="0" collapsed="false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7" t="str">
        <f aca="false">IF(B2466="","",IF(COUNTIF($B$2:B2466,B2466)=1,MAX($AV$1:AV2465)+1,""))</f>
        <v/>
      </c>
    </row>
    <row r="2467" customFormat="false" ht="15" hidden="false" customHeight="false" outlineLevel="0" collapsed="false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7" t="str">
        <f aca="false">IF(B2467="","",IF(COUNTIF($B$2:B2467,B2467)=1,MAX($AV$1:AV2466)+1,""))</f>
        <v/>
      </c>
    </row>
    <row r="2468" customFormat="false" ht="15" hidden="false" customHeight="false" outlineLevel="0" collapsed="false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7" t="str">
        <f aca="false">IF(B2468="","",IF(COUNTIF($B$2:B2468,B2468)=1,MAX($AV$1:AV2467)+1,""))</f>
        <v/>
      </c>
    </row>
    <row r="2469" customFormat="false" ht="15" hidden="false" customHeight="false" outlineLevel="0" collapsed="false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7" t="str">
        <f aca="false">IF(B2469="","",IF(COUNTIF($B$2:B2469,B2469)=1,MAX($AV$1:AV2468)+1,""))</f>
        <v/>
      </c>
    </row>
    <row r="2470" customFormat="false" ht="15" hidden="false" customHeight="false" outlineLevel="0" collapsed="false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7" t="str">
        <f aca="false">IF(B2470="","",IF(COUNTIF($B$2:B2470,B2470)=1,MAX($AV$1:AV2469)+1,""))</f>
        <v/>
      </c>
    </row>
    <row r="2471" customFormat="false" ht="15" hidden="false" customHeight="false" outlineLevel="0" collapsed="false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7" t="str">
        <f aca="false">IF(B2471="","",IF(COUNTIF($B$2:B2471,B2471)=1,MAX($AV$1:AV2470)+1,""))</f>
        <v/>
      </c>
    </row>
    <row r="2472" customFormat="false" ht="15" hidden="false" customHeight="false" outlineLevel="0" collapsed="false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7" t="str">
        <f aca="false">IF(B2472="","",IF(COUNTIF($B$2:B2472,B2472)=1,MAX($AV$1:AV2471)+1,""))</f>
        <v/>
      </c>
    </row>
    <row r="2473" customFormat="false" ht="15" hidden="false" customHeight="false" outlineLevel="0" collapsed="false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7" t="str">
        <f aca="false">IF(B2473="","",IF(COUNTIF($B$2:B2473,B2473)=1,MAX($AV$1:AV2472)+1,""))</f>
        <v/>
      </c>
    </row>
    <row r="2474" customFormat="false" ht="15" hidden="false" customHeight="false" outlineLevel="0" collapsed="false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7" t="str">
        <f aca="false">IF(B2474="","",IF(COUNTIF($B$2:B2474,B2474)=1,MAX($AV$1:AV2473)+1,""))</f>
        <v/>
      </c>
    </row>
    <row r="2475" customFormat="false" ht="15" hidden="false" customHeight="false" outlineLevel="0" collapsed="false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7" t="str">
        <f aca="false">IF(B2475="","",IF(COUNTIF($B$2:B2475,B2475)=1,MAX($AV$1:AV2474)+1,""))</f>
        <v/>
      </c>
    </row>
    <row r="2476" customFormat="false" ht="15" hidden="false" customHeight="false" outlineLevel="0" collapsed="false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7" t="str">
        <f aca="false">IF(B2476="","",IF(COUNTIF($B$2:B2476,B2476)=1,MAX($AV$1:AV2475)+1,""))</f>
        <v/>
      </c>
    </row>
    <row r="2477" customFormat="false" ht="15" hidden="false" customHeight="false" outlineLevel="0" collapsed="false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  <c r="AV2477" s="7" t="str">
        <f aca="false">IF(B2477="","",IF(COUNTIF($B$2:B2477,B2477)=1,MAX($AV$1:AV2476)+1,""))</f>
        <v/>
      </c>
    </row>
    <row r="2478" customFormat="false" ht="15" hidden="false" customHeight="false" outlineLevel="0" collapsed="false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  <c r="AV2478" s="7" t="str">
        <f aca="false">IF(B2478="","",IF(COUNTIF($B$2:B2478,B2478)=1,MAX($AV$1:AV2477)+1,""))</f>
        <v/>
      </c>
    </row>
    <row r="2479" customFormat="false" ht="15" hidden="false" customHeight="false" outlineLevel="0" collapsed="false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7" t="str">
        <f aca="false">IF(B2479="","",IF(COUNTIF($B$2:B2479,B2479)=1,MAX($AV$1:AV2478)+1,""))</f>
        <v/>
      </c>
    </row>
    <row r="2480" customFormat="false" ht="15" hidden="false" customHeight="false" outlineLevel="0" collapsed="false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7" t="str">
        <f aca="false">IF(B2480="","",IF(COUNTIF($B$2:B2480,B2480)=1,MAX($AV$1:AV2479)+1,""))</f>
        <v/>
      </c>
    </row>
    <row r="2481" customFormat="false" ht="15" hidden="false" customHeight="false" outlineLevel="0" collapsed="false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7" t="str">
        <f aca="false">IF(B2481="","",IF(COUNTIF($B$2:B2481,B2481)=1,MAX($AV$1:AV2480)+1,""))</f>
        <v/>
      </c>
    </row>
    <row r="2482" customFormat="false" ht="15" hidden="false" customHeight="false" outlineLevel="0" collapsed="false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7" t="str">
        <f aca="false">IF(B2482="","",IF(COUNTIF($B$2:B2482,B2482)=1,MAX($AV$1:AV2481)+1,""))</f>
        <v/>
      </c>
    </row>
    <row r="2483" customFormat="false" ht="15" hidden="false" customHeight="false" outlineLevel="0" collapsed="false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7" t="str">
        <f aca="false">IF(B2483="","",IF(COUNTIF($B$2:B2483,B2483)=1,MAX($AV$1:AV2482)+1,""))</f>
        <v/>
      </c>
    </row>
    <row r="2484" customFormat="false" ht="15" hidden="false" customHeight="false" outlineLevel="0" collapsed="false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7" t="str">
        <f aca="false">IF(B2484="","",IF(COUNTIF($B$2:B2484,B2484)=1,MAX($AV$1:AV2483)+1,""))</f>
        <v/>
      </c>
    </row>
    <row r="2485" customFormat="false" ht="15" hidden="false" customHeight="false" outlineLevel="0" collapsed="false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7" t="str">
        <f aca="false">IF(B2485="","",IF(COUNTIF($B$2:B2485,B2485)=1,MAX($AV$1:AV2484)+1,""))</f>
        <v/>
      </c>
    </row>
    <row r="2486" customFormat="false" ht="15" hidden="false" customHeight="false" outlineLevel="0" collapsed="false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7" t="str">
        <f aca="false">IF(B2486="","",IF(COUNTIF($B$2:B2486,B2486)=1,MAX($AV$1:AV2485)+1,""))</f>
        <v/>
      </c>
    </row>
    <row r="2487" customFormat="false" ht="15" hidden="false" customHeight="false" outlineLevel="0" collapsed="false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7" t="str">
        <f aca="false">IF(B2487="","",IF(COUNTIF($B$2:B2487,B2487)=1,MAX($AV$1:AV2486)+1,""))</f>
        <v/>
      </c>
    </row>
    <row r="2488" customFormat="false" ht="15" hidden="false" customHeight="false" outlineLevel="0" collapsed="false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7" t="str">
        <f aca="false">IF(B2488="","",IF(COUNTIF($B$2:B2488,B2488)=1,MAX($AV$1:AV2487)+1,""))</f>
        <v/>
      </c>
    </row>
    <row r="2489" customFormat="false" ht="15" hidden="false" customHeight="false" outlineLevel="0" collapsed="false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7" t="str">
        <f aca="false">IF(B2489="","",IF(COUNTIF($B$2:B2489,B2489)=1,MAX($AV$1:AV2488)+1,""))</f>
        <v/>
      </c>
    </row>
    <row r="2490" customFormat="false" ht="15" hidden="false" customHeight="false" outlineLevel="0" collapsed="false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7" t="str">
        <f aca="false">IF(B2490="","",IF(COUNTIF($B$2:B2490,B2490)=1,MAX($AV$1:AV2489)+1,""))</f>
        <v/>
      </c>
    </row>
    <row r="2491" customFormat="false" ht="15" hidden="false" customHeight="false" outlineLevel="0" collapsed="false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7" t="str">
        <f aca="false">IF(B2491="","",IF(COUNTIF($B$2:B2491,B2491)=1,MAX($AV$1:AV2490)+1,""))</f>
        <v/>
      </c>
    </row>
    <row r="2492" customFormat="false" ht="15" hidden="false" customHeight="false" outlineLevel="0" collapsed="false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7" t="str">
        <f aca="false">IF(B2492="","",IF(COUNTIF($B$2:B2492,B2492)=1,MAX($AV$1:AV2491)+1,""))</f>
        <v/>
      </c>
    </row>
    <row r="2493" customFormat="false" ht="15" hidden="false" customHeight="false" outlineLevel="0" collapsed="false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7" t="str">
        <f aca="false">IF(B2493="","",IF(COUNTIF($B$2:B2493,B2493)=1,MAX($AV$1:AV2492)+1,""))</f>
        <v/>
      </c>
    </row>
    <row r="2494" customFormat="false" ht="15" hidden="false" customHeight="false" outlineLevel="0" collapsed="false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7" t="str">
        <f aca="false">IF(B2494="","",IF(COUNTIF($B$2:B2494,B2494)=1,MAX($AV$1:AV2493)+1,""))</f>
        <v/>
      </c>
    </row>
    <row r="2495" customFormat="false" ht="15" hidden="false" customHeight="false" outlineLevel="0" collapsed="false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7" t="str">
        <f aca="false">IF(B2495="","",IF(COUNTIF($B$2:B2495,B2495)=1,MAX($AV$1:AV2494)+1,""))</f>
        <v/>
      </c>
    </row>
    <row r="2496" customFormat="false" ht="15" hidden="false" customHeight="false" outlineLevel="0" collapsed="false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7" t="str">
        <f aca="false">IF(B2496="","",IF(COUNTIF($B$2:B2496,B2496)=1,MAX($AV$1:AV2495)+1,""))</f>
        <v/>
      </c>
    </row>
    <row r="2497" customFormat="false" ht="15" hidden="false" customHeight="false" outlineLevel="0" collapsed="false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7" t="str">
        <f aca="false">IF(B2497="","",IF(COUNTIF($B$2:B2497,B2497)=1,MAX($AV$1:AV2496)+1,""))</f>
        <v/>
      </c>
    </row>
    <row r="2498" customFormat="false" ht="15" hidden="false" customHeight="false" outlineLevel="0" collapsed="false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7" t="str">
        <f aca="false">IF(B2498="","",IF(COUNTIF($B$2:B2498,B2498)=1,MAX($AV$1:AV2497)+1,""))</f>
        <v/>
      </c>
    </row>
    <row r="2499" customFormat="false" ht="15" hidden="false" customHeight="false" outlineLevel="0" collapsed="false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7" t="str">
        <f aca="false">IF(B2499="","",IF(COUNTIF($B$2:B2499,B2499)=1,MAX($AV$1:AV2498)+1,""))</f>
        <v/>
      </c>
    </row>
    <row r="2500" customFormat="false" ht="15" hidden="false" customHeight="false" outlineLevel="0" collapsed="false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7" t="str">
        <f aca="false">IF(B2500="","",IF(COUNTIF($B$2:B2500,B2500)=1,MAX($AV$1:AV2499)+1,""))</f>
        <v/>
      </c>
    </row>
    <row r="2501" customFormat="false" ht="15" hidden="false" customHeight="false" outlineLevel="0" collapsed="false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7" t="str">
        <f aca="false">IF(B2501="","",IF(COUNTIF($B$2:B2501,B2501)=1,MAX($AV$1:AV2500)+1,""))</f>
        <v/>
      </c>
    </row>
    <row r="2502" customFormat="false" ht="15" hidden="false" customHeight="false" outlineLevel="0" collapsed="false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7" t="str">
        <f aca="false">IF(B2502="","",IF(COUNTIF($B$2:B2502,B2502)=1,MAX($AV$1:AV2501)+1,""))</f>
        <v/>
      </c>
    </row>
    <row r="2503" customFormat="false" ht="15" hidden="false" customHeight="false" outlineLevel="0" collapsed="false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7" t="str">
        <f aca="false">IF(B2503="","",IF(COUNTIF($B$2:B2503,B2503)=1,MAX($AV$1:AV2502)+1,""))</f>
        <v/>
      </c>
    </row>
    <row r="2504" customFormat="false" ht="15" hidden="false" customHeight="false" outlineLevel="0" collapsed="false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7" t="str">
        <f aca="false">IF(B2504="","",IF(COUNTIF($B$2:B2504,B2504)=1,MAX($AV$1:AV2503)+1,""))</f>
        <v/>
      </c>
    </row>
    <row r="2505" customFormat="false" ht="15" hidden="false" customHeight="false" outlineLevel="0" collapsed="false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7" t="str">
        <f aca="false">IF(B2505="","",IF(COUNTIF($B$2:B2505,B2505)=1,MAX($AV$1:AV2504)+1,""))</f>
        <v/>
      </c>
    </row>
    <row r="2506" customFormat="false" ht="15" hidden="false" customHeight="false" outlineLevel="0" collapsed="false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7" t="str">
        <f aca="false">IF(B2506="","",IF(COUNTIF($B$2:B2506,B2506)=1,MAX($AV$1:AV2505)+1,""))</f>
        <v/>
      </c>
    </row>
    <row r="2507" customFormat="false" ht="15" hidden="false" customHeight="false" outlineLevel="0" collapsed="false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7" t="str">
        <f aca="false">IF(B2507="","",IF(COUNTIF($B$2:B2507,B2507)=1,MAX($AV$1:AV2506)+1,""))</f>
        <v/>
      </c>
    </row>
    <row r="2508" customFormat="false" ht="15" hidden="false" customHeight="false" outlineLevel="0" collapsed="false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7" t="str">
        <f aca="false">IF(B2508="","",IF(COUNTIF($B$2:B2508,B2508)=1,MAX($AV$1:AV2507)+1,""))</f>
        <v/>
      </c>
    </row>
    <row r="2509" customFormat="false" ht="15" hidden="false" customHeight="false" outlineLevel="0" collapsed="false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7" t="str">
        <f aca="false">IF(B2509="","",IF(COUNTIF($B$2:B2509,B2509)=1,MAX($AV$1:AV2508)+1,""))</f>
        <v/>
      </c>
    </row>
    <row r="2510" customFormat="false" ht="15" hidden="false" customHeight="false" outlineLevel="0" collapsed="false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7" t="str">
        <f aca="false">IF(B2510="","",IF(COUNTIF($B$2:B2510,B2510)=1,MAX($AV$1:AV2509)+1,""))</f>
        <v/>
      </c>
    </row>
    <row r="2511" customFormat="false" ht="15" hidden="false" customHeight="false" outlineLevel="0" collapsed="false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7" t="str">
        <f aca="false">IF(B2511="","",IF(COUNTIF($B$2:B2511,B2511)=1,MAX($AV$1:AV2510)+1,""))</f>
        <v/>
      </c>
    </row>
    <row r="2512" customFormat="false" ht="15" hidden="false" customHeight="false" outlineLevel="0" collapsed="false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  <c r="AU2512" s="2"/>
      <c r="AV2512" s="7" t="str">
        <f aca="false">IF(B2512="","",IF(COUNTIF($B$2:B2512,B2512)=1,MAX($AV$1:AV2511)+1,""))</f>
        <v/>
      </c>
    </row>
    <row r="2513" customFormat="false" ht="15" hidden="false" customHeight="false" outlineLevel="0" collapsed="false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7" t="str">
        <f aca="false">IF(B2513="","",IF(COUNTIF($B$2:B2513,B2513)=1,MAX($AV$1:AV2512)+1,""))</f>
        <v/>
      </c>
    </row>
    <row r="2514" customFormat="false" ht="15" hidden="false" customHeight="false" outlineLevel="0" collapsed="false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7" t="str">
        <f aca="false">IF(B2514="","",IF(COUNTIF($B$2:B2514,B2514)=1,MAX($AV$1:AV2513)+1,""))</f>
        <v/>
      </c>
    </row>
    <row r="2515" customFormat="false" ht="15" hidden="false" customHeight="false" outlineLevel="0" collapsed="false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7" t="str">
        <f aca="false">IF(B2515="","",IF(COUNTIF($B$2:B2515,B2515)=1,MAX($AV$1:AV2514)+1,""))</f>
        <v/>
      </c>
    </row>
    <row r="2516" customFormat="false" ht="15" hidden="false" customHeight="false" outlineLevel="0" collapsed="false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7" t="str">
        <f aca="false">IF(B2516="","",IF(COUNTIF($B$2:B2516,B2516)=1,MAX($AV$1:AV2515)+1,""))</f>
        <v/>
      </c>
    </row>
    <row r="2517" customFormat="false" ht="15" hidden="false" customHeight="false" outlineLevel="0" collapsed="false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  <c r="AV2517" s="7" t="str">
        <f aca="false">IF(B2517="","",IF(COUNTIF($B$2:B2517,B2517)=1,MAX($AV$1:AV2516)+1,""))</f>
        <v/>
      </c>
    </row>
    <row r="2518" customFormat="false" ht="15" hidden="false" customHeight="false" outlineLevel="0" collapsed="false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  <c r="AU2518" s="2"/>
      <c r="AV2518" s="7" t="str">
        <f aca="false">IF(B2518="","",IF(COUNTIF($B$2:B2518,B2518)=1,MAX($AV$1:AV2517)+1,""))</f>
        <v/>
      </c>
    </row>
    <row r="2519" customFormat="false" ht="15" hidden="false" customHeight="false" outlineLevel="0" collapsed="false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7" t="str">
        <f aca="false">IF(B2519="","",IF(COUNTIF($B$2:B2519,B2519)=1,MAX($AV$1:AV2518)+1,""))</f>
        <v/>
      </c>
    </row>
    <row r="2520" customFormat="false" ht="15" hidden="false" customHeight="false" outlineLevel="0" collapsed="false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7" t="str">
        <f aca="false">IF(B2520="","",IF(COUNTIF($B$2:B2520,B2520)=1,MAX($AV$1:AV2519)+1,""))</f>
        <v/>
      </c>
    </row>
    <row r="2521" customFormat="false" ht="15" hidden="false" customHeight="false" outlineLevel="0" collapsed="false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7" t="str">
        <f aca="false">IF(B2521="","",IF(COUNTIF($B$2:B2521,B2521)=1,MAX($AV$1:AV2520)+1,""))</f>
        <v/>
      </c>
    </row>
    <row r="2522" customFormat="false" ht="15" hidden="false" customHeight="false" outlineLevel="0" collapsed="false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7" t="str">
        <f aca="false">IF(B2522="","",IF(COUNTIF($B$2:B2522,B2522)=1,MAX($AV$1:AV2521)+1,""))</f>
        <v/>
      </c>
    </row>
    <row r="2523" customFormat="false" ht="15" hidden="false" customHeight="false" outlineLevel="0" collapsed="false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  <c r="AV2523" s="7" t="str">
        <f aca="false">IF(B2523="","",IF(COUNTIF($B$2:B2523,B2523)=1,MAX($AV$1:AV2522)+1,""))</f>
        <v/>
      </c>
    </row>
    <row r="2524" customFormat="false" ht="15" hidden="false" customHeight="false" outlineLevel="0" collapsed="false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  <c r="AV2524" s="7" t="str">
        <f aca="false">IF(B2524="","",IF(COUNTIF($B$2:B2524,B2524)=1,MAX($AV$1:AV2523)+1,""))</f>
        <v/>
      </c>
    </row>
    <row r="2525" customFormat="false" ht="15" hidden="false" customHeight="false" outlineLevel="0" collapsed="false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7" t="str">
        <f aca="false">IF(B2525="","",IF(COUNTIF($B$2:B2525,B2525)=1,MAX($AV$1:AV2524)+1,""))</f>
        <v/>
      </c>
    </row>
    <row r="2526" customFormat="false" ht="15" hidden="false" customHeight="false" outlineLevel="0" collapsed="false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7" t="str">
        <f aca="false">IF(B2526="","",IF(COUNTIF($B$2:B2526,B2526)=1,MAX($AV$1:AV2525)+1,""))</f>
        <v/>
      </c>
    </row>
    <row r="2527" customFormat="false" ht="15" hidden="false" customHeight="false" outlineLevel="0" collapsed="false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7" t="str">
        <f aca="false">IF(B2527="","",IF(COUNTIF($B$2:B2527,B2527)=1,MAX($AV$1:AV2526)+1,""))</f>
        <v/>
      </c>
    </row>
    <row r="2528" customFormat="false" ht="15" hidden="false" customHeight="false" outlineLevel="0" collapsed="false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7" t="str">
        <f aca="false">IF(B2528="","",IF(COUNTIF($B$2:B2528,B2528)=1,MAX($AV$1:AV2527)+1,""))</f>
        <v/>
      </c>
    </row>
    <row r="2529" customFormat="false" ht="15" hidden="false" customHeight="false" outlineLevel="0" collapsed="false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7" t="str">
        <f aca="false">IF(B2529="","",IF(COUNTIF($B$2:B2529,B2529)=1,MAX($AV$1:AV2528)+1,""))</f>
        <v/>
      </c>
    </row>
    <row r="2530" customFormat="false" ht="15" hidden="false" customHeight="false" outlineLevel="0" collapsed="false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7" t="str">
        <f aca="false">IF(B2530="","",IF(COUNTIF($B$2:B2530,B2530)=1,MAX($AV$1:AV2529)+1,""))</f>
        <v/>
      </c>
    </row>
    <row r="2531" customFormat="false" ht="15" hidden="false" customHeight="false" outlineLevel="0" collapsed="false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  <c r="AV2531" s="7" t="str">
        <f aca="false">IF(B2531="","",IF(COUNTIF($B$2:B2531,B2531)=1,MAX($AV$1:AV2530)+1,""))</f>
        <v/>
      </c>
    </row>
    <row r="2532" customFormat="false" ht="15" hidden="false" customHeight="false" outlineLevel="0" collapsed="false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7" t="str">
        <f aca="false">IF(B2532="","",IF(COUNTIF($B$2:B2532,B2532)=1,MAX($AV$1:AV2531)+1,""))</f>
        <v/>
      </c>
    </row>
    <row r="2533" customFormat="false" ht="15" hidden="false" customHeight="false" outlineLevel="0" collapsed="false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7" t="str">
        <f aca="false">IF(B2533="","",IF(COUNTIF($B$2:B2533,B2533)=1,MAX($AV$1:AV2532)+1,""))</f>
        <v/>
      </c>
    </row>
    <row r="2534" customFormat="false" ht="15" hidden="false" customHeight="false" outlineLevel="0" collapsed="false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7" t="str">
        <f aca="false">IF(B2534="","",IF(COUNTIF($B$2:B2534,B2534)=1,MAX($AV$1:AV2533)+1,""))</f>
        <v/>
      </c>
    </row>
    <row r="2535" customFormat="false" ht="15" hidden="false" customHeight="false" outlineLevel="0" collapsed="false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7" t="str">
        <f aca="false">IF(B2535="","",IF(COUNTIF($B$2:B2535,B2535)=1,MAX($AV$1:AV2534)+1,""))</f>
        <v/>
      </c>
    </row>
    <row r="2536" customFormat="false" ht="15" hidden="false" customHeight="false" outlineLevel="0" collapsed="false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7" t="str">
        <f aca="false">IF(B2536="","",IF(COUNTIF($B$2:B2536,B2536)=1,MAX($AV$1:AV2535)+1,""))</f>
        <v/>
      </c>
    </row>
    <row r="2537" customFormat="false" ht="15" hidden="false" customHeight="false" outlineLevel="0" collapsed="false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  <c r="AU2537" s="2"/>
      <c r="AV2537" s="7" t="str">
        <f aca="false">IF(B2537="","",IF(COUNTIF($B$2:B2537,B2537)=1,MAX($AV$1:AV2536)+1,""))</f>
        <v/>
      </c>
    </row>
    <row r="2538" customFormat="false" ht="15" hidden="false" customHeight="false" outlineLevel="0" collapsed="false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7" t="str">
        <f aca="false">IF(B2538="","",IF(COUNTIF($B$2:B2538,B2538)=1,MAX($AV$1:AV2537)+1,""))</f>
        <v/>
      </c>
    </row>
    <row r="2539" customFormat="false" ht="15" hidden="false" customHeight="false" outlineLevel="0" collapsed="false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7" t="str">
        <f aca="false">IF(B2539="","",IF(COUNTIF($B$2:B2539,B2539)=1,MAX($AV$1:AV2538)+1,""))</f>
        <v/>
      </c>
    </row>
    <row r="2540" customFormat="false" ht="15" hidden="false" customHeight="false" outlineLevel="0" collapsed="false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  <c r="AV2540" s="7" t="str">
        <f aca="false">IF(B2540="","",IF(COUNTIF($B$2:B2540,B2540)=1,MAX($AV$1:AV2539)+1,""))</f>
        <v/>
      </c>
    </row>
    <row r="2541" customFormat="false" ht="15" hidden="false" customHeight="false" outlineLevel="0" collapsed="false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7" t="str">
        <f aca="false">IF(B2541="","",IF(COUNTIF($B$2:B2541,B2541)=1,MAX($AV$1:AV2540)+1,""))</f>
        <v/>
      </c>
    </row>
    <row r="2542" customFormat="false" ht="15" hidden="false" customHeight="false" outlineLevel="0" collapsed="false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7" t="str">
        <f aca="false">IF(B2542="","",IF(COUNTIF($B$2:B2542,B2542)=1,MAX($AV$1:AV2541)+1,""))</f>
        <v/>
      </c>
    </row>
    <row r="2543" customFormat="false" ht="15" hidden="false" customHeight="false" outlineLevel="0" collapsed="false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7" t="str">
        <f aca="false">IF(B2543="","",IF(COUNTIF($B$2:B2543,B2543)=1,MAX($AV$1:AV2542)+1,""))</f>
        <v/>
      </c>
    </row>
    <row r="2544" customFormat="false" ht="15" hidden="false" customHeight="false" outlineLevel="0" collapsed="false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7" t="str">
        <f aca="false">IF(B2544="","",IF(COUNTIF($B$2:B2544,B2544)=1,MAX($AV$1:AV2543)+1,""))</f>
        <v/>
      </c>
    </row>
    <row r="2545" customFormat="false" ht="15" hidden="false" customHeight="false" outlineLevel="0" collapsed="false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  <c r="AU2545" s="2"/>
      <c r="AV2545" s="7" t="str">
        <f aca="false">IF(B2545="","",IF(COUNTIF($B$2:B2545,B2545)=1,MAX($AV$1:AV2544)+1,""))</f>
        <v/>
      </c>
    </row>
    <row r="2546" customFormat="false" ht="15" hidden="false" customHeight="false" outlineLevel="0" collapsed="false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7" t="str">
        <f aca="false">IF(B2546="","",IF(COUNTIF($B$2:B2546,B2546)=1,MAX($AV$1:AV2545)+1,""))</f>
        <v/>
      </c>
    </row>
    <row r="2547" customFormat="false" ht="15" hidden="false" customHeight="false" outlineLevel="0" collapsed="false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7" t="str">
        <f aca="false">IF(B2547="","",IF(COUNTIF($B$2:B2547,B2547)=1,MAX($AV$1:AV2546)+1,""))</f>
        <v/>
      </c>
    </row>
    <row r="2548" customFormat="false" ht="15" hidden="false" customHeight="false" outlineLevel="0" collapsed="false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7" t="str">
        <f aca="false">IF(B2548="","",IF(COUNTIF($B$2:B2548,B2548)=1,MAX($AV$1:AV2547)+1,""))</f>
        <v/>
      </c>
    </row>
    <row r="2549" customFormat="false" ht="15" hidden="false" customHeight="false" outlineLevel="0" collapsed="false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  <c r="AU2549" s="2"/>
      <c r="AV2549" s="7" t="str">
        <f aca="false">IF(B2549="","",IF(COUNTIF($B$2:B2549,B2549)=1,MAX($AV$1:AV2548)+1,""))</f>
        <v/>
      </c>
    </row>
    <row r="2550" customFormat="false" ht="15" hidden="false" customHeight="false" outlineLevel="0" collapsed="false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7" t="str">
        <f aca="false">IF(B2550="","",IF(COUNTIF($B$2:B2550,B2550)=1,MAX($AV$1:AV2549)+1,""))</f>
        <v/>
      </c>
    </row>
    <row r="2551" customFormat="false" ht="15" hidden="false" customHeight="false" outlineLevel="0" collapsed="false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7" t="str">
        <f aca="false">IF(B2551="","",IF(COUNTIF($B$2:B2551,B2551)=1,MAX($AV$1:AV2550)+1,""))</f>
        <v/>
      </c>
    </row>
    <row r="2552" customFormat="false" ht="15" hidden="false" customHeight="false" outlineLevel="0" collapsed="false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7" t="str">
        <f aca="false">IF(B2552="","",IF(COUNTIF($B$2:B2552,B2552)=1,MAX($AV$1:AV2551)+1,""))</f>
        <v/>
      </c>
    </row>
    <row r="2553" customFormat="false" ht="15" hidden="false" customHeight="false" outlineLevel="0" collapsed="false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7" t="str">
        <f aca="false">IF(B2553="","",IF(COUNTIF($B$2:B2553,B2553)=1,MAX($AV$1:AV2552)+1,""))</f>
        <v/>
      </c>
    </row>
    <row r="2554" customFormat="false" ht="15" hidden="false" customHeight="false" outlineLevel="0" collapsed="false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7" t="str">
        <f aca="false">IF(B2554="","",IF(COUNTIF($B$2:B2554,B2554)=1,MAX($AV$1:AV2553)+1,""))</f>
        <v/>
      </c>
    </row>
    <row r="2555" customFormat="false" ht="15" hidden="false" customHeight="false" outlineLevel="0" collapsed="false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7" t="str">
        <f aca="false">IF(B2555="","",IF(COUNTIF($B$2:B2555,B2555)=1,MAX($AV$1:AV2554)+1,""))</f>
        <v/>
      </c>
    </row>
    <row r="2556" customFormat="false" ht="15" hidden="false" customHeight="false" outlineLevel="0" collapsed="false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7" t="str">
        <f aca="false">IF(B2556="","",IF(COUNTIF($B$2:B2556,B2556)=1,MAX($AV$1:AV2555)+1,""))</f>
        <v/>
      </c>
    </row>
    <row r="2557" customFormat="false" ht="15" hidden="false" customHeight="false" outlineLevel="0" collapsed="false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7" t="str">
        <f aca="false">IF(B2557="","",IF(COUNTIF($B$2:B2557,B2557)=1,MAX($AV$1:AV2556)+1,""))</f>
        <v/>
      </c>
    </row>
    <row r="2558" customFormat="false" ht="15" hidden="false" customHeight="false" outlineLevel="0" collapsed="false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2"/>
      <c r="AS2558" s="2"/>
      <c r="AT2558" s="2"/>
      <c r="AU2558" s="2"/>
      <c r="AV2558" s="7" t="str">
        <f aca="false">IF(B2558="","",IF(COUNTIF($B$2:B2558,B2558)=1,MAX($AV$1:AV2557)+1,""))</f>
        <v/>
      </c>
    </row>
    <row r="2559" customFormat="false" ht="15" hidden="false" customHeight="false" outlineLevel="0" collapsed="false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7" t="str">
        <f aca="false">IF(B2559="","",IF(COUNTIF($B$2:B2559,B2559)=1,MAX($AV$1:AV2558)+1,""))</f>
        <v/>
      </c>
    </row>
    <row r="2560" customFormat="false" ht="15" hidden="false" customHeight="false" outlineLevel="0" collapsed="false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7" t="str">
        <f aca="false">IF(B2560="","",IF(COUNTIF($B$2:B2560,B2560)=1,MAX($AV$1:AV2559)+1,""))</f>
        <v/>
      </c>
    </row>
    <row r="2561" customFormat="false" ht="15" hidden="false" customHeight="false" outlineLevel="0" collapsed="false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7" t="str">
        <f aca="false">IF(B2561="","",IF(COUNTIF($B$2:B2561,B2561)=1,MAX($AV$1:AV2560)+1,""))</f>
        <v/>
      </c>
    </row>
    <row r="2562" customFormat="false" ht="15" hidden="false" customHeight="false" outlineLevel="0" collapsed="false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7" t="str">
        <f aca="false">IF(B2562="","",IF(COUNTIF($B$2:B2562,B2562)=1,MAX($AV$1:AV2561)+1,""))</f>
        <v/>
      </c>
    </row>
    <row r="2563" customFormat="false" ht="15" hidden="false" customHeight="false" outlineLevel="0" collapsed="false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7" t="str">
        <f aca="false">IF(B2563="","",IF(COUNTIF($B$2:B2563,B2563)=1,MAX($AV$1:AV2562)+1,""))</f>
        <v/>
      </c>
    </row>
    <row r="2564" customFormat="false" ht="15" hidden="false" customHeight="false" outlineLevel="0" collapsed="false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2"/>
      <c r="AQ2564" s="2"/>
      <c r="AR2564" s="2"/>
      <c r="AS2564" s="2"/>
      <c r="AT2564" s="2"/>
      <c r="AU2564" s="2"/>
      <c r="AV2564" s="7" t="str">
        <f aca="false">IF(B2564="","",IF(COUNTIF($B$2:B2564,B2564)=1,MAX($AV$1:AV2563)+1,""))</f>
        <v/>
      </c>
    </row>
    <row r="2565" customFormat="false" ht="15" hidden="false" customHeight="false" outlineLevel="0" collapsed="false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7" t="str">
        <f aca="false">IF(B2565="","",IF(COUNTIF($B$2:B2565,B2565)=1,MAX($AV$1:AV2564)+1,""))</f>
        <v/>
      </c>
    </row>
    <row r="2566" customFormat="false" ht="15" hidden="false" customHeight="false" outlineLevel="0" collapsed="false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  <c r="AV2566" s="7" t="str">
        <f aca="false">IF(B2566="","",IF(COUNTIF($B$2:B2566,B2566)=1,MAX($AV$1:AV2565)+1,""))</f>
        <v/>
      </c>
    </row>
    <row r="2567" customFormat="false" ht="15" hidden="false" customHeight="false" outlineLevel="0" collapsed="false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  <c r="AV2567" s="7" t="str">
        <f aca="false">IF(B2567="","",IF(COUNTIF($B$2:B2567,B2567)=1,MAX($AV$1:AV2566)+1,""))</f>
        <v/>
      </c>
    </row>
    <row r="2568" customFormat="false" ht="15" hidden="false" customHeight="false" outlineLevel="0" collapsed="false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  <c r="AV2568" s="7" t="str">
        <f aca="false">IF(B2568="","",IF(COUNTIF($B$2:B2568,B2568)=1,MAX($AV$1:AV2567)+1,""))</f>
        <v/>
      </c>
    </row>
    <row r="2569" customFormat="false" ht="15" hidden="false" customHeight="false" outlineLevel="0" collapsed="false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7" t="str">
        <f aca="false">IF(B2569="","",IF(COUNTIF($B$2:B2569,B2569)=1,MAX($AV$1:AV2568)+1,""))</f>
        <v/>
      </c>
    </row>
    <row r="2570" customFormat="false" ht="15" hidden="false" customHeight="false" outlineLevel="0" collapsed="false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7" t="str">
        <f aca="false">IF(B2570="","",IF(COUNTIF($B$2:B2570,B2570)=1,MAX($AV$1:AV2569)+1,""))</f>
        <v/>
      </c>
    </row>
    <row r="2571" customFormat="false" ht="15" hidden="false" customHeight="false" outlineLevel="0" collapsed="false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7" t="str">
        <f aca="false">IF(B2571="","",IF(COUNTIF($B$2:B2571,B2571)=1,MAX($AV$1:AV2570)+1,""))</f>
        <v/>
      </c>
    </row>
    <row r="2572" customFormat="false" ht="15" hidden="false" customHeight="false" outlineLevel="0" collapsed="false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7" t="str">
        <f aca="false">IF(B2572="","",IF(COUNTIF($B$2:B2572,B2572)=1,MAX($AV$1:AV2571)+1,""))</f>
        <v/>
      </c>
    </row>
    <row r="2573" customFormat="false" ht="15" hidden="false" customHeight="false" outlineLevel="0" collapsed="false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7" t="str">
        <f aca="false">IF(B2573="","",IF(COUNTIF($B$2:B2573,B2573)=1,MAX($AV$1:AV2572)+1,""))</f>
        <v/>
      </c>
    </row>
    <row r="2574" customFormat="false" ht="15" hidden="false" customHeight="false" outlineLevel="0" collapsed="false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7" t="str">
        <f aca="false">IF(B2574="","",IF(COUNTIF($B$2:B2574,B2574)=1,MAX($AV$1:AV2573)+1,""))</f>
        <v/>
      </c>
    </row>
    <row r="2575" customFormat="false" ht="15" hidden="false" customHeight="false" outlineLevel="0" collapsed="false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7" t="str">
        <f aca="false">IF(B2575="","",IF(COUNTIF($B$2:B2575,B2575)=1,MAX($AV$1:AV2574)+1,""))</f>
        <v/>
      </c>
    </row>
    <row r="2576" customFormat="false" ht="15" hidden="false" customHeight="false" outlineLevel="0" collapsed="false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  <c r="AV2576" s="7" t="str">
        <f aca="false">IF(B2576="","",IF(COUNTIF($B$2:B2576,B2576)=1,MAX($AV$1:AV2575)+1,""))</f>
        <v/>
      </c>
    </row>
    <row r="2577" customFormat="false" ht="15" hidden="false" customHeight="false" outlineLevel="0" collapsed="false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7" t="str">
        <f aca="false">IF(B2577="","",IF(COUNTIF($B$2:B2577,B2577)=1,MAX($AV$1:AV2576)+1,""))</f>
        <v/>
      </c>
    </row>
    <row r="2578" customFormat="false" ht="15" hidden="false" customHeight="false" outlineLevel="0" collapsed="false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7" t="str">
        <f aca="false">IF(B2578="","",IF(COUNTIF($B$2:B2578,B2578)=1,MAX($AV$1:AV2577)+1,""))</f>
        <v/>
      </c>
    </row>
    <row r="2579" customFormat="false" ht="15" hidden="false" customHeight="false" outlineLevel="0" collapsed="false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7" t="str">
        <f aca="false">IF(B2579="","",IF(COUNTIF($B$2:B2579,B2579)=1,MAX($AV$1:AV2578)+1,""))</f>
        <v/>
      </c>
    </row>
    <row r="2580" customFormat="false" ht="15" hidden="false" customHeight="false" outlineLevel="0" collapsed="false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7" t="str">
        <f aca="false">IF(B2580="","",IF(COUNTIF($B$2:B2580,B2580)=1,MAX($AV$1:AV2579)+1,""))</f>
        <v/>
      </c>
    </row>
    <row r="2581" customFormat="false" ht="15" hidden="false" customHeight="false" outlineLevel="0" collapsed="false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7" t="str">
        <f aca="false">IF(B2581="","",IF(COUNTIF($B$2:B2581,B2581)=1,MAX($AV$1:AV2580)+1,""))</f>
        <v/>
      </c>
    </row>
    <row r="2582" customFormat="false" ht="15" hidden="false" customHeight="false" outlineLevel="0" collapsed="false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7" t="str">
        <f aca="false">IF(B2582="","",IF(COUNTIF($B$2:B2582,B2582)=1,MAX($AV$1:AV2581)+1,""))</f>
        <v/>
      </c>
    </row>
    <row r="2583" customFormat="false" ht="15" hidden="false" customHeight="false" outlineLevel="0" collapsed="false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7" t="str">
        <f aca="false">IF(B2583="","",IF(COUNTIF($B$2:B2583,B2583)=1,MAX($AV$1:AV2582)+1,""))</f>
        <v/>
      </c>
    </row>
    <row r="2584" customFormat="false" ht="15" hidden="false" customHeight="false" outlineLevel="0" collapsed="false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7" t="str">
        <f aca="false">IF(B2584="","",IF(COUNTIF($B$2:B2584,B2584)=1,MAX($AV$1:AV2583)+1,""))</f>
        <v/>
      </c>
    </row>
    <row r="2585" customFormat="false" ht="15" hidden="false" customHeight="false" outlineLevel="0" collapsed="false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7" t="str">
        <f aca="false">IF(B2585="","",IF(COUNTIF($B$2:B2585,B2585)=1,MAX($AV$1:AV2584)+1,""))</f>
        <v/>
      </c>
    </row>
    <row r="2586" customFormat="false" ht="15" hidden="false" customHeight="false" outlineLevel="0" collapsed="false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7" t="str">
        <f aca="false">IF(B2586="","",IF(COUNTIF($B$2:B2586,B2586)=1,MAX($AV$1:AV2585)+1,""))</f>
        <v/>
      </c>
    </row>
    <row r="2587" customFormat="false" ht="15" hidden="false" customHeight="false" outlineLevel="0" collapsed="false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7" t="str">
        <f aca="false">IF(B2587="","",IF(COUNTIF($B$2:B2587,B2587)=1,MAX($AV$1:AV2586)+1,""))</f>
        <v/>
      </c>
    </row>
    <row r="2588" customFormat="false" ht="15" hidden="false" customHeight="false" outlineLevel="0" collapsed="false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7" t="str">
        <f aca="false">IF(B2588="","",IF(COUNTIF($B$2:B2588,B2588)=1,MAX($AV$1:AV2587)+1,""))</f>
        <v/>
      </c>
    </row>
    <row r="2589" customFormat="false" ht="15" hidden="false" customHeight="false" outlineLevel="0" collapsed="false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7" t="str">
        <f aca="false">IF(B2589="","",IF(COUNTIF($B$2:B2589,B2589)=1,MAX($AV$1:AV2588)+1,""))</f>
        <v/>
      </c>
    </row>
    <row r="2590" customFormat="false" ht="15" hidden="false" customHeight="false" outlineLevel="0" collapsed="false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7" t="str">
        <f aca="false">IF(B2590="","",IF(COUNTIF($B$2:B2590,B2590)=1,MAX($AV$1:AV2589)+1,""))</f>
        <v/>
      </c>
    </row>
    <row r="2591" customFormat="false" ht="15" hidden="false" customHeight="false" outlineLevel="0" collapsed="false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7" t="str">
        <f aca="false">IF(B2591="","",IF(COUNTIF($B$2:B2591,B2591)=1,MAX($AV$1:AV2590)+1,""))</f>
        <v/>
      </c>
    </row>
    <row r="2592" customFormat="false" ht="15" hidden="false" customHeight="false" outlineLevel="0" collapsed="false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7" t="str">
        <f aca="false">IF(B2592="","",IF(COUNTIF($B$2:B2592,B2592)=1,MAX($AV$1:AV2591)+1,""))</f>
        <v/>
      </c>
    </row>
    <row r="2593" customFormat="false" ht="15" hidden="false" customHeight="false" outlineLevel="0" collapsed="false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7" t="str">
        <f aca="false">IF(B2593="","",IF(COUNTIF($B$2:B2593,B2593)=1,MAX($AV$1:AV2592)+1,""))</f>
        <v/>
      </c>
    </row>
    <row r="2594" customFormat="false" ht="15" hidden="false" customHeight="false" outlineLevel="0" collapsed="false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7" t="str">
        <f aca="false">IF(B2594="","",IF(COUNTIF($B$2:B2594,B2594)=1,MAX($AV$1:AV2593)+1,""))</f>
        <v/>
      </c>
    </row>
    <row r="2595" customFormat="false" ht="15" hidden="false" customHeight="false" outlineLevel="0" collapsed="false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7" t="str">
        <f aca="false">IF(B2595="","",IF(COUNTIF($B$2:B2595,B2595)=1,MAX($AV$1:AV2594)+1,""))</f>
        <v/>
      </c>
    </row>
    <row r="2596" customFormat="false" ht="15" hidden="false" customHeight="false" outlineLevel="0" collapsed="false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7" t="str">
        <f aca="false">IF(B2596="","",IF(COUNTIF($B$2:B2596,B2596)=1,MAX($AV$1:AV2595)+1,""))</f>
        <v/>
      </c>
    </row>
    <row r="2597" customFormat="false" ht="15" hidden="false" customHeight="false" outlineLevel="0" collapsed="false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7" t="str">
        <f aca="false">IF(B2597="","",IF(COUNTIF($B$2:B2597,B2597)=1,MAX($AV$1:AV2596)+1,""))</f>
        <v/>
      </c>
    </row>
    <row r="2598" customFormat="false" ht="15" hidden="false" customHeight="false" outlineLevel="0" collapsed="false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7" t="str">
        <f aca="false">IF(B2598="","",IF(COUNTIF($B$2:B2598,B2598)=1,MAX($AV$1:AV2597)+1,""))</f>
        <v/>
      </c>
    </row>
    <row r="2599" customFormat="false" ht="15" hidden="false" customHeight="false" outlineLevel="0" collapsed="false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7" t="str">
        <f aca="false">IF(B2599="","",IF(COUNTIF($B$2:B2599,B2599)=1,MAX($AV$1:AV2598)+1,""))</f>
        <v/>
      </c>
    </row>
    <row r="2600" customFormat="false" ht="15" hidden="false" customHeight="false" outlineLevel="0" collapsed="false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7" t="str">
        <f aca="false">IF(B2600="","",IF(COUNTIF($B$2:B2600,B2600)=1,MAX($AV$1:AV2599)+1,""))</f>
        <v/>
      </c>
    </row>
    <row r="2601" customFormat="false" ht="15" hidden="false" customHeight="false" outlineLevel="0" collapsed="false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7" t="str">
        <f aca="false">IF(B2601="","",IF(COUNTIF($B$2:B2601,B2601)=1,MAX($AV$1:AV2600)+1,""))</f>
        <v/>
      </c>
    </row>
    <row r="2602" customFormat="false" ht="15" hidden="false" customHeight="false" outlineLevel="0" collapsed="false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/>
      <c r="AT2602" s="2"/>
      <c r="AU2602" s="2"/>
      <c r="AV2602" s="7" t="str">
        <f aca="false">IF(B2602="","",IF(COUNTIF($B$2:B2602,B2602)=1,MAX($AV$1:AV2601)+1,""))</f>
        <v/>
      </c>
    </row>
    <row r="2603" customFormat="false" ht="15" hidden="false" customHeight="false" outlineLevel="0" collapsed="false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7" t="str">
        <f aca="false">IF(B2603="","",IF(COUNTIF($B$2:B2603,B2603)=1,MAX($AV$1:AV2602)+1,""))</f>
        <v/>
      </c>
    </row>
    <row r="2604" customFormat="false" ht="15" hidden="false" customHeight="false" outlineLevel="0" collapsed="false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7" t="str">
        <f aca="false">IF(B2604="","",IF(COUNTIF($B$2:B2604,B2604)=1,MAX($AV$1:AV2603)+1,""))</f>
        <v/>
      </c>
    </row>
    <row r="2605" customFormat="false" ht="15" hidden="false" customHeight="false" outlineLevel="0" collapsed="false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7" t="str">
        <f aca="false">IF(B2605="","",IF(COUNTIF($B$2:B2605,B2605)=1,MAX($AV$1:AV2604)+1,""))</f>
        <v/>
      </c>
    </row>
    <row r="2606" customFormat="false" ht="15" hidden="false" customHeight="false" outlineLevel="0" collapsed="false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7" t="str">
        <f aca="false">IF(B2606="","",IF(COUNTIF($B$2:B2606,B2606)=1,MAX($AV$1:AV2605)+1,""))</f>
        <v/>
      </c>
    </row>
    <row r="2607" customFormat="false" ht="15" hidden="false" customHeight="false" outlineLevel="0" collapsed="false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7" t="str">
        <f aca="false">IF(B2607="","",IF(COUNTIF($B$2:B2607,B2607)=1,MAX($AV$1:AV2606)+1,""))</f>
        <v/>
      </c>
    </row>
    <row r="2608" customFormat="false" ht="15" hidden="false" customHeight="false" outlineLevel="0" collapsed="false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7" t="str">
        <f aca="false">IF(B2608="","",IF(COUNTIF($B$2:B2608,B2608)=1,MAX($AV$1:AV2607)+1,""))</f>
        <v/>
      </c>
    </row>
    <row r="2609" customFormat="false" ht="15" hidden="false" customHeight="false" outlineLevel="0" collapsed="false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7" t="str">
        <f aca="false">IF(B2609="","",IF(COUNTIF($B$2:B2609,B2609)=1,MAX($AV$1:AV2608)+1,""))</f>
        <v/>
      </c>
    </row>
    <row r="2610" customFormat="false" ht="15" hidden="false" customHeight="false" outlineLevel="0" collapsed="false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  <c r="AU2610" s="2"/>
      <c r="AV2610" s="7" t="str">
        <f aca="false">IF(B2610="","",IF(COUNTIF($B$2:B2610,B2610)=1,MAX($AV$1:AV2609)+1,""))</f>
        <v/>
      </c>
    </row>
    <row r="2611" customFormat="false" ht="15" hidden="false" customHeight="false" outlineLevel="0" collapsed="false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7" t="str">
        <f aca="false">IF(B2611="","",IF(COUNTIF($B$2:B2611,B2611)=1,MAX($AV$1:AV2610)+1,""))</f>
        <v/>
      </c>
    </row>
    <row r="2612" customFormat="false" ht="15" hidden="false" customHeight="false" outlineLevel="0" collapsed="false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7" t="str">
        <f aca="false">IF(B2612="","",IF(COUNTIF($B$2:B2612,B2612)=1,MAX($AV$1:AV2611)+1,""))</f>
        <v/>
      </c>
    </row>
    <row r="2613" customFormat="false" ht="15" hidden="false" customHeight="false" outlineLevel="0" collapsed="false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7" t="str">
        <f aca="false">IF(B2613="","",IF(COUNTIF($B$2:B2613,B2613)=1,MAX($AV$1:AV2612)+1,""))</f>
        <v/>
      </c>
    </row>
    <row r="2614" customFormat="false" ht="15" hidden="false" customHeight="false" outlineLevel="0" collapsed="false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7" t="str">
        <f aca="false">IF(B2614="","",IF(COUNTIF($B$2:B2614,B2614)=1,MAX($AV$1:AV2613)+1,""))</f>
        <v/>
      </c>
    </row>
    <row r="2615" customFormat="false" ht="15" hidden="false" customHeight="false" outlineLevel="0" collapsed="false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7" t="str">
        <f aca="false">IF(B2615="","",IF(COUNTIF($B$2:B2615,B2615)=1,MAX($AV$1:AV2614)+1,""))</f>
        <v/>
      </c>
    </row>
    <row r="2616" customFormat="false" ht="15" hidden="false" customHeight="false" outlineLevel="0" collapsed="false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7" t="str">
        <f aca="false">IF(B2616="","",IF(COUNTIF($B$2:B2616,B2616)=1,MAX($AV$1:AV2615)+1,""))</f>
        <v/>
      </c>
    </row>
    <row r="2617" customFormat="false" ht="15" hidden="false" customHeight="false" outlineLevel="0" collapsed="false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7" t="str">
        <f aca="false">IF(B2617="","",IF(COUNTIF($B$2:B2617,B2617)=1,MAX($AV$1:AV2616)+1,""))</f>
        <v/>
      </c>
    </row>
    <row r="2618" customFormat="false" ht="15" hidden="false" customHeight="false" outlineLevel="0" collapsed="false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7" t="str">
        <f aca="false">IF(B2618="","",IF(COUNTIF($B$2:B2618,B2618)=1,MAX($AV$1:AV2617)+1,""))</f>
        <v/>
      </c>
    </row>
    <row r="2619" customFormat="false" ht="15" hidden="false" customHeight="false" outlineLevel="0" collapsed="false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7" t="str">
        <f aca="false">IF(B2619="","",IF(COUNTIF($B$2:B2619,B2619)=1,MAX($AV$1:AV2618)+1,""))</f>
        <v/>
      </c>
    </row>
    <row r="2620" customFormat="false" ht="15" hidden="false" customHeight="false" outlineLevel="0" collapsed="false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7" t="str">
        <f aca="false">IF(B2620="","",IF(COUNTIF($B$2:B2620,B2620)=1,MAX($AV$1:AV2619)+1,""))</f>
        <v/>
      </c>
    </row>
    <row r="2621" customFormat="false" ht="15" hidden="false" customHeight="false" outlineLevel="0" collapsed="false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7" t="str">
        <f aca="false">IF(B2621="","",IF(COUNTIF($B$2:B2621,B2621)=1,MAX($AV$1:AV2620)+1,""))</f>
        <v/>
      </c>
    </row>
    <row r="2622" customFormat="false" ht="15" hidden="false" customHeight="false" outlineLevel="0" collapsed="false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7" t="str">
        <f aca="false">IF(B2622="","",IF(COUNTIF($B$2:B2622,B2622)=1,MAX($AV$1:AV2621)+1,""))</f>
        <v/>
      </c>
    </row>
    <row r="2623" customFormat="false" ht="15" hidden="false" customHeight="false" outlineLevel="0" collapsed="false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7" t="str">
        <f aca="false">IF(B2623="","",IF(COUNTIF($B$2:B2623,B2623)=1,MAX($AV$1:AV2622)+1,""))</f>
        <v/>
      </c>
    </row>
    <row r="2624" customFormat="false" ht="15" hidden="false" customHeight="false" outlineLevel="0" collapsed="false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7" t="str">
        <f aca="false">IF(B2624="","",IF(COUNTIF($B$2:B2624,B2624)=1,MAX($AV$1:AV2623)+1,""))</f>
        <v/>
      </c>
    </row>
    <row r="2625" customFormat="false" ht="15" hidden="false" customHeight="false" outlineLevel="0" collapsed="false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7" t="str">
        <f aca="false">IF(B2625="","",IF(COUNTIF($B$2:B2625,B2625)=1,MAX($AV$1:AV2624)+1,""))</f>
        <v/>
      </c>
    </row>
    <row r="2626" customFormat="false" ht="15" hidden="false" customHeight="false" outlineLevel="0" collapsed="false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7" t="str">
        <f aca="false">IF(B2626="","",IF(COUNTIF($B$2:B2626,B2626)=1,MAX($AV$1:AV2625)+1,""))</f>
        <v/>
      </c>
    </row>
    <row r="2627" customFormat="false" ht="15" hidden="false" customHeight="false" outlineLevel="0" collapsed="false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7" t="str">
        <f aca="false">IF(B2627="","",IF(COUNTIF($B$2:B2627,B2627)=1,MAX($AV$1:AV2626)+1,""))</f>
        <v/>
      </c>
    </row>
    <row r="2628" customFormat="false" ht="15" hidden="false" customHeight="false" outlineLevel="0" collapsed="false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7" t="str">
        <f aca="false">IF(B2628="","",IF(COUNTIF($B$2:B2628,B2628)=1,MAX($AV$1:AV2627)+1,""))</f>
        <v/>
      </c>
    </row>
    <row r="2629" customFormat="false" ht="15" hidden="false" customHeight="false" outlineLevel="0" collapsed="false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7" t="str">
        <f aca="false">IF(B2629="","",IF(COUNTIF($B$2:B2629,B2629)=1,MAX($AV$1:AV2628)+1,""))</f>
        <v/>
      </c>
    </row>
    <row r="2630" customFormat="false" ht="15" hidden="false" customHeight="false" outlineLevel="0" collapsed="false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7" t="str">
        <f aca="false">IF(B2630="","",IF(COUNTIF($B$2:B2630,B2630)=1,MAX($AV$1:AV2629)+1,""))</f>
        <v/>
      </c>
    </row>
    <row r="2631" customFormat="false" ht="15" hidden="false" customHeight="false" outlineLevel="0" collapsed="false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7" t="str">
        <f aca="false">IF(B2631="","",IF(COUNTIF($B$2:B2631,B2631)=1,MAX($AV$1:AV2630)+1,""))</f>
        <v/>
      </c>
    </row>
    <row r="2632" customFormat="false" ht="15" hidden="false" customHeight="false" outlineLevel="0" collapsed="false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7" t="str">
        <f aca="false">IF(B2632="","",IF(COUNTIF($B$2:B2632,B2632)=1,MAX($AV$1:AV2631)+1,""))</f>
        <v/>
      </c>
    </row>
    <row r="2633" customFormat="false" ht="15" hidden="false" customHeight="false" outlineLevel="0" collapsed="false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7" t="str">
        <f aca="false">IF(B2633="","",IF(COUNTIF($B$2:B2633,B2633)=1,MAX($AV$1:AV2632)+1,""))</f>
        <v/>
      </c>
    </row>
    <row r="2634" customFormat="false" ht="15" hidden="false" customHeight="false" outlineLevel="0" collapsed="false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7" t="str">
        <f aca="false">IF(B2634="","",IF(COUNTIF($B$2:B2634,B2634)=1,MAX($AV$1:AV2633)+1,""))</f>
        <v/>
      </c>
    </row>
    <row r="2635" customFormat="false" ht="15" hidden="false" customHeight="false" outlineLevel="0" collapsed="false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7" t="str">
        <f aca="false">IF(B2635="","",IF(COUNTIF($B$2:B2635,B2635)=1,MAX($AV$1:AV2634)+1,""))</f>
        <v/>
      </c>
    </row>
    <row r="2636" customFormat="false" ht="15" hidden="false" customHeight="false" outlineLevel="0" collapsed="false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7" t="str">
        <f aca="false">IF(B2636="","",IF(COUNTIF($B$2:B2636,B2636)=1,MAX($AV$1:AV2635)+1,""))</f>
        <v/>
      </c>
    </row>
    <row r="2637" customFormat="false" ht="15" hidden="false" customHeight="false" outlineLevel="0" collapsed="false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  <c r="AP2637" s="2"/>
      <c r="AQ2637" s="2"/>
      <c r="AR2637" s="2"/>
      <c r="AS2637" s="2"/>
      <c r="AT2637" s="2"/>
      <c r="AU2637" s="2"/>
      <c r="AV2637" s="7" t="str">
        <f aca="false">IF(B2637="","",IF(COUNTIF($B$2:B2637,B2637)=1,MAX($AV$1:AV2636)+1,""))</f>
        <v/>
      </c>
    </row>
    <row r="2638" customFormat="false" ht="15" hidden="false" customHeight="false" outlineLevel="0" collapsed="false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7" t="str">
        <f aca="false">IF(B2638="","",IF(COUNTIF($B$2:B2638,B2638)=1,MAX($AV$1:AV2637)+1,""))</f>
        <v/>
      </c>
    </row>
    <row r="2639" customFormat="false" ht="15" hidden="false" customHeight="false" outlineLevel="0" collapsed="false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7" t="str">
        <f aca="false">IF(B2639="","",IF(COUNTIF($B$2:B2639,B2639)=1,MAX($AV$1:AV2638)+1,""))</f>
        <v/>
      </c>
    </row>
    <row r="2640" customFormat="false" ht="15" hidden="false" customHeight="false" outlineLevel="0" collapsed="false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7" t="str">
        <f aca="false">IF(B2640="","",IF(COUNTIF($B$2:B2640,B2640)=1,MAX($AV$1:AV2639)+1,""))</f>
        <v/>
      </c>
    </row>
    <row r="2641" customFormat="false" ht="15" hidden="false" customHeight="false" outlineLevel="0" collapsed="false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7" t="str">
        <f aca="false">IF(B2641="","",IF(COUNTIF($B$2:B2641,B2641)=1,MAX($AV$1:AV2640)+1,""))</f>
        <v/>
      </c>
    </row>
    <row r="2642" customFormat="false" ht="15" hidden="false" customHeight="false" outlineLevel="0" collapsed="false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7" t="str">
        <f aca="false">IF(B2642="","",IF(COUNTIF($B$2:B2642,B2642)=1,MAX($AV$1:AV2641)+1,""))</f>
        <v/>
      </c>
    </row>
    <row r="2643" customFormat="false" ht="15" hidden="false" customHeight="false" outlineLevel="0" collapsed="false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7" t="str">
        <f aca="false">IF(B2643="","",IF(COUNTIF($B$2:B2643,B2643)=1,MAX($AV$1:AV2642)+1,""))</f>
        <v/>
      </c>
    </row>
    <row r="2644" customFormat="false" ht="15" hidden="false" customHeight="false" outlineLevel="0" collapsed="false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  <c r="AU2644" s="2"/>
      <c r="AV2644" s="7" t="str">
        <f aca="false">IF(B2644="","",IF(COUNTIF($B$2:B2644,B2644)=1,MAX($AV$1:AV2643)+1,""))</f>
        <v/>
      </c>
    </row>
    <row r="2645" customFormat="false" ht="15" hidden="false" customHeight="false" outlineLevel="0" collapsed="false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7" t="str">
        <f aca="false">IF(B2645="","",IF(COUNTIF($B$2:B2645,B2645)=1,MAX($AV$1:AV2644)+1,""))</f>
        <v/>
      </c>
    </row>
    <row r="2646" customFormat="false" ht="15" hidden="false" customHeight="false" outlineLevel="0" collapsed="false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7" t="str">
        <f aca="false">IF(B2646="","",IF(COUNTIF($B$2:B2646,B2646)=1,MAX($AV$1:AV2645)+1,""))</f>
        <v/>
      </c>
    </row>
    <row r="2647" customFormat="false" ht="15" hidden="false" customHeight="false" outlineLevel="0" collapsed="false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7" t="str">
        <f aca="false">IF(B2647="","",IF(COUNTIF($B$2:B2647,B2647)=1,MAX($AV$1:AV2646)+1,""))</f>
        <v/>
      </c>
    </row>
    <row r="2648" customFormat="false" ht="15" hidden="false" customHeight="false" outlineLevel="0" collapsed="false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7" t="str">
        <f aca="false">IF(B2648="","",IF(COUNTIF($B$2:B2648,B2648)=1,MAX($AV$1:AV2647)+1,""))</f>
        <v/>
      </c>
    </row>
    <row r="2649" customFormat="false" ht="15" hidden="false" customHeight="false" outlineLevel="0" collapsed="false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7" t="str">
        <f aca="false">IF(B2649="","",IF(COUNTIF($B$2:B2649,B2649)=1,MAX($AV$1:AV2648)+1,""))</f>
        <v/>
      </c>
    </row>
    <row r="2650" customFormat="false" ht="15" hidden="false" customHeight="false" outlineLevel="0" collapsed="false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7" t="str">
        <f aca="false">IF(B2650="","",IF(COUNTIF($B$2:B2650,B2650)=1,MAX($AV$1:AV2649)+1,""))</f>
        <v/>
      </c>
    </row>
    <row r="2651" customFormat="false" ht="15" hidden="false" customHeight="false" outlineLevel="0" collapsed="false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7" t="str">
        <f aca="false">IF(B2651="","",IF(COUNTIF($B$2:B2651,B2651)=1,MAX($AV$1:AV2650)+1,""))</f>
        <v/>
      </c>
    </row>
    <row r="2652" customFormat="false" ht="15" hidden="false" customHeight="false" outlineLevel="0" collapsed="false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7" t="str">
        <f aca="false">IF(B2652="","",IF(COUNTIF($B$2:B2652,B2652)=1,MAX($AV$1:AV2651)+1,""))</f>
        <v/>
      </c>
    </row>
    <row r="2653" customFormat="false" ht="15" hidden="false" customHeight="false" outlineLevel="0" collapsed="false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7" t="str">
        <f aca="false">IF(B2653="","",IF(COUNTIF($B$2:B2653,B2653)=1,MAX($AV$1:AV2652)+1,""))</f>
        <v/>
      </c>
    </row>
    <row r="2654" customFormat="false" ht="15" hidden="false" customHeight="false" outlineLevel="0" collapsed="false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7" t="str">
        <f aca="false">IF(B2654="","",IF(COUNTIF($B$2:B2654,B2654)=1,MAX($AV$1:AV2653)+1,""))</f>
        <v/>
      </c>
    </row>
    <row r="2655" customFormat="false" ht="15" hidden="false" customHeight="false" outlineLevel="0" collapsed="false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7" t="str">
        <f aca="false">IF(B2655="","",IF(COUNTIF($B$2:B2655,B2655)=1,MAX($AV$1:AV2654)+1,""))</f>
        <v/>
      </c>
    </row>
    <row r="2656" customFormat="false" ht="15" hidden="false" customHeight="false" outlineLevel="0" collapsed="false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7" t="str">
        <f aca="false">IF(B2656="","",IF(COUNTIF($B$2:B2656,B2656)=1,MAX($AV$1:AV2655)+1,""))</f>
        <v/>
      </c>
    </row>
    <row r="2657" customFormat="false" ht="15" hidden="false" customHeight="false" outlineLevel="0" collapsed="false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7" t="str">
        <f aca="false">IF(B2657="","",IF(COUNTIF($B$2:B2657,B2657)=1,MAX($AV$1:AV2656)+1,""))</f>
        <v/>
      </c>
    </row>
    <row r="2658" customFormat="false" ht="15" hidden="false" customHeight="false" outlineLevel="0" collapsed="false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  <c r="AV2658" s="7" t="str">
        <f aca="false">IF(B2658="","",IF(COUNTIF($B$2:B2658,B2658)=1,MAX($AV$1:AV2657)+1,""))</f>
        <v/>
      </c>
    </row>
    <row r="2659" customFormat="false" ht="15" hidden="false" customHeight="false" outlineLevel="0" collapsed="false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  <c r="AV2659" s="7" t="str">
        <f aca="false">IF(B2659="","",IF(COUNTIF($B$2:B2659,B2659)=1,MAX($AV$1:AV2658)+1,""))</f>
        <v/>
      </c>
    </row>
    <row r="2660" customFormat="false" ht="15" hidden="false" customHeight="false" outlineLevel="0" collapsed="false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7" t="str">
        <f aca="false">IF(B2660="","",IF(COUNTIF($B$2:B2660,B2660)=1,MAX($AV$1:AV2659)+1,""))</f>
        <v/>
      </c>
    </row>
    <row r="2661" customFormat="false" ht="15" hidden="false" customHeight="false" outlineLevel="0" collapsed="false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  <c r="AV2661" s="7" t="str">
        <f aca="false">IF(B2661="","",IF(COUNTIF($B$2:B2661,B2661)=1,MAX($AV$1:AV2660)+1,""))</f>
        <v/>
      </c>
    </row>
    <row r="2662" customFormat="false" ht="15" hidden="false" customHeight="false" outlineLevel="0" collapsed="false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7" t="str">
        <f aca="false">IF(B2662="","",IF(COUNTIF($B$2:B2662,B2662)=1,MAX($AV$1:AV2661)+1,""))</f>
        <v/>
      </c>
    </row>
    <row r="2663" customFormat="false" ht="15" hidden="false" customHeight="false" outlineLevel="0" collapsed="false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7" t="str">
        <f aca="false">IF(B2663="","",IF(COUNTIF($B$2:B2663,B2663)=1,MAX($AV$1:AV2662)+1,""))</f>
        <v/>
      </c>
    </row>
    <row r="2664" customFormat="false" ht="15" hidden="false" customHeight="false" outlineLevel="0" collapsed="false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  <c r="AV2664" s="7" t="str">
        <f aca="false">IF(B2664="","",IF(COUNTIF($B$2:B2664,B2664)=1,MAX($AV$1:AV2663)+1,""))</f>
        <v/>
      </c>
    </row>
    <row r="2665" customFormat="false" ht="15" hidden="false" customHeight="false" outlineLevel="0" collapsed="false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  <c r="AV2665" s="7" t="str">
        <f aca="false">IF(B2665="","",IF(COUNTIF($B$2:B2665,B2665)=1,MAX($AV$1:AV2664)+1,""))</f>
        <v/>
      </c>
    </row>
    <row r="2666" customFormat="false" ht="15" hidden="false" customHeight="false" outlineLevel="0" collapsed="false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7" t="str">
        <f aca="false">IF(B2666="","",IF(COUNTIF($B$2:B2666,B2666)=1,MAX($AV$1:AV2665)+1,""))</f>
        <v/>
      </c>
    </row>
    <row r="2667" customFormat="false" ht="15" hidden="false" customHeight="false" outlineLevel="0" collapsed="false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7" t="str">
        <f aca="false">IF(B2667="","",IF(COUNTIF($B$2:B2667,B2667)=1,MAX($AV$1:AV2666)+1,""))</f>
        <v/>
      </c>
    </row>
    <row r="2668" customFormat="false" ht="15" hidden="false" customHeight="false" outlineLevel="0" collapsed="false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7" t="str">
        <f aca="false">IF(B2668="","",IF(COUNTIF($B$2:B2668,B2668)=1,MAX($AV$1:AV2667)+1,""))</f>
        <v/>
      </c>
    </row>
    <row r="2669" customFormat="false" ht="15" hidden="false" customHeight="false" outlineLevel="0" collapsed="false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7" t="str">
        <f aca="false">IF(B2669="","",IF(COUNTIF($B$2:B2669,B2669)=1,MAX($AV$1:AV2668)+1,""))</f>
        <v/>
      </c>
    </row>
    <row r="2670" customFormat="false" ht="15" hidden="false" customHeight="false" outlineLevel="0" collapsed="false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7" t="str">
        <f aca="false">IF(B2670="","",IF(COUNTIF($B$2:B2670,B2670)=1,MAX($AV$1:AV2669)+1,""))</f>
        <v/>
      </c>
    </row>
    <row r="2671" customFormat="false" ht="15" hidden="false" customHeight="false" outlineLevel="0" collapsed="false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2"/>
      <c r="AT2671" s="2"/>
      <c r="AU2671" s="2"/>
      <c r="AV2671" s="7" t="str">
        <f aca="false">IF(B2671="","",IF(COUNTIF($B$2:B2671,B2671)=1,MAX($AV$1:AV2670)+1,""))</f>
        <v/>
      </c>
    </row>
    <row r="2672" customFormat="false" ht="15" hidden="false" customHeight="false" outlineLevel="0" collapsed="false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  <c r="AU2672" s="2"/>
      <c r="AV2672" s="7" t="str">
        <f aca="false">IF(B2672="","",IF(COUNTIF($B$2:B2672,B2672)=1,MAX($AV$1:AV2671)+1,""))</f>
        <v/>
      </c>
    </row>
    <row r="2673" customFormat="false" ht="15" hidden="false" customHeight="false" outlineLevel="0" collapsed="false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7" t="str">
        <f aca="false">IF(B2673="","",IF(COUNTIF($B$2:B2673,B2673)=1,MAX($AV$1:AV2672)+1,""))</f>
        <v/>
      </c>
    </row>
    <row r="2674" customFormat="false" ht="15" hidden="false" customHeight="false" outlineLevel="0" collapsed="false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7" t="str">
        <f aca="false">IF(B2674="","",IF(COUNTIF($B$2:B2674,B2674)=1,MAX($AV$1:AV2673)+1,""))</f>
        <v/>
      </c>
    </row>
    <row r="2675" customFormat="false" ht="15" hidden="false" customHeight="false" outlineLevel="0" collapsed="false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7" t="str">
        <f aca="false">IF(B2675="","",IF(COUNTIF($B$2:B2675,B2675)=1,MAX($AV$1:AV2674)+1,""))</f>
        <v/>
      </c>
    </row>
    <row r="2676" customFormat="false" ht="15" hidden="false" customHeight="false" outlineLevel="0" collapsed="false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7" t="str">
        <f aca="false">IF(B2676="","",IF(COUNTIF($B$2:B2676,B2676)=1,MAX($AV$1:AV2675)+1,""))</f>
        <v/>
      </c>
    </row>
    <row r="2677" customFormat="false" ht="15" hidden="false" customHeight="false" outlineLevel="0" collapsed="false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7" t="str">
        <f aca="false">IF(B2677="","",IF(COUNTIF($B$2:B2677,B2677)=1,MAX($AV$1:AV2676)+1,""))</f>
        <v/>
      </c>
    </row>
    <row r="2678" customFormat="false" ht="15" hidden="false" customHeight="false" outlineLevel="0" collapsed="false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7" t="str">
        <f aca="false">IF(B2678="","",IF(COUNTIF($B$2:B2678,B2678)=1,MAX($AV$1:AV2677)+1,""))</f>
        <v/>
      </c>
    </row>
    <row r="2679" customFormat="false" ht="15" hidden="false" customHeight="false" outlineLevel="0" collapsed="false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7" t="str">
        <f aca="false">IF(B2679="","",IF(COUNTIF($B$2:B2679,B2679)=1,MAX($AV$1:AV2678)+1,""))</f>
        <v/>
      </c>
    </row>
    <row r="2680" customFormat="false" ht="15" hidden="false" customHeight="false" outlineLevel="0" collapsed="false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7" t="str">
        <f aca="false">IF(B2680="","",IF(COUNTIF($B$2:B2680,B2680)=1,MAX($AV$1:AV2679)+1,""))</f>
        <v/>
      </c>
    </row>
    <row r="2681" customFormat="false" ht="15" hidden="false" customHeight="false" outlineLevel="0" collapsed="false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  <c r="AV2681" s="7" t="str">
        <f aca="false">IF(B2681="","",IF(COUNTIF($B$2:B2681,B2681)=1,MAX($AV$1:AV2680)+1,""))</f>
        <v/>
      </c>
    </row>
    <row r="2682" customFormat="false" ht="15" hidden="false" customHeight="false" outlineLevel="0" collapsed="false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  <c r="AM2682" s="2"/>
      <c r="AN2682" s="2"/>
      <c r="AO2682" s="2"/>
      <c r="AP2682" s="2"/>
      <c r="AQ2682" s="2"/>
      <c r="AR2682" s="2"/>
      <c r="AS2682" s="2"/>
      <c r="AT2682" s="2"/>
      <c r="AU2682" s="2"/>
      <c r="AV2682" s="7" t="str">
        <f aca="false">IF(B2682="","",IF(COUNTIF($B$2:B2682,B2682)=1,MAX($AV$1:AV2681)+1,""))</f>
        <v/>
      </c>
    </row>
    <row r="2683" customFormat="false" ht="15" hidden="false" customHeight="false" outlineLevel="0" collapsed="false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7" t="str">
        <f aca="false">IF(B2683="","",IF(COUNTIF($B$2:B2683,B2683)=1,MAX($AV$1:AV2682)+1,""))</f>
        <v/>
      </c>
    </row>
    <row r="2684" customFormat="false" ht="15" hidden="false" customHeight="false" outlineLevel="0" collapsed="false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7" t="str">
        <f aca="false">IF(B2684="","",IF(COUNTIF($B$2:B2684,B2684)=1,MAX($AV$1:AV2683)+1,""))</f>
        <v/>
      </c>
    </row>
    <row r="2685" customFormat="false" ht="15" hidden="false" customHeight="false" outlineLevel="0" collapsed="false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  <c r="AP2685" s="2"/>
      <c r="AQ2685" s="2"/>
      <c r="AR2685" s="2"/>
      <c r="AS2685" s="2"/>
      <c r="AT2685" s="2"/>
      <c r="AU2685" s="2"/>
      <c r="AV2685" s="7" t="str">
        <f aca="false">IF(B2685="","",IF(COUNTIF($B$2:B2685,B2685)=1,MAX($AV$1:AV2684)+1,""))</f>
        <v/>
      </c>
    </row>
    <row r="2686" customFormat="false" ht="15" hidden="false" customHeight="false" outlineLevel="0" collapsed="false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  <c r="AV2686" s="7" t="str">
        <f aca="false">IF(B2686="","",IF(COUNTIF($B$2:B2686,B2686)=1,MAX($AV$1:AV2685)+1,""))</f>
        <v/>
      </c>
    </row>
    <row r="2687" customFormat="false" ht="15" hidden="false" customHeight="false" outlineLevel="0" collapsed="false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7" t="str">
        <f aca="false">IF(B2687="","",IF(COUNTIF($B$2:B2687,B2687)=1,MAX($AV$1:AV2686)+1,""))</f>
        <v/>
      </c>
    </row>
    <row r="2688" customFormat="false" ht="15" hidden="false" customHeight="false" outlineLevel="0" collapsed="false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7" t="str">
        <f aca="false">IF(B2688="","",IF(COUNTIF($B$2:B2688,B2688)=1,MAX($AV$1:AV2687)+1,""))</f>
        <v/>
      </c>
    </row>
    <row r="2689" customFormat="false" ht="15" hidden="false" customHeight="false" outlineLevel="0" collapsed="false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  <c r="AU2689" s="2"/>
      <c r="AV2689" s="7" t="str">
        <f aca="false">IF(B2689="","",IF(COUNTIF($B$2:B2689,B2689)=1,MAX($AV$1:AV2688)+1,""))</f>
        <v/>
      </c>
    </row>
    <row r="2690" customFormat="false" ht="15" hidden="false" customHeight="false" outlineLevel="0" collapsed="false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7" t="str">
        <f aca="false">IF(B2690="","",IF(COUNTIF($B$2:B2690,B2690)=1,MAX($AV$1:AV2689)+1,""))</f>
        <v/>
      </c>
    </row>
    <row r="2691" customFormat="false" ht="15" hidden="false" customHeight="false" outlineLevel="0" collapsed="false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  <c r="AP2691" s="2"/>
      <c r="AQ2691" s="2"/>
      <c r="AR2691" s="2"/>
      <c r="AS2691" s="2"/>
      <c r="AT2691" s="2"/>
      <c r="AU2691" s="2"/>
      <c r="AV2691" s="7" t="str">
        <f aca="false">IF(B2691="","",IF(COUNTIF($B$2:B2691,B2691)=1,MAX($AV$1:AV2690)+1,""))</f>
        <v/>
      </c>
    </row>
    <row r="2692" customFormat="false" ht="15" hidden="false" customHeight="false" outlineLevel="0" collapsed="false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  <c r="AP2692" s="2"/>
      <c r="AQ2692" s="2"/>
      <c r="AR2692" s="2"/>
      <c r="AS2692" s="2"/>
      <c r="AT2692" s="2"/>
      <c r="AU2692" s="2"/>
      <c r="AV2692" s="7" t="str">
        <f aca="false">IF(B2692="","",IF(COUNTIF($B$2:B2692,B2692)=1,MAX($AV$1:AV2691)+1,""))</f>
        <v/>
      </c>
    </row>
    <row r="2693" customFormat="false" ht="15" hidden="false" customHeight="false" outlineLevel="0" collapsed="false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  <c r="AP2693" s="2"/>
      <c r="AQ2693" s="2"/>
      <c r="AR2693" s="2"/>
      <c r="AS2693" s="2"/>
      <c r="AT2693" s="2"/>
      <c r="AU2693" s="2"/>
      <c r="AV2693" s="7" t="str">
        <f aca="false">IF(B2693="","",IF(COUNTIF($B$2:B2693,B2693)=1,MAX($AV$1:AV2692)+1,""))</f>
        <v/>
      </c>
    </row>
    <row r="2694" customFormat="false" ht="15" hidden="false" customHeight="false" outlineLevel="0" collapsed="false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  <c r="AP2694" s="2"/>
      <c r="AQ2694" s="2"/>
      <c r="AR2694" s="2"/>
      <c r="AS2694" s="2"/>
      <c r="AT2694" s="2"/>
      <c r="AU2694" s="2"/>
      <c r="AV2694" s="7" t="str">
        <f aca="false">IF(B2694="","",IF(COUNTIF($B$2:B2694,B2694)=1,MAX($AV$1:AV2693)+1,""))</f>
        <v/>
      </c>
    </row>
    <row r="2695" customFormat="false" ht="15" hidden="false" customHeight="false" outlineLevel="0" collapsed="false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  <c r="AP2695" s="2"/>
      <c r="AQ2695" s="2"/>
      <c r="AR2695" s="2"/>
      <c r="AS2695" s="2"/>
      <c r="AT2695" s="2"/>
      <c r="AU2695" s="2"/>
      <c r="AV2695" s="7" t="str">
        <f aca="false">IF(B2695="","",IF(COUNTIF($B$2:B2695,B2695)=1,MAX($AV$1:AV2694)+1,""))</f>
        <v/>
      </c>
    </row>
    <row r="2696" customFormat="false" ht="15" hidden="false" customHeight="false" outlineLevel="0" collapsed="false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  <c r="AP2696" s="2"/>
      <c r="AQ2696" s="2"/>
      <c r="AR2696" s="2"/>
      <c r="AS2696" s="2"/>
      <c r="AT2696" s="2"/>
      <c r="AU2696" s="2"/>
      <c r="AV2696" s="7" t="str">
        <f aca="false">IF(B2696="","",IF(COUNTIF($B$2:B2696,B2696)=1,MAX($AV$1:AV2695)+1,""))</f>
        <v/>
      </c>
    </row>
    <row r="2697" customFormat="false" ht="15" hidden="false" customHeight="false" outlineLevel="0" collapsed="false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  <c r="AP2697" s="2"/>
      <c r="AQ2697" s="2"/>
      <c r="AR2697" s="2"/>
      <c r="AS2697" s="2"/>
      <c r="AT2697" s="2"/>
      <c r="AU2697" s="2"/>
      <c r="AV2697" s="7" t="str">
        <f aca="false">IF(B2697="","",IF(COUNTIF($B$2:B2697,B2697)=1,MAX($AV$1:AV2696)+1,""))</f>
        <v/>
      </c>
    </row>
    <row r="2698" customFormat="false" ht="15" hidden="false" customHeight="false" outlineLevel="0" collapsed="false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  <c r="AP2698" s="2"/>
      <c r="AQ2698" s="2"/>
      <c r="AR2698" s="2"/>
      <c r="AS2698" s="2"/>
      <c r="AT2698" s="2"/>
      <c r="AU2698" s="2"/>
      <c r="AV2698" s="7" t="str">
        <f aca="false">IF(B2698="","",IF(COUNTIF($B$2:B2698,B2698)=1,MAX($AV$1:AV2697)+1,""))</f>
        <v/>
      </c>
    </row>
    <row r="2699" customFormat="false" ht="15" hidden="false" customHeight="false" outlineLevel="0" collapsed="false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  <c r="AP2699" s="2"/>
      <c r="AQ2699" s="2"/>
      <c r="AR2699" s="2"/>
      <c r="AS2699" s="2"/>
      <c r="AT2699" s="2"/>
      <c r="AU2699" s="2"/>
      <c r="AV2699" s="7" t="str">
        <f aca="false">IF(B2699="","",IF(COUNTIF($B$2:B2699,B2699)=1,MAX($AV$1:AV2698)+1,""))</f>
        <v/>
      </c>
    </row>
    <row r="2700" customFormat="false" ht="15" hidden="false" customHeight="false" outlineLevel="0" collapsed="false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  <c r="AP2700" s="2"/>
      <c r="AQ2700" s="2"/>
      <c r="AR2700" s="2"/>
      <c r="AS2700" s="2"/>
      <c r="AT2700" s="2"/>
      <c r="AU2700" s="2"/>
      <c r="AV2700" s="7" t="str">
        <f aca="false">IF(B2700="","",IF(COUNTIF($B$2:B2700,B2700)=1,MAX($AV$1:AV2699)+1,""))</f>
        <v/>
      </c>
    </row>
    <row r="2701" customFormat="false" ht="15" hidden="false" customHeight="false" outlineLevel="0" collapsed="false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  <c r="AP2701" s="2"/>
      <c r="AQ2701" s="2"/>
      <c r="AR2701" s="2"/>
      <c r="AS2701" s="2"/>
      <c r="AT2701" s="2"/>
      <c r="AU2701" s="2"/>
      <c r="AV2701" s="7" t="str">
        <f aca="false">IF(B2701="","",IF(COUNTIF($B$2:B2701,B2701)=1,MAX($AV$1:AV2700)+1,""))</f>
        <v/>
      </c>
    </row>
    <row r="2702" customFormat="false" ht="15" hidden="false" customHeight="false" outlineLevel="0" collapsed="false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  <c r="AP2702" s="2"/>
      <c r="AQ2702" s="2"/>
      <c r="AR2702" s="2"/>
      <c r="AS2702" s="2"/>
      <c r="AT2702" s="2"/>
      <c r="AU2702" s="2"/>
      <c r="AV2702" s="7" t="str">
        <f aca="false">IF(B2702="","",IF(COUNTIF($B$2:B2702,B2702)=1,MAX($AV$1:AV2701)+1,""))</f>
        <v/>
      </c>
    </row>
    <row r="2703" customFormat="false" ht="15" hidden="false" customHeight="false" outlineLevel="0" collapsed="false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  <c r="AP2703" s="2"/>
      <c r="AQ2703" s="2"/>
      <c r="AR2703" s="2"/>
      <c r="AS2703" s="2"/>
      <c r="AT2703" s="2"/>
      <c r="AU2703" s="2"/>
      <c r="AV2703" s="7" t="str">
        <f aca="false">IF(B2703="","",IF(COUNTIF($B$2:B2703,B2703)=1,MAX($AV$1:AV2702)+1,""))</f>
        <v/>
      </c>
    </row>
    <row r="2704" customFormat="false" ht="15" hidden="false" customHeight="false" outlineLevel="0" collapsed="false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  <c r="AP2704" s="2"/>
      <c r="AQ2704" s="2"/>
      <c r="AR2704" s="2"/>
      <c r="AS2704" s="2"/>
      <c r="AT2704" s="2"/>
      <c r="AU2704" s="2"/>
      <c r="AV2704" s="7" t="str">
        <f aca="false">IF(B2704="","",IF(COUNTIF($B$2:B2704,B2704)=1,MAX($AV$1:AV2703)+1,""))</f>
        <v/>
      </c>
    </row>
    <row r="2705" customFormat="false" ht="15" hidden="false" customHeight="false" outlineLevel="0" collapsed="false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  <c r="AM2705" s="2"/>
      <c r="AN2705" s="2"/>
      <c r="AO2705" s="2"/>
      <c r="AP2705" s="2"/>
      <c r="AQ2705" s="2"/>
      <c r="AR2705" s="2"/>
      <c r="AS2705" s="2"/>
      <c r="AT2705" s="2"/>
      <c r="AU2705" s="2"/>
      <c r="AV2705" s="7" t="str">
        <f aca="false">IF(B2705="","",IF(COUNTIF($B$2:B2705,B2705)=1,MAX($AV$1:AV2704)+1,""))</f>
        <v/>
      </c>
    </row>
    <row r="2706" customFormat="false" ht="15" hidden="false" customHeight="false" outlineLevel="0" collapsed="false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  <c r="AP2706" s="2"/>
      <c r="AQ2706" s="2"/>
      <c r="AR2706" s="2"/>
      <c r="AS2706" s="2"/>
      <c r="AT2706" s="2"/>
      <c r="AU2706" s="2"/>
      <c r="AV2706" s="7" t="str">
        <f aca="false">IF(B2706="","",IF(COUNTIF($B$2:B2706,B2706)=1,MAX($AV$1:AV2705)+1,""))</f>
        <v/>
      </c>
    </row>
    <row r="2707" customFormat="false" ht="15" hidden="false" customHeight="false" outlineLevel="0" collapsed="false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  <c r="AP2707" s="2"/>
      <c r="AQ2707" s="2"/>
      <c r="AR2707" s="2"/>
      <c r="AS2707" s="2"/>
      <c r="AT2707" s="2"/>
      <c r="AU2707" s="2"/>
      <c r="AV2707" s="7" t="str">
        <f aca="false">IF(B2707="","",IF(COUNTIF($B$2:B2707,B2707)=1,MAX($AV$1:AV2706)+1,""))</f>
        <v/>
      </c>
    </row>
    <row r="2708" customFormat="false" ht="15" hidden="false" customHeight="false" outlineLevel="0" collapsed="false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  <c r="AP2708" s="2"/>
      <c r="AQ2708" s="2"/>
      <c r="AR2708" s="2"/>
      <c r="AS2708" s="2"/>
      <c r="AT2708" s="2"/>
      <c r="AU2708" s="2"/>
      <c r="AV2708" s="7" t="str">
        <f aca="false">IF(B2708="","",IF(COUNTIF($B$2:B2708,B2708)=1,MAX($AV$1:AV2707)+1,""))</f>
        <v/>
      </c>
    </row>
    <row r="2709" customFormat="false" ht="15" hidden="false" customHeight="false" outlineLevel="0" collapsed="false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  <c r="AP2709" s="2"/>
      <c r="AQ2709" s="2"/>
      <c r="AR2709" s="2"/>
      <c r="AS2709" s="2"/>
      <c r="AT2709" s="2"/>
      <c r="AU2709" s="2"/>
      <c r="AV2709" s="7" t="str">
        <f aca="false">IF(B2709="","",IF(COUNTIF($B$2:B2709,B2709)=1,MAX($AV$1:AV2708)+1,""))</f>
        <v/>
      </c>
    </row>
    <row r="2710" customFormat="false" ht="15" hidden="false" customHeight="false" outlineLevel="0" collapsed="false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  <c r="AP2710" s="2"/>
      <c r="AQ2710" s="2"/>
      <c r="AR2710" s="2"/>
      <c r="AS2710" s="2"/>
      <c r="AT2710" s="2"/>
      <c r="AU2710" s="2"/>
      <c r="AV2710" s="7" t="str">
        <f aca="false">IF(B2710="","",IF(COUNTIF($B$2:B2710,B2710)=1,MAX($AV$1:AV2709)+1,""))</f>
        <v/>
      </c>
    </row>
    <row r="2711" customFormat="false" ht="15" hidden="false" customHeight="false" outlineLevel="0" collapsed="false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  <c r="AV2711" s="7" t="str">
        <f aca="false">IF(B2711="","",IF(COUNTIF($B$2:B2711,B2711)=1,MAX($AV$1:AV2710)+1,""))</f>
        <v/>
      </c>
    </row>
    <row r="2712" customFormat="false" ht="15" hidden="false" customHeight="false" outlineLevel="0" collapsed="false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  <c r="AP2712" s="2"/>
      <c r="AQ2712" s="2"/>
      <c r="AR2712" s="2"/>
      <c r="AS2712" s="2"/>
      <c r="AT2712" s="2"/>
      <c r="AU2712" s="2"/>
      <c r="AV2712" s="7" t="str">
        <f aca="false">IF(B2712="","",IF(COUNTIF($B$2:B2712,B2712)=1,MAX($AV$1:AV2711)+1,""))</f>
        <v/>
      </c>
    </row>
    <row r="2713" customFormat="false" ht="15" hidden="false" customHeight="false" outlineLevel="0" collapsed="false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  <c r="AP2713" s="2"/>
      <c r="AQ2713" s="2"/>
      <c r="AR2713" s="2"/>
      <c r="AS2713" s="2"/>
      <c r="AT2713" s="2"/>
      <c r="AU2713" s="2"/>
      <c r="AV2713" s="7" t="str">
        <f aca="false">IF(B2713="","",IF(COUNTIF($B$2:B2713,B2713)=1,MAX($AV$1:AV2712)+1,""))</f>
        <v/>
      </c>
    </row>
    <row r="2714" customFormat="false" ht="15" hidden="false" customHeight="false" outlineLevel="0" collapsed="false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  <c r="AP2714" s="2"/>
      <c r="AQ2714" s="2"/>
      <c r="AR2714" s="2"/>
      <c r="AS2714" s="2"/>
      <c r="AT2714" s="2"/>
      <c r="AU2714" s="2"/>
      <c r="AV2714" s="7" t="str">
        <f aca="false">IF(B2714="","",IF(COUNTIF($B$2:B2714,B2714)=1,MAX($AV$1:AV2713)+1,""))</f>
        <v/>
      </c>
    </row>
    <row r="2715" customFormat="false" ht="15" hidden="false" customHeight="false" outlineLevel="0" collapsed="false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  <c r="AP2715" s="2"/>
      <c r="AQ2715" s="2"/>
      <c r="AR2715" s="2"/>
      <c r="AS2715" s="2"/>
      <c r="AT2715" s="2"/>
      <c r="AU2715" s="2"/>
      <c r="AV2715" s="7" t="str">
        <f aca="false">IF(B2715="","",IF(COUNTIF($B$2:B2715,B2715)=1,MAX($AV$1:AV2714)+1,""))</f>
        <v/>
      </c>
    </row>
    <row r="2716" customFormat="false" ht="15" hidden="false" customHeight="false" outlineLevel="0" collapsed="false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  <c r="AM2716" s="2"/>
      <c r="AN2716" s="2"/>
      <c r="AO2716" s="2"/>
      <c r="AP2716" s="2"/>
      <c r="AQ2716" s="2"/>
      <c r="AR2716" s="2"/>
      <c r="AS2716" s="2"/>
      <c r="AT2716" s="2"/>
      <c r="AU2716" s="2"/>
      <c r="AV2716" s="7" t="str">
        <f aca="false">IF(B2716="","",IF(COUNTIF($B$2:B2716,B2716)=1,MAX($AV$1:AV2715)+1,""))</f>
        <v/>
      </c>
    </row>
    <row r="2717" customFormat="false" ht="15" hidden="false" customHeight="false" outlineLevel="0" collapsed="false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  <c r="AP2717" s="2"/>
      <c r="AQ2717" s="2"/>
      <c r="AR2717" s="2"/>
      <c r="AS2717" s="2"/>
      <c r="AT2717" s="2"/>
      <c r="AU2717" s="2"/>
      <c r="AV2717" s="7" t="str">
        <f aca="false">IF(B2717="","",IF(COUNTIF($B$2:B2717,B2717)=1,MAX($AV$1:AV2716)+1,""))</f>
        <v/>
      </c>
    </row>
    <row r="2718" customFormat="false" ht="15" hidden="false" customHeight="false" outlineLevel="0" collapsed="false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/>
      <c r="AL2718" s="2"/>
      <c r="AM2718" s="2"/>
      <c r="AN2718" s="2"/>
      <c r="AO2718" s="2"/>
      <c r="AP2718" s="2"/>
      <c r="AQ2718" s="2"/>
      <c r="AR2718" s="2"/>
      <c r="AS2718" s="2"/>
      <c r="AT2718" s="2"/>
      <c r="AU2718" s="2"/>
      <c r="AV2718" s="7" t="str">
        <f aca="false">IF(B2718="","",IF(COUNTIF($B$2:B2718,B2718)=1,MAX($AV$1:AV2717)+1,""))</f>
        <v/>
      </c>
    </row>
    <row r="2719" customFormat="false" ht="15" hidden="false" customHeight="false" outlineLevel="0" collapsed="false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  <c r="AJ2719" s="2"/>
      <c r="AK2719" s="2"/>
      <c r="AL2719" s="2"/>
      <c r="AM2719" s="2"/>
      <c r="AN2719" s="2"/>
      <c r="AO2719" s="2"/>
      <c r="AP2719" s="2"/>
      <c r="AQ2719" s="2"/>
      <c r="AR2719" s="2"/>
      <c r="AS2719" s="2"/>
      <c r="AT2719" s="2"/>
      <c r="AU2719" s="2"/>
      <c r="AV2719" s="7" t="str">
        <f aca="false">IF(B2719="","",IF(COUNTIF($B$2:B2719,B2719)=1,MAX($AV$1:AV2718)+1,""))</f>
        <v/>
      </c>
    </row>
    <row r="2720" customFormat="false" ht="15" hidden="false" customHeight="false" outlineLevel="0" collapsed="false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  <c r="AP2720" s="2"/>
      <c r="AQ2720" s="2"/>
      <c r="AR2720" s="2"/>
      <c r="AS2720" s="2"/>
      <c r="AT2720" s="2"/>
      <c r="AU2720" s="2"/>
      <c r="AV2720" s="7" t="str">
        <f aca="false">IF(B2720="","",IF(COUNTIF($B$2:B2720,B2720)=1,MAX($AV$1:AV2719)+1,""))</f>
        <v/>
      </c>
    </row>
    <row r="2721" customFormat="false" ht="15" hidden="false" customHeight="false" outlineLevel="0" collapsed="false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  <c r="AP2721" s="2"/>
      <c r="AQ2721" s="2"/>
      <c r="AR2721" s="2"/>
      <c r="AS2721" s="2"/>
      <c r="AT2721" s="2"/>
      <c r="AU2721" s="2"/>
      <c r="AV2721" s="7" t="str">
        <f aca="false">IF(B2721="","",IF(COUNTIF($B$2:B2721,B2721)=1,MAX($AV$1:AV2720)+1,""))</f>
        <v/>
      </c>
    </row>
    <row r="2722" customFormat="false" ht="15" hidden="false" customHeight="false" outlineLevel="0" collapsed="false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  <c r="AP2722" s="2"/>
      <c r="AQ2722" s="2"/>
      <c r="AR2722" s="2"/>
      <c r="AS2722" s="2"/>
      <c r="AT2722" s="2"/>
      <c r="AU2722" s="2"/>
      <c r="AV2722" s="7" t="str">
        <f aca="false">IF(B2722="","",IF(COUNTIF($B$2:B2722,B2722)=1,MAX($AV$1:AV2721)+1,""))</f>
        <v/>
      </c>
    </row>
    <row r="2723" customFormat="false" ht="15" hidden="false" customHeight="false" outlineLevel="0" collapsed="false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  <c r="AP2723" s="2"/>
      <c r="AQ2723" s="2"/>
      <c r="AR2723" s="2"/>
      <c r="AS2723" s="2"/>
      <c r="AT2723" s="2"/>
      <c r="AU2723" s="2"/>
      <c r="AV2723" s="7" t="str">
        <f aca="false">IF(B2723="","",IF(COUNTIF($B$2:B2723,B2723)=1,MAX($AV$1:AV2722)+1,""))</f>
        <v/>
      </c>
    </row>
    <row r="2724" customFormat="false" ht="15" hidden="false" customHeight="false" outlineLevel="0" collapsed="false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  <c r="AP2724" s="2"/>
      <c r="AQ2724" s="2"/>
      <c r="AR2724" s="2"/>
      <c r="AS2724" s="2"/>
      <c r="AT2724" s="2"/>
      <c r="AU2724" s="2"/>
      <c r="AV2724" s="7" t="str">
        <f aca="false">IF(B2724="","",IF(COUNTIF($B$2:B2724,B2724)=1,MAX($AV$1:AV2723)+1,""))</f>
        <v/>
      </c>
    </row>
    <row r="2725" customFormat="false" ht="15" hidden="false" customHeight="false" outlineLevel="0" collapsed="false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  <c r="AP2725" s="2"/>
      <c r="AQ2725" s="2"/>
      <c r="AR2725" s="2"/>
      <c r="AS2725" s="2"/>
      <c r="AT2725" s="2"/>
      <c r="AU2725" s="2"/>
      <c r="AV2725" s="7" t="str">
        <f aca="false">IF(B2725="","",IF(COUNTIF($B$2:B2725,B2725)=1,MAX($AV$1:AV2724)+1,""))</f>
        <v/>
      </c>
    </row>
    <row r="2726" customFormat="false" ht="15" hidden="false" customHeight="false" outlineLevel="0" collapsed="false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  <c r="AP2726" s="2"/>
      <c r="AQ2726" s="2"/>
      <c r="AR2726" s="2"/>
      <c r="AS2726" s="2"/>
      <c r="AT2726" s="2"/>
      <c r="AU2726" s="2"/>
      <c r="AV2726" s="7" t="str">
        <f aca="false">IF(B2726="","",IF(COUNTIF($B$2:B2726,B2726)=1,MAX($AV$1:AV2725)+1,""))</f>
        <v/>
      </c>
    </row>
    <row r="2727" customFormat="false" ht="15" hidden="false" customHeight="false" outlineLevel="0" collapsed="false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  <c r="AP2727" s="2"/>
      <c r="AQ2727" s="2"/>
      <c r="AR2727" s="2"/>
      <c r="AS2727" s="2"/>
      <c r="AT2727" s="2"/>
      <c r="AU2727" s="2"/>
      <c r="AV2727" s="7" t="str">
        <f aca="false">IF(B2727="","",IF(COUNTIF($B$2:B2727,B2727)=1,MAX($AV$1:AV2726)+1,""))</f>
        <v/>
      </c>
    </row>
    <row r="2728" customFormat="false" ht="15" hidden="false" customHeight="false" outlineLevel="0" collapsed="false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  <c r="AP2728" s="2"/>
      <c r="AQ2728" s="2"/>
      <c r="AR2728" s="2"/>
      <c r="AS2728" s="2"/>
      <c r="AT2728" s="2"/>
      <c r="AU2728" s="2"/>
      <c r="AV2728" s="7" t="str">
        <f aca="false">IF(B2728="","",IF(COUNTIF($B$2:B2728,B2728)=1,MAX($AV$1:AV2727)+1,""))</f>
        <v/>
      </c>
    </row>
    <row r="2729" customFormat="false" ht="15" hidden="false" customHeight="false" outlineLevel="0" collapsed="false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  <c r="AP2729" s="2"/>
      <c r="AQ2729" s="2"/>
      <c r="AR2729" s="2"/>
      <c r="AS2729" s="2"/>
      <c r="AT2729" s="2"/>
      <c r="AU2729" s="2"/>
      <c r="AV2729" s="7" t="str">
        <f aca="false">IF(B2729="","",IF(COUNTIF($B$2:B2729,B2729)=1,MAX($AV$1:AV2728)+1,""))</f>
        <v/>
      </c>
    </row>
    <row r="2730" customFormat="false" ht="15" hidden="false" customHeight="false" outlineLevel="0" collapsed="false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  <c r="AP2730" s="2"/>
      <c r="AQ2730" s="2"/>
      <c r="AR2730" s="2"/>
      <c r="AS2730" s="2"/>
      <c r="AT2730" s="2"/>
      <c r="AU2730" s="2"/>
      <c r="AV2730" s="7" t="str">
        <f aca="false">IF(B2730="","",IF(COUNTIF($B$2:B2730,B2730)=1,MAX($AV$1:AV2729)+1,""))</f>
        <v/>
      </c>
    </row>
    <row r="2731" customFormat="false" ht="15" hidden="false" customHeight="false" outlineLevel="0" collapsed="false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  <c r="AP2731" s="2"/>
      <c r="AQ2731" s="2"/>
      <c r="AR2731" s="2"/>
      <c r="AS2731" s="2"/>
      <c r="AT2731" s="2"/>
      <c r="AU2731" s="2"/>
      <c r="AV2731" s="7" t="str">
        <f aca="false">IF(B2731="","",IF(COUNTIF($B$2:B2731,B2731)=1,MAX($AV$1:AV2730)+1,""))</f>
        <v/>
      </c>
    </row>
    <row r="2732" customFormat="false" ht="15" hidden="false" customHeight="false" outlineLevel="0" collapsed="false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  <c r="AP2732" s="2"/>
      <c r="AQ2732" s="2"/>
      <c r="AR2732" s="2"/>
      <c r="AS2732" s="2"/>
      <c r="AT2732" s="2"/>
      <c r="AU2732" s="2"/>
      <c r="AV2732" s="7" t="str">
        <f aca="false">IF(B2732="","",IF(COUNTIF($B$2:B2732,B2732)=1,MAX($AV$1:AV2731)+1,""))</f>
        <v/>
      </c>
    </row>
    <row r="2733" customFormat="false" ht="15" hidden="false" customHeight="false" outlineLevel="0" collapsed="false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  <c r="AP2733" s="2"/>
      <c r="AQ2733" s="2"/>
      <c r="AR2733" s="2"/>
      <c r="AS2733" s="2"/>
      <c r="AT2733" s="2"/>
      <c r="AU2733" s="2"/>
      <c r="AV2733" s="7" t="str">
        <f aca="false">IF(B2733="","",IF(COUNTIF($B$2:B2733,B2733)=1,MAX($AV$1:AV2732)+1,""))</f>
        <v/>
      </c>
    </row>
    <row r="2734" customFormat="false" ht="15" hidden="false" customHeight="false" outlineLevel="0" collapsed="false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  <c r="AP2734" s="2"/>
      <c r="AQ2734" s="2"/>
      <c r="AR2734" s="2"/>
      <c r="AS2734" s="2"/>
      <c r="AT2734" s="2"/>
      <c r="AU2734" s="2"/>
      <c r="AV2734" s="7" t="str">
        <f aca="false">IF(B2734="","",IF(COUNTIF($B$2:B2734,B2734)=1,MAX($AV$1:AV2733)+1,""))</f>
        <v/>
      </c>
    </row>
    <row r="2735" customFormat="false" ht="15" hidden="false" customHeight="false" outlineLevel="0" collapsed="false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  <c r="AP2735" s="2"/>
      <c r="AQ2735" s="2"/>
      <c r="AR2735" s="2"/>
      <c r="AS2735" s="2"/>
      <c r="AT2735" s="2"/>
      <c r="AU2735" s="2"/>
      <c r="AV2735" s="7" t="str">
        <f aca="false">IF(B2735="","",IF(COUNTIF($B$2:B2735,B2735)=1,MAX($AV$1:AV2734)+1,""))</f>
        <v/>
      </c>
    </row>
    <row r="2736" customFormat="false" ht="15" hidden="false" customHeight="false" outlineLevel="0" collapsed="false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  <c r="AP2736" s="2"/>
      <c r="AQ2736" s="2"/>
      <c r="AR2736" s="2"/>
      <c r="AS2736" s="2"/>
      <c r="AT2736" s="2"/>
      <c r="AU2736" s="2"/>
      <c r="AV2736" s="7" t="str">
        <f aca="false">IF(B2736="","",IF(COUNTIF($B$2:B2736,B2736)=1,MAX($AV$1:AV2735)+1,""))</f>
        <v/>
      </c>
    </row>
    <row r="2737" customFormat="false" ht="15" hidden="false" customHeight="false" outlineLevel="0" collapsed="false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/>
      <c r="AL2737" s="2"/>
      <c r="AM2737" s="2"/>
      <c r="AN2737" s="2"/>
      <c r="AO2737" s="2"/>
      <c r="AP2737" s="2"/>
      <c r="AQ2737" s="2"/>
      <c r="AR2737" s="2"/>
      <c r="AS2737" s="2"/>
      <c r="AT2737" s="2"/>
      <c r="AU2737" s="2"/>
      <c r="AV2737" s="7" t="str">
        <f aca="false">IF(B2737="","",IF(COUNTIF($B$2:B2737,B2737)=1,MAX($AV$1:AV2736)+1,""))</f>
        <v/>
      </c>
    </row>
    <row r="2738" customFormat="false" ht="15" hidden="false" customHeight="false" outlineLevel="0" collapsed="false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  <c r="AP2738" s="2"/>
      <c r="AQ2738" s="2"/>
      <c r="AR2738" s="2"/>
      <c r="AS2738" s="2"/>
      <c r="AT2738" s="2"/>
      <c r="AU2738" s="2"/>
      <c r="AV2738" s="7" t="str">
        <f aca="false">IF(B2738="","",IF(COUNTIF($B$2:B2738,B2738)=1,MAX($AV$1:AV2737)+1,""))</f>
        <v/>
      </c>
    </row>
    <row r="2739" customFormat="false" ht="15" hidden="false" customHeight="false" outlineLevel="0" collapsed="false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  <c r="AP2739" s="2"/>
      <c r="AQ2739" s="2"/>
      <c r="AR2739" s="2"/>
      <c r="AS2739" s="2"/>
      <c r="AT2739" s="2"/>
      <c r="AU2739" s="2"/>
      <c r="AV2739" s="7" t="str">
        <f aca="false">IF(B2739="","",IF(COUNTIF($B$2:B2739,B2739)=1,MAX($AV$1:AV2738)+1,""))</f>
        <v/>
      </c>
    </row>
    <row r="2740" customFormat="false" ht="15" hidden="false" customHeight="false" outlineLevel="0" collapsed="false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  <c r="AP2740" s="2"/>
      <c r="AQ2740" s="2"/>
      <c r="AR2740" s="2"/>
      <c r="AS2740" s="2"/>
      <c r="AT2740" s="2"/>
      <c r="AU2740" s="2"/>
      <c r="AV2740" s="7" t="str">
        <f aca="false">IF(B2740="","",IF(COUNTIF($B$2:B2740,B2740)=1,MAX($AV$1:AV2739)+1,""))</f>
        <v/>
      </c>
    </row>
    <row r="2741" customFormat="false" ht="15" hidden="false" customHeight="false" outlineLevel="0" collapsed="false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  <c r="AP2741" s="2"/>
      <c r="AQ2741" s="2"/>
      <c r="AR2741" s="2"/>
      <c r="AS2741" s="2"/>
      <c r="AT2741" s="2"/>
      <c r="AU2741" s="2"/>
      <c r="AV2741" s="7" t="str">
        <f aca="false">IF(B2741="","",IF(COUNTIF($B$2:B2741,B2741)=1,MAX($AV$1:AV2740)+1,""))</f>
        <v/>
      </c>
    </row>
    <row r="2742" customFormat="false" ht="15" hidden="false" customHeight="false" outlineLevel="0" collapsed="false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  <c r="AL2742" s="2"/>
      <c r="AM2742" s="2"/>
      <c r="AN2742" s="2"/>
      <c r="AO2742" s="2"/>
      <c r="AP2742" s="2"/>
      <c r="AQ2742" s="2"/>
      <c r="AR2742" s="2"/>
      <c r="AS2742" s="2"/>
      <c r="AT2742" s="2"/>
      <c r="AU2742" s="2"/>
      <c r="AV2742" s="7" t="str">
        <f aca="false">IF(B2742="","",IF(COUNTIF($B$2:B2742,B2742)=1,MAX($AV$1:AV2741)+1,""))</f>
        <v/>
      </c>
    </row>
    <row r="2743" customFormat="false" ht="15" hidden="false" customHeight="false" outlineLevel="0" collapsed="false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  <c r="AP2743" s="2"/>
      <c r="AQ2743" s="2"/>
      <c r="AR2743" s="2"/>
      <c r="AS2743" s="2"/>
      <c r="AT2743" s="2"/>
      <c r="AU2743" s="2"/>
      <c r="AV2743" s="7" t="str">
        <f aca="false">IF(B2743="","",IF(COUNTIF($B$2:B2743,B2743)=1,MAX($AV$1:AV2742)+1,""))</f>
        <v/>
      </c>
    </row>
    <row r="2744" customFormat="false" ht="15" hidden="false" customHeight="false" outlineLevel="0" collapsed="false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  <c r="AP2744" s="2"/>
      <c r="AQ2744" s="2"/>
      <c r="AR2744" s="2"/>
      <c r="AS2744" s="2"/>
      <c r="AT2744" s="2"/>
      <c r="AU2744" s="2"/>
      <c r="AV2744" s="7" t="str">
        <f aca="false">IF(B2744="","",IF(COUNTIF($B$2:B2744,B2744)=1,MAX($AV$1:AV2743)+1,""))</f>
        <v/>
      </c>
    </row>
    <row r="2745" customFormat="false" ht="15" hidden="false" customHeight="false" outlineLevel="0" collapsed="false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  <c r="AP2745" s="2"/>
      <c r="AQ2745" s="2"/>
      <c r="AR2745" s="2"/>
      <c r="AS2745" s="2"/>
      <c r="AT2745" s="2"/>
      <c r="AU2745" s="2"/>
      <c r="AV2745" s="7" t="str">
        <f aca="false">IF(B2745="","",IF(COUNTIF($B$2:B2745,B2745)=1,MAX($AV$1:AV2744)+1,""))</f>
        <v/>
      </c>
    </row>
    <row r="2746" customFormat="false" ht="15" hidden="false" customHeight="false" outlineLevel="0" collapsed="false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  <c r="AP2746" s="2"/>
      <c r="AQ2746" s="2"/>
      <c r="AR2746" s="2"/>
      <c r="AS2746" s="2"/>
      <c r="AT2746" s="2"/>
      <c r="AU2746" s="2"/>
      <c r="AV2746" s="7" t="str">
        <f aca="false">IF(B2746="","",IF(COUNTIF($B$2:B2746,B2746)=1,MAX($AV$1:AV2745)+1,""))</f>
        <v/>
      </c>
    </row>
    <row r="2747" customFormat="false" ht="15" hidden="false" customHeight="false" outlineLevel="0" collapsed="false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  <c r="AP2747" s="2"/>
      <c r="AQ2747" s="2"/>
      <c r="AR2747" s="2"/>
      <c r="AS2747" s="2"/>
      <c r="AT2747" s="2"/>
      <c r="AU2747" s="2"/>
      <c r="AV2747" s="7" t="str">
        <f aca="false">IF(B2747="","",IF(COUNTIF($B$2:B2747,B2747)=1,MAX($AV$1:AV2746)+1,""))</f>
        <v/>
      </c>
    </row>
    <row r="2748" customFormat="false" ht="15" hidden="false" customHeight="false" outlineLevel="0" collapsed="false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  <c r="AP2748" s="2"/>
      <c r="AQ2748" s="2"/>
      <c r="AR2748" s="2"/>
      <c r="AS2748" s="2"/>
      <c r="AT2748" s="2"/>
      <c r="AU2748" s="2"/>
      <c r="AV2748" s="7" t="str">
        <f aca="false">IF(B2748="","",IF(COUNTIF($B$2:B2748,B2748)=1,MAX($AV$1:AV2747)+1,""))</f>
        <v/>
      </c>
    </row>
    <row r="2749" customFormat="false" ht="15" hidden="false" customHeight="false" outlineLevel="0" collapsed="false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  <c r="AP2749" s="2"/>
      <c r="AQ2749" s="2"/>
      <c r="AR2749" s="2"/>
      <c r="AS2749" s="2"/>
      <c r="AT2749" s="2"/>
      <c r="AU2749" s="2"/>
      <c r="AV2749" s="7" t="str">
        <f aca="false">IF(B2749="","",IF(COUNTIF($B$2:B2749,B2749)=1,MAX($AV$1:AV2748)+1,""))</f>
        <v/>
      </c>
    </row>
    <row r="2750" customFormat="false" ht="15" hidden="false" customHeight="false" outlineLevel="0" collapsed="false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  <c r="AP2750" s="2"/>
      <c r="AQ2750" s="2"/>
      <c r="AR2750" s="2"/>
      <c r="AS2750" s="2"/>
      <c r="AT2750" s="2"/>
      <c r="AU2750" s="2"/>
      <c r="AV2750" s="7" t="str">
        <f aca="false">IF(B2750="","",IF(COUNTIF($B$2:B2750,B2750)=1,MAX($AV$1:AV2749)+1,""))</f>
        <v/>
      </c>
    </row>
    <row r="2751" customFormat="false" ht="15" hidden="false" customHeight="false" outlineLevel="0" collapsed="false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  <c r="AP2751" s="2"/>
      <c r="AQ2751" s="2"/>
      <c r="AR2751" s="2"/>
      <c r="AS2751" s="2"/>
      <c r="AT2751" s="2"/>
      <c r="AU2751" s="2"/>
      <c r="AV2751" s="7" t="str">
        <f aca="false">IF(B2751="","",IF(COUNTIF($B$2:B2751,B2751)=1,MAX($AV$1:AV2750)+1,""))</f>
        <v/>
      </c>
    </row>
    <row r="2752" customFormat="false" ht="15" hidden="false" customHeight="false" outlineLevel="0" collapsed="false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  <c r="AP2752" s="2"/>
      <c r="AQ2752" s="2"/>
      <c r="AR2752" s="2"/>
      <c r="AS2752" s="2"/>
      <c r="AT2752" s="2"/>
      <c r="AU2752" s="2"/>
      <c r="AV2752" s="7" t="str">
        <f aca="false">IF(B2752="","",IF(COUNTIF($B$2:B2752,B2752)=1,MAX($AV$1:AV2751)+1,""))</f>
        <v/>
      </c>
    </row>
    <row r="2753" customFormat="false" ht="15" hidden="false" customHeight="false" outlineLevel="0" collapsed="false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  <c r="AP2753" s="2"/>
      <c r="AQ2753" s="2"/>
      <c r="AR2753" s="2"/>
      <c r="AS2753" s="2"/>
      <c r="AT2753" s="2"/>
      <c r="AU2753" s="2"/>
      <c r="AV2753" s="7" t="str">
        <f aca="false">IF(B2753="","",IF(COUNTIF($B$2:B2753,B2753)=1,MAX($AV$1:AV2752)+1,""))</f>
        <v/>
      </c>
    </row>
    <row r="2754" customFormat="false" ht="15" hidden="false" customHeight="false" outlineLevel="0" collapsed="false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  <c r="AP2754" s="2"/>
      <c r="AQ2754" s="2"/>
      <c r="AR2754" s="2"/>
      <c r="AS2754" s="2"/>
      <c r="AT2754" s="2"/>
      <c r="AU2754" s="2"/>
      <c r="AV2754" s="7" t="str">
        <f aca="false">IF(B2754="","",IF(COUNTIF($B$2:B2754,B2754)=1,MAX($AV$1:AV2753)+1,""))</f>
        <v/>
      </c>
    </row>
    <row r="2755" customFormat="false" ht="15" hidden="false" customHeight="false" outlineLevel="0" collapsed="false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  <c r="AP2755" s="2"/>
      <c r="AQ2755" s="2"/>
      <c r="AR2755" s="2"/>
      <c r="AS2755" s="2"/>
      <c r="AT2755" s="2"/>
      <c r="AU2755" s="2"/>
      <c r="AV2755" s="7" t="str">
        <f aca="false">IF(B2755="","",IF(COUNTIF($B$2:B2755,B2755)=1,MAX($AV$1:AV2754)+1,""))</f>
        <v/>
      </c>
    </row>
    <row r="2756" customFormat="false" ht="15" hidden="false" customHeight="false" outlineLevel="0" collapsed="false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  <c r="AP2756" s="2"/>
      <c r="AQ2756" s="2"/>
      <c r="AR2756" s="2"/>
      <c r="AS2756" s="2"/>
      <c r="AT2756" s="2"/>
      <c r="AU2756" s="2"/>
      <c r="AV2756" s="7" t="str">
        <f aca="false">IF(B2756="","",IF(COUNTIF($B$2:B2756,B2756)=1,MAX($AV$1:AV2755)+1,""))</f>
        <v/>
      </c>
    </row>
    <row r="2757" customFormat="false" ht="15" hidden="false" customHeight="false" outlineLevel="0" collapsed="false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  <c r="AP2757" s="2"/>
      <c r="AQ2757" s="2"/>
      <c r="AR2757" s="2"/>
      <c r="AS2757" s="2"/>
      <c r="AT2757" s="2"/>
      <c r="AU2757" s="2"/>
      <c r="AV2757" s="7" t="str">
        <f aca="false">IF(B2757="","",IF(COUNTIF($B$2:B2757,B2757)=1,MAX($AV$1:AV2756)+1,""))</f>
        <v/>
      </c>
    </row>
    <row r="2758" customFormat="false" ht="15" hidden="false" customHeight="false" outlineLevel="0" collapsed="false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  <c r="AP2758" s="2"/>
      <c r="AQ2758" s="2"/>
      <c r="AR2758" s="2"/>
      <c r="AS2758" s="2"/>
      <c r="AT2758" s="2"/>
      <c r="AU2758" s="2"/>
      <c r="AV2758" s="7" t="str">
        <f aca="false">IF(B2758="","",IF(COUNTIF($B$2:B2758,B2758)=1,MAX($AV$1:AV2757)+1,""))</f>
        <v/>
      </c>
    </row>
    <row r="2759" customFormat="false" ht="15" hidden="false" customHeight="false" outlineLevel="0" collapsed="false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  <c r="AP2759" s="2"/>
      <c r="AQ2759" s="2"/>
      <c r="AR2759" s="2"/>
      <c r="AS2759" s="2"/>
      <c r="AT2759" s="2"/>
      <c r="AU2759" s="2"/>
      <c r="AV2759" s="7" t="str">
        <f aca="false">IF(B2759="","",IF(COUNTIF($B$2:B2759,B2759)=1,MAX($AV$1:AV2758)+1,""))</f>
        <v/>
      </c>
    </row>
    <row r="2760" customFormat="false" ht="15" hidden="false" customHeight="false" outlineLevel="0" collapsed="false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  <c r="AP2760" s="2"/>
      <c r="AQ2760" s="2"/>
      <c r="AR2760" s="2"/>
      <c r="AS2760" s="2"/>
      <c r="AT2760" s="2"/>
      <c r="AU2760" s="2"/>
      <c r="AV2760" s="7" t="str">
        <f aca="false">IF(B2760="","",IF(COUNTIF($B$2:B2760,B2760)=1,MAX($AV$1:AV2759)+1,""))</f>
        <v/>
      </c>
    </row>
    <row r="2761" customFormat="false" ht="15" hidden="false" customHeight="false" outlineLevel="0" collapsed="false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  <c r="AP2761" s="2"/>
      <c r="AQ2761" s="2"/>
      <c r="AR2761" s="2"/>
      <c r="AS2761" s="2"/>
      <c r="AT2761" s="2"/>
      <c r="AU2761" s="2"/>
      <c r="AV2761" s="7" t="str">
        <f aca="false">IF(B2761="","",IF(COUNTIF($B$2:B2761,B2761)=1,MAX($AV$1:AV2760)+1,""))</f>
        <v/>
      </c>
    </row>
    <row r="2762" customFormat="false" ht="15" hidden="false" customHeight="false" outlineLevel="0" collapsed="false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  <c r="AP2762" s="2"/>
      <c r="AQ2762" s="2"/>
      <c r="AR2762" s="2"/>
      <c r="AS2762" s="2"/>
      <c r="AT2762" s="2"/>
      <c r="AU2762" s="2"/>
      <c r="AV2762" s="7" t="str">
        <f aca="false">IF(B2762="","",IF(COUNTIF($B$2:B2762,B2762)=1,MAX($AV$1:AV2761)+1,""))</f>
        <v/>
      </c>
    </row>
    <row r="2763" customFormat="false" ht="15" hidden="false" customHeight="false" outlineLevel="0" collapsed="false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  <c r="AP2763" s="2"/>
      <c r="AQ2763" s="2"/>
      <c r="AR2763" s="2"/>
      <c r="AS2763" s="2"/>
      <c r="AT2763" s="2"/>
      <c r="AU2763" s="2"/>
      <c r="AV2763" s="7" t="str">
        <f aca="false">IF(B2763="","",IF(COUNTIF($B$2:B2763,B2763)=1,MAX($AV$1:AV2762)+1,""))</f>
        <v/>
      </c>
    </row>
    <row r="2764" customFormat="false" ht="15" hidden="false" customHeight="false" outlineLevel="0" collapsed="false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2"/>
      <c r="AQ2764" s="2"/>
      <c r="AR2764" s="2"/>
      <c r="AS2764" s="2"/>
      <c r="AT2764" s="2"/>
      <c r="AU2764" s="2"/>
      <c r="AV2764" s="7" t="str">
        <f aca="false">IF(B2764="","",IF(COUNTIF($B$2:B2764,B2764)=1,MAX($AV$1:AV2763)+1,""))</f>
        <v/>
      </c>
    </row>
    <row r="2765" customFormat="false" ht="15" hidden="false" customHeight="false" outlineLevel="0" collapsed="false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  <c r="AP2765" s="2"/>
      <c r="AQ2765" s="2"/>
      <c r="AR2765" s="2"/>
      <c r="AS2765" s="2"/>
      <c r="AT2765" s="2"/>
      <c r="AU2765" s="2"/>
      <c r="AV2765" s="7" t="str">
        <f aca="false">IF(B2765="","",IF(COUNTIF($B$2:B2765,B2765)=1,MAX($AV$1:AV2764)+1,""))</f>
        <v/>
      </c>
    </row>
    <row r="2766" customFormat="false" ht="15" hidden="false" customHeight="false" outlineLevel="0" collapsed="false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  <c r="AP2766" s="2"/>
      <c r="AQ2766" s="2"/>
      <c r="AR2766" s="2"/>
      <c r="AS2766" s="2"/>
      <c r="AT2766" s="2"/>
      <c r="AU2766" s="2"/>
      <c r="AV2766" s="7" t="str">
        <f aca="false">IF(B2766="","",IF(COUNTIF($B$2:B2766,B2766)=1,MAX($AV$1:AV2765)+1,""))</f>
        <v/>
      </c>
    </row>
    <row r="2767" customFormat="false" ht="15" hidden="false" customHeight="false" outlineLevel="0" collapsed="false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  <c r="AP2767" s="2"/>
      <c r="AQ2767" s="2"/>
      <c r="AR2767" s="2"/>
      <c r="AS2767" s="2"/>
      <c r="AT2767" s="2"/>
      <c r="AU2767" s="2"/>
      <c r="AV2767" s="7" t="str">
        <f aca="false">IF(B2767="","",IF(COUNTIF($B$2:B2767,B2767)=1,MAX($AV$1:AV2766)+1,""))</f>
        <v/>
      </c>
    </row>
    <row r="2768" customFormat="false" ht="15" hidden="false" customHeight="false" outlineLevel="0" collapsed="false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  <c r="AL2768" s="2"/>
      <c r="AM2768" s="2"/>
      <c r="AN2768" s="2"/>
      <c r="AO2768" s="2"/>
      <c r="AP2768" s="2"/>
      <c r="AQ2768" s="2"/>
      <c r="AR2768" s="2"/>
      <c r="AS2768" s="2"/>
      <c r="AT2768" s="2"/>
      <c r="AU2768" s="2"/>
      <c r="AV2768" s="7" t="str">
        <f aca="false">IF(B2768="","",IF(COUNTIF($B$2:B2768,B2768)=1,MAX($AV$1:AV2767)+1,""))</f>
        <v/>
      </c>
    </row>
    <row r="2769" customFormat="false" ht="15" hidden="false" customHeight="false" outlineLevel="0" collapsed="false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  <c r="AP2769" s="2"/>
      <c r="AQ2769" s="2"/>
      <c r="AR2769" s="2"/>
      <c r="AS2769" s="2"/>
      <c r="AT2769" s="2"/>
      <c r="AU2769" s="2"/>
      <c r="AV2769" s="7" t="str">
        <f aca="false">IF(B2769="","",IF(COUNTIF($B$2:B2769,B2769)=1,MAX($AV$1:AV2768)+1,""))</f>
        <v/>
      </c>
    </row>
    <row r="2770" customFormat="false" ht="15" hidden="false" customHeight="false" outlineLevel="0" collapsed="false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  <c r="AP2770" s="2"/>
      <c r="AQ2770" s="2"/>
      <c r="AR2770" s="2"/>
      <c r="AS2770" s="2"/>
      <c r="AT2770" s="2"/>
      <c r="AU2770" s="2"/>
      <c r="AV2770" s="7" t="str">
        <f aca="false">IF(B2770="","",IF(COUNTIF($B$2:B2770,B2770)=1,MAX($AV$1:AV2769)+1,""))</f>
        <v/>
      </c>
    </row>
    <row r="2771" customFormat="false" ht="15" hidden="false" customHeight="false" outlineLevel="0" collapsed="false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  <c r="AF2771" s="2"/>
      <c r="AG2771" s="2"/>
      <c r="AH2771" s="2"/>
      <c r="AI2771" s="2"/>
      <c r="AJ2771" s="2"/>
      <c r="AK2771" s="2"/>
      <c r="AL2771" s="2"/>
      <c r="AM2771" s="2"/>
      <c r="AN2771" s="2"/>
      <c r="AO2771" s="2"/>
      <c r="AP2771" s="2"/>
      <c r="AQ2771" s="2"/>
      <c r="AR2771" s="2"/>
      <c r="AS2771" s="2"/>
      <c r="AT2771" s="2"/>
      <c r="AU2771" s="2"/>
      <c r="AV2771" s="7" t="str">
        <f aca="false">IF(B2771="","",IF(COUNTIF($B$2:B2771,B2771)=1,MAX($AV$1:AV2770)+1,""))</f>
        <v/>
      </c>
    </row>
    <row r="2772" customFormat="false" ht="15" hidden="false" customHeight="false" outlineLevel="0" collapsed="false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  <c r="AP2772" s="2"/>
      <c r="AQ2772" s="2"/>
      <c r="AR2772" s="2"/>
      <c r="AS2772" s="2"/>
      <c r="AT2772" s="2"/>
      <c r="AU2772" s="2"/>
      <c r="AV2772" s="7" t="str">
        <f aca="false">IF(B2772="","",IF(COUNTIF($B$2:B2772,B2772)=1,MAX($AV$1:AV2771)+1,""))</f>
        <v/>
      </c>
    </row>
    <row r="2773" customFormat="false" ht="15" hidden="false" customHeight="false" outlineLevel="0" collapsed="false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  <c r="AP2773" s="2"/>
      <c r="AQ2773" s="2"/>
      <c r="AR2773" s="2"/>
      <c r="AS2773" s="2"/>
      <c r="AT2773" s="2"/>
      <c r="AU2773" s="2"/>
      <c r="AV2773" s="7" t="str">
        <f aca="false">IF(B2773="","",IF(COUNTIF($B$2:B2773,B2773)=1,MAX($AV$1:AV2772)+1,""))</f>
        <v/>
      </c>
    </row>
    <row r="2774" customFormat="false" ht="15" hidden="false" customHeight="false" outlineLevel="0" collapsed="false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  <c r="AP2774" s="2"/>
      <c r="AQ2774" s="2"/>
      <c r="AR2774" s="2"/>
      <c r="AS2774" s="2"/>
      <c r="AT2774" s="2"/>
      <c r="AU2774" s="2"/>
      <c r="AV2774" s="7" t="str">
        <f aca="false">IF(B2774="","",IF(COUNTIF($B$2:B2774,B2774)=1,MAX($AV$1:AV2773)+1,""))</f>
        <v/>
      </c>
    </row>
    <row r="2775" customFormat="false" ht="15" hidden="false" customHeight="false" outlineLevel="0" collapsed="false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  <c r="AP2775" s="2"/>
      <c r="AQ2775" s="2"/>
      <c r="AR2775" s="2"/>
      <c r="AS2775" s="2"/>
      <c r="AT2775" s="2"/>
      <c r="AU2775" s="2"/>
      <c r="AV2775" s="7" t="str">
        <f aca="false">IF(B2775="","",IF(COUNTIF($B$2:B2775,B2775)=1,MAX($AV$1:AV2774)+1,""))</f>
        <v/>
      </c>
    </row>
    <row r="2776" customFormat="false" ht="15" hidden="false" customHeight="false" outlineLevel="0" collapsed="false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  <c r="AP2776" s="2"/>
      <c r="AQ2776" s="2"/>
      <c r="AR2776" s="2"/>
      <c r="AS2776" s="2"/>
      <c r="AT2776" s="2"/>
      <c r="AU2776" s="2"/>
      <c r="AV2776" s="7" t="str">
        <f aca="false">IF(B2776="","",IF(COUNTIF($B$2:B2776,B2776)=1,MAX($AV$1:AV2775)+1,""))</f>
        <v/>
      </c>
    </row>
    <row r="2777" customFormat="false" ht="15" hidden="false" customHeight="false" outlineLevel="0" collapsed="false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  <c r="AP2777" s="2"/>
      <c r="AQ2777" s="2"/>
      <c r="AR2777" s="2"/>
      <c r="AS2777" s="2"/>
      <c r="AT2777" s="2"/>
      <c r="AU2777" s="2"/>
      <c r="AV2777" s="7" t="str">
        <f aca="false">IF(B2777="","",IF(COUNTIF($B$2:B2777,B2777)=1,MAX($AV$1:AV2776)+1,""))</f>
        <v/>
      </c>
    </row>
    <row r="2778" customFormat="false" ht="15" hidden="false" customHeight="false" outlineLevel="0" collapsed="false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  <c r="AP2778" s="2"/>
      <c r="AQ2778" s="2"/>
      <c r="AR2778" s="2"/>
      <c r="AS2778" s="2"/>
      <c r="AT2778" s="2"/>
      <c r="AU2778" s="2"/>
      <c r="AV2778" s="7" t="str">
        <f aca="false">IF(B2778="","",IF(COUNTIF($B$2:B2778,B2778)=1,MAX($AV$1:AV2777)+1,""))</f>
        <v/>
      </c>
    </row>
    <row r="2779" customFormat="false" ht="15" hidden="false" customHeight="false" outlineLevel="0" collapsed="false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  <c r="AP2779" s="2"/>
      <c r="AQ2779" s="2"/>
      <c r="AR2779" s="2"/>
      <c r="AS2779" s="2"/>
      <c r="AT2779" s="2"/>
      <c r="AU2779" s="2"/>
      <c r="AV2779" s="7" t="str">
        <f aca="false">IF(B2779="","",IF(COUNTIF($B$2:B2779,B2779)=1,MAX($AV$1:AV2778)+1,""))</f>
        <v/>
      </c>
    </row>
    <row r="2780" customFormat="false" ht="15" hidden="false" customHeight="false" outlineLevel="0" collapsed="false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  <c r="AP2780" s="2"/>
      <c r="AQ2780" s="2"/>
      <c r="AR2780" s="2"/>
      <c r="AS2780" s="2"/>
      <c r="AT2780" s="2"/>
      <c r="AU2780" s="2"/>
      <c r="AV2780" s="7" t="str">
        <f aca="false">IF(B2780="","",IF(COUNTIF($B$2:B2780,B2780)=1,MAX($AV$1:AV2779)+1,""))</f>
        <v/>
      </c>
    </row>
    <row r="2781" customFormat="false" ht="15" hidden="false" customHeight="false" outlineLevel="0" collapsed="false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  <c r="AP2781" s="2"/>
      <c r="AQ2781" s="2"/>
      <c r="AR2781" s="2"/>
      <c r="AS2781" s="2"/>
      <c r="AT2781" s="2"/>
      <c r="AU2781" s="2"/>
      <c r="AV2781" s="7" t="str">
        <f aca="false">IF(B2781="","",IF(COUNTIF($B$2:B2781,B2781)=1,MAX($AV$1:AV2780)+1,""))</f>
        <v/>
      </c>
    </row>
    <row r="2782" customFormat="false" ht="15" hidden="false" customHeight="false" outlineLevel="0" collapsed="false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  <c r="AP2782" s="2"/>
      <c r="AQ2782" s="2"/>
      <c r="AR2782" s="2"/>
      <c r="AS2782" s="2"/>
      <c r="AT2782" s="2"/>
      <c r="AU2782" s="2"/>
      <c r="AV2782" s="7" t="str">
        <f aca="false">IF(B2782="","",IF(COUNTIF($B$2:B2782,B2782)=1,MAX($AV$1:AV2781)+1,""))</f>
        <v/>
      </c>
    </row>
    <row r="2783" customFormat="false" ht="15" hidden="false" customHeight="false" outlineLevel="0" collapsed="false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  <c r="AP2783" s="2"/>
      <c r="AQ2783" s="2"/>
      <c r="AR2783" s="2"/>
      <c r="AS2783" s="2"/>
      <c r="AT2783" s="2"/>
      <c r="AU2783" s="2"/>
      <c r="AV2783" s="7" t="str">
        <f aca="false">IF(B2783="","",IF(COUNTIF($B$2:B2783,B2783)=1,MAX($AV$1:AV2782)+1,""))</f>
        <v/>
      </c>
    </row>
    <row r="2784" customFormat="false" ht="15" hidden="false" customHeight="false" outlineLevel="0" collapsed="false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  <c r="AP2784" s="2"/>
      <c r="AQ2784" s="2"/>
      <c r="AR2784" s="2"/>
      <c r="AS2784" s="2"/>
      <c r="AT2784" s="2"/>
      <c r="AU2784" s="2"/>
      <c r="AV2784" s="7" t="str">
        <f aca="false">IF(B2784="","",IF(COUNTIF($B$2:B2784,B2784)=1,MAX($AV$1:AV2783)+1,""))</f>
        <v/>
      </c>
    </row>
    <row r="2785" customFormat="false" ht="15" hidden="false" customHeight="false" outlineLevel="0" collapsed="false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  <c r="AP2785" s="2"/>
      <c r="AQ2785" s="2"/>
      <c r="AR2785" s="2"/>
      <c r="AS2785" s="2"/>
      <c r="AT2785" s="2"/>
      <c r="AU2785" s="2"/>
      <c r="AV2785" s="7" t="str">
        <f aca="false">IF(B2785="","",IF(COUNTIF($B$2:B2785,B2785)=1,MAX($AV$1:AV2784)+1,""))</f>
        <v/>
      </c>
    </row>
    <row r="2786" customFormat="false" ht="15" hidden="false" customHeight="false" outlineLevel="0" collapsed="false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  <c r="AP2786" s="2"/>
      <c r="AQ2786" s="2"/>
      <c r="AR2786" s="2"/>
      <c r="AS2786" s="2"/>
      <c r="AT2786" s="2"/>
      <c r="AU2786" s="2"/>
      <c r="AV2786" s="7" t="str">
        <f aca="false">IF(B2786="","",IF(COUNTIF($B$2:B2786,B2786)=1,MAX($AV$1:AV2785)+1,""))</f>
        <v/>
      </c>
    </row>
    <row r="2787" customFormat="false" ht="15" hidden="false" customHeight="false" outlineLevel="0" collapsed="false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  <c r="AP2787" s="2"/>
      <c r="AQ2787" s="2"/>
      <c r="AR2787" s="2"/>
      <c r="AS2787" s="2"/>
      <c r="AT2787" s="2"/>
      <c r="AU2787" s="2"/>
      <c r="AV2787" s="7" t="str">
        <f aca="false">IF(B2787="","",IF(COUNTIF($B$2:B2787,B2787)=1,MAX($AV$1:AV2786)+1,""))</f>
        <v/>
      </c>
    </row>
    <row r="2788" customFormat="false" ht="15" hidden="false" customHeight="false" outlineLevel="0" collapsed="false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  <c r="AP2788" s="2"/>
      <c r="AQ2788" s="2"/>
      <c r="AR2788" s="2"/>
      <c r="AS2788" s="2"/>
      <c r="AT2788" s="2"/>
      <c r="AU2788" s="2"/>
      <c r="AV2788" s="7" t="str">
        <f aca="false">IF(B2788="","",IF(COUNTIF($B$2:B2788,B2788)=1,MAX($AV$1:AV2787)+1,""))</f>
        <v/>
      </c>
    </row>
    <row r="2789" customFormat="false" ht="15" hidden="false" customHeight="false" outlineLevel="0" collapsed="false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  <c r="AP2789" s="2"/>
      <c r="AQ2789" s="2"/>
      <c r="AR2789" s="2"/>
      <c r="AS2789" s="2"/>
      <c r="AT2789" s="2"/>
      <c r="AU2789" s="2"/>
      <c r="AV2789" s="7" t="str">
        <f aca="false">IF(B2789="","",IF(COUNTIF($B$2:B2789,B2789)=1,MAX($AV$1:AV2788)+1,""))</f>
        <v/>
      </c>
    </row>
    <row r="2790" customFormat="false" ht="15" hidden="false" customHeight="false" outlineLevel="0" collapsed="false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  <c r="AP2790" s="2"/>
      <c r="AQ2790" s="2"/>
      <c r="AR2790" s="2"/>
      <c r="AS2790" s="2"/>
      <c r="AT2790" s="2"/>
      <c r="AU2790" s="2"/>
      <c r="AV2790" s="7" t="str">
        <f aca="false">IF(B2790="","",IF(COUNTIF($B$2:B2790,B2790)=1,MAX($AV$1:AV2789)+1,""))</f>
        <v/>
      </c>
    </row>
    <row r="2791" customFormat="false" ht="15" hidden="false" customHeight="false" outlineLevel="0" collapsed="false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  <c r="AP2791" s="2"/>
      <c r="AQ2791" s="2"/>
      <c r="AR2791" s="2"/>
      <c r="AS2791" s="2"/>
      <c r="AT2791" s="2"/>
      <c r="AU2791" s="2"/>
      <c r="AV2791" s="7" t="str">
        <f aca="false">IF(B2791="","",IF(COUNTIF($B$2:B2791,B2791)=1,MAX($AV$1:AV2790)+1,""))</f>
        <v/>
      </c>
    </row>
    <row r="2792" customFormat="false" ht="15" hidden="false" customHeight="false" outlineLevel="0" collapsed="false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  <c r="AP2792" s="2"/>
      <c r="AQ2792" s="2"/>
      <c r="AR2792" s="2"/>
      <c r="AS2792" s="2"/>
      <c r="AT2792" s="2"/>
      <c r="AU2792" s="2"/>
      <c r="AV2792" s="7" t="str">
        <f aca="false">IF(B2792="","",IF(COUNTIF($B$2:B2792,B2792)=1,MAX($AV$1:AV2791)+1,""))</f>
        <v/>
      </c>
    </row>
    <row r="2793" customFormat="false" ht="15" hidden="false" customHeight="false" outlineLevel="0" collapsed="false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  <c r="AP2793" s="2"/>
      <c r="AQ2793" s="2"/>
      <c r="AR2793" s="2"/>
      <c r="AS2793" s="2"/>
      <c r="AT2793" s="2"/>
      <c r="AU2793" s="2"/>
      <c r="AV2793" s="7" t="str">
        <f aca="false">IF(B2793="","",IF(COUNTIF($B$2:B2793,B2793)=1,MAX($AV$1:AV2792)+1,""))</f>
        <v/>
      </c>
    </row>
    <row r="2794" customFormat="false" ht="15" hidden="false" customHeight="false" outlineLevel="0" collapsed="false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  <c r="AP2794" s="2"/>
      <c r="AQ2794" s="2"/>
      <c r="AR2794" s="2"/>
      <c r="AS2794" s="2"/>
      <c r="AT2794" s="2"/>
      <c r="AU2794" s="2"/>
      <c r="AV2794" s="7" t="str">
        <f aca="false">IF(B2794="","",IF(COUNTIF($B$2:B2794,B2794)=1,MAX($AV$1:AV2793)+1,""))</f>
        <v/>
      </c>
    </row>
    <row r="2795" customFormat="false" ht="15" hidden="false" customHeight="false" outlineLevel="0" collapsed="false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  <c r="AV2795" s="7" t="str">
        <f aca="false">IF(B2795="","",IF(COUNTIF($B$2:B2795,B2795)=1,MAX($AV$1:AV2794)+1,""))</f>
        <v/>
      </c>
    </row>
    <row r="2796" customFormat="false" ht="15" hidden="false" customHeight="false" outlineLevel="0" collapsed="false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  <c r="AP2796" s="2"/>
      <c r="AQ2796" s="2"/>
      <c r="AR2796" s="2"/>
      <c r="AS2796" s="2"/>
      <c r="AT2796" s="2"/>
      <c r="AU2796" s="2"/>
      <c r="AV2796" s="7" t="str">
        <f aca="false">IF(B2796="","",IF(COUNTIF($B$2:B2796,B2796)=1,MAX($AV$1:AV2795)+1,""))</f>
        <v/>
      </c>
    </row>
    <row r="2797" customFormat="false" ht="15" hidden="false" customHeight="false" outlineLevel="0" collapsed="false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  <c r="AP2797" s="2"/>
      <c r="AQ2797" s="2"/>
      <c r="AR2797" s="2"/>
      <c r="AS2797" s="2"/>
      <c r="AT2797" s="2"/>
      <c r="AU2797" s="2"/>
      <c r="AV2797" s="7" t="str">
        <f aca="false">IF(B2797="","",IF(COUNTIF($B$2:B2797,B2797)=1,MAX($AV$1:AV2796)+1,""))</f>
        <v/>
      </c>
    </row>
    <row r="2798" customFormat="false" ht="15" hidden="false" customHeight="false" outlineLevel="0" collapsed="false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  <c r="AL2798" s="2"/>
      <c r="AM2798" s="2"/>
      <c r="AN2798" s="2"/>
      <c r="AO2798" s="2"/>
      <c r="AP2798" s="2"/>
      <c r="AQ2798" s="2"/>
      <c r="AR2798" s="2"/>
      <c r="AS2798" s="2"/>
      <c r="AT2798" s="2"/>
      <c r="AU2798" s="2"/>
      <c r="AV2798" s="7" t="str">
        <f aca="false">IF(B2798="","",IF(COUNTIF($B$2:B2798,B2798)=1,MAX($AV$1:AV2797)+1,""))</f>
        <v/>
      </c>
    </row>
    <row r="2799" customFormat="false" ht="15" hidden="false" customHeight="false" outlineLevel="0" collapsed="false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  <c r="AP2799" s="2"/>
      <c r="AQ2799" s="2"/>
      <c r="AR2799" s="2"/>
      <c r="AS2799" s="2"/>
      <c r="AT2799" s="2"/>
      <c r="AU2799" s="2"/>
      <c r="AV2799" s="7" t="str">
        <f aca="false">IF(B2799="","",IF(COUNTIF($B$2:B2799,B2799)=1,MAX($AV$1:AV2798)+1,""))</f>
        <v/>
      </c>
    </row>
    <row r="2800" customFormat="false" ht="15" hidden="false" customHeight="false" outlineLevel="0" collapsed="false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  <c r="AP2800" s="2"/>
      <c r="AQ2800" s="2"/>
      <c r="AR2800" s="2"/>
      <c r="AS2800" s="2"/>
      <c r="AT2800" s="2"/>
      <c r="AU2800" s="2"/>
      <c r="AV2800" s="7" t="str">
        <f aca="false">IF(B2800="","",IF(COUNTIF($B$2:B2800,B2800)=1,MAX($AV$1:AV2799)+1,""))</f>
        <v/>
      </c>
    </row>
    <row r="2801" customFormat="false" ht="15" hidden="false" customHeight="false" outlineLevel="0" collapsed="false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  <c r="AP2801" s="2"/>
      <c r="AQ2801" s="2"/>
      <c r="AR2801" s="2"/>
      <c r="AS2801" s="2"/>
      <c r="AT2801" s="2"/>
      <c r="AU2801" s="2"/>
      <c r="AV2801" s="7" t="str">
        <f aca="false">IF(B2801="","",IF(COUNTIF($B$2:B2801,B2801)=1,MAX($AV$1:AV2800)+1,""))</f>
        <v/>
      </c>
    </row>
    <row r="2802" customFormat="false" ht="15" hidden="false" customHeight="false" outlineLevel="0" collapsed="false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  <c r="AP2802" s="2"/>
      <c r="AQ2802" s="2"/>
      <c r="AR2802" s="2"/>
      <c r="AS2802" s="2"/>
      <c r="AT2802" s="2"/>
      <c r="AU2802" s="2"/>
      <c r="AV2802" s="7" t="str">
        <f aca="false">IF(B2802="","",IF(COUNTIF($B$2:B2802,B2802)=1,MAX($AV$1:AV2801)+1,""))</f>
        <v/>
      </c>
    </row>
    <row r="2803" customFormat="false" ht="15" hidden="false" customHeight="false" outlineLevel="0" collapsed="false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  <c r="AP2803" s="2"/>
      <c r="AQ2803" s="2"/>
      <c r="AR2803" s="2"/>
      <c r="AS2803" s="2"/>
      <c r="AT2803" s="2"/>
      <c r="AU2803" s="2"/>
      <c r="AV2803" s="7" t="str">
        <f aca="false">IF(B2803="","",IF(COUNTIF($B$2:B2803,B2803)=1,MAX($AV$1:AV2802)+1,""))</f>
        <v/>
      </c>
    </row>
    <row r="2804" customFormat="false" ht="15" hidden="false" customHeight="false" outlineLevel="0" collapsed="false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  <c r="AP2804" s="2"/>
      <c r="AQ2804" s="2"/>
      <c r="AR2804" s="2"/>
      <c r="AS2804" s="2"/>
      <c r="AT2804" s="2"/>
      <c r="AU2804" s="2"/>
      <c r="AV2804" s="7" t="str">
        <f aca="false">IF(B2804="","",IF(COUNTIF($B$2:B2804,B2804)=1,MAX($AV$1:AV2803)+1,""))</f>
        <v/>
      </c>
    </row>
    <row r="2805" customFormat="false" ht="15" hidden="false" customHeight="false" outlineLevel="0" collapsed="false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  <c r="AP2805" s="2"/>
      <c r="AQ2805" s="2"/>
      <c r="AR2805" s="2"/>
      <c r="AS2805" s="2"/>
      <c r="AT2805" s="2"/>
      <c r="AU2805" s="2"/>
      <c r="AV2805" s="7" t="str">
        <f aca="false">IF(B2805="","",IF(COUNTIF($B$2:B2805,B2805)=1,MAX($AV$1:AV2804)+1,""))</f>
        <v/>
      </c>
    </row>
    <row r="2806" customFormat="false" ht="15" hidden="false" customHeight="false" outlineLevel="0" collapsed="false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  <c r="AP2806" s="2"/>
      <c r="AQ2806" s="2"/>
      <c r="AR2806" s="2"/>
      <c r="AS2806" s="2"/>
      <c r="AT2806" s="2"/>
      <c r="AU2806" s="2"/>
      <c r="AV2806" s="7" t="str">
        <f aca="false">IF(B2806="","",IF(COUNTIF($B$2:B2806,B2806)=1,MAX($AV$1:AV2805)+1,""))</f>
        <v/>
      </c>
    </row>
    <row r="2807" customFormat="false" ht="15" hidden="false" customHeight="false" outlineLevel="0" collapsed="false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  <c r="AP2807" s="2"/>
      <c r="AQ2807" s="2"/>
      <c r="AR2807" s="2"/>
      <c r="AS2807" s="2"/>
      <c r="AT2807" s="2"/>
      <c r="AU2807" s="2"/>
      <c r="AV2807" s="7" t="str">
        <f aca="false">IF(B2807="","",IF(COUNTIF($B$2:B2807,B2807)=1,MAX($AV$1:AV2806)+1,""))</f>
        <v/>
      </c>
    </row>
    <row r="2808" customFormat="false" ht="15" hidden="false" customHeight="false" outlineLevel="0" collapsed="false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  <c r="AP2808" s="2"/>
      <c r="AQ2808" s="2"/>
      <c r="AR2808" s="2"/>
      <c r="AS2808" s="2"/>
      <c r="AT2808" s="2"/>
      <c r="AU2808" s="2"/>
      <c r="AV2808" s="7" t="str">
        <f aca="false">IF(B2808="","",IF(COUNTIF($B$2:B2808,B2808)=1,MAX($AV$1:AV2807)+1,""))</f>
        <v/>
      </c>
    </row>
    <row r="2809" customFormat="false" ht="15" hidden="false" customHeight="false" outlineLevel="0" collapsed="false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  <c r="AP2809" s="2"/>
      <c r="AQ2809" s="2"/>
      <c r="AR2809" s="2"/>
      <c r="AS2809" s="2"/>
      <c r="AT2809" s="2"/>
      <c r="AU2809" s="2"/>
      <c r="AV2809" s="7" t="str">
        <f aca="false">IF(B2809="","",IF(COUNTIF($B$2:B2809,B2809)=1,MAX($AV$1:AV2808)+1,""))</f>
        <v/>
      </c>
    </row>
    <row r="2810" customFormat="false" ht="15" hidden="false" customHeight="false" outlineLevel="0" collapsed="false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  <c r="AP2810" s="2"/>
      <c r="AQ2810" s="2"/>
      <c r="AR2810" s="2"/>
      <c r="AS2810" s="2"/>
      <c r="AT2810" s="2"/>
      <c r="AU2810" s="2"/>
      <c r="AV2810" s="7" t="str">
        <f aca="false">IF(B2810="","",IF(COUNTIF($B$2:B2810,B2810)=1,MAX($AV$1:AV2809)+1,""))</f>
        <v/>
      </c>
    </row>
    <row r="2811" customFormat="false" ht="15" hidden="false" customHeight="false" outlineLevel="0" collapsed="false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  <c r="AP2811" s="2"/>
      <c r="AQ2811" s="2"/>
      <c r="AR2811" s="2"/>
      <c r="AS2811" s="2"/>
      <c r="AT2811" s="2"/>
      <c r="AU2811" s="2"/>
      <c r="AV2811" s="7" t="str">
        <f aca="false">IF(B2811="","",IF(COUNTIF($B$2:B2811,B2811)=1,MAX($AV$1:AV2810)+1,""))</f>
        <v/>
      </c>
    </row>
    <row r="2812" customFormat="false" ht="15" hidden="false" customHeight="false" outlineLevel="0" collapsed="false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/>
      <c r="AQ2812" s="2"/>
      <c r="AR2812" s="2"/>
      <c r="AS2812" s="2"/>
      <c r="AT2812" s="2"/>
      <c r="AU2812" s="2"/>
      <c r="AV2812" s="7" t="str">
        <f aca="false">IF(B2812="","",IF(COUNTIF($B$2:B2812,B2812)=1,MAX($AV$1:AV2811)+1,""))</f>
        <v/>
      </c>
    </row>
    <row r="2813" customFormat="false" ht="15" hidden="false" customHeight="false" outlineLevel="0" collapsed="false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  <c r="AP2813" s="2"/>
      <c r="AQ2813" s="2"/>
      <c r="AR2813" s="2"/>
      <c r="AS2813" s="2"/>
      <c r="AT2813" s="2"/>
      <c r="AU2813" s="2"/>
      <c r="AV2813" s="7" t="str">
        <f aca="false">IF(B2813="","",IF(COUNTIF($B$2:B2813,B2813)=1,MAX($AV$1:AV2812)+1,""))</f>
        <v/>
      </c>
    </row>
    <row r="2814" customFormat="false" ht="15" hidden="false" customHeight="false" outlineLevel="0" collapsed="false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  <c r="AP2814" s="2"/>
      <c r="AQ2814" s="2"/>
      <c r="AR2814" s="2"/>
      <c r="AS2814" s="2"/>
      <c r="AT2814" s="2"/>
      <c r="AU2814" s="2"/>
      <c r="AV2814" s="7" t="str">
        <f aca="false">IF(B2814="","",IF(COUNTIF($B$2:B2814,B2814)=1,MAX($AV$1:AV2813)+1,""))</f>
        <v/>
      </c>
    </row>
    <row r="2815" customFormat="false" ht="15" hidden="false" customHeight="false" outlineLevel="0" collapsed="false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  <c r="AP2815" s="2"/>
      <c r="AQ2815" s="2"/>
      <c r="AR2815" s="2"/>
      <c r="AS2815" s="2"/>
      <c r="AT2815" s="2"/>
      <c r="AU2815" s="2"/>
      <c r="AV2815" s="7" t="str">
        <f aca="false">IF(B2815="","",IF(COUNTIF($B$2:B2815,B2815)=1,MAX($AV$1:AV2814)+1,""))</f>
        <v/>
      </c>
    </row>
    <row r="2816" customFormat="false" ht="15" hidden="false" customHeight="false" outlineLevel="0" collapsed="false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  <c r="AP2816" s="2"/>
      <c r="AQ2816" s="2"/>
      <c r="AR2816" s="2"/>
      <c r="AS2816" s="2"/>
      <c r="AT2816" s="2"/>
      <c r="AU2816" s="2"/>
      <c r="AV2816" s="7" t="str">
        <f aca="false">IF(B2816="","",IF(COUNTIF($B$2:B2816,B2816)=1,MAX($AV$1:AV2815)+1,""))</f>
        <v/>
      </c>
    </row>
    <row r="2817" customFormat="false" ht="15" hidden="false" customHeight="false" outlineLevel="0" collapsed="false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  <c r="AP2817" s="2"/>
      <c r="AQ2817" s="2"/>
      <c r="AR2817" s="2"/>
      <c r="AS2817" s="2"/>
      <c r="AT2817" s="2"/>
      <c r="AU2817" s="2"/>
      <c r="AV2817" s="7" t="str">
        <f aca="false">IF(B2817="","",IF(COUNTIF($B$2:B2817,B2817)=1,MAX($AV$1:AV2816)+1,""))</f>
        <v/>
      </c>
    </row>
    <row r="2818" customFormat="false" ht="15" hidden="false" customHeight="false" outlineLevel="0" collapsed="false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2"/>
      <c r="AS2818" s="2"/>
      <c r="AT2818" s="2"/>
      <c r="AU2818" s="2"/>
      <c r="AV2818" s="7" t="str">
        <f aca="false">IF(B2818="","",IF(COUNTIF($B$2:B2818,B2818)=1,MAX($AV$1:AV2817)+1,""))</f>
        <v/>
      </c>
    </row>
    <row r="2819" customFormat="false" ht="15" hidden="false" customHeight="false" outlineLevel="0" collapsed="false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  <c r="AP2819" s="2"/>
      <c r="AQ2819" s="2"/>
      <c r="AR2819" s="2"/>
      <c r="AS2819" s="2"/>
      <c r="AT2819" s="2"/>
      <c r="AU2819" s="2"/>
      <c r="AV2819" s="7" t="str">
        <f aca="false">IF(B2819="","",IF(COUNTIF($B$2:B2819,B2819)=1,MAX($AV$1:AV2818)+1,""))</f>
        <v/>
      </c>
    </row>
    <row r="2820" customFormat="false" ht="15" hidden="false" customHeight="false" outlineLevel="0" collapsed="false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  <c r="AP2820" s="2"/>
      <c r="AQ2820" s="2"/>
      <c r="AR2820" s="2"/>
      <c r="AS2820" s="2"/>
      <c r="AT2820" s="2"/>
      <c r="AU2820" s="2"/>
      <c r="AV2820" s="7" t="str">
        <f aca="false">IF(B2820="","",IF(COUNTIF($B$2:B2820,B2820)=1,MAX($AV$1:AV2819)+1,""))</f>
        <v/>
      </c>
    </row>
    <row r="2821" customFormat="false" ht="15" hidden="false" customHeight="false" outlineLevel="0" collapsed="false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  <c r="AP2821" s="2"/>
      <c r="AQ2821" s="2"/>
      <c r="AR2821" s="2"/>
      <c r="AS2821" s="2"/>
      <c r="AT2821" s="2"/>
      <c r="AU2821" s="2"/>
      <c r="AV2821" s="7" t="str">
        <f aca="false">IF(B2821="","",IF(COUNTIF($B$2:B2821,B2821)=1,MAX($AV$1:AV2820)+1,""))</f>
        <v/>
      </c>
    </row>
    <row r="2822" customFormat="false" ht="15" hidden="false" customHeight="false" outlineLevel="0" collapsed="false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  <c r="AP2822" s="2"/>
      <c r="AQ2822" s="2"/>
      <c r="AR2822" s="2"/>
      <c r="AS2822" s="2"/>
      <c r="AT2822" s="2"/>
      <c r="AU2822" s="2"/>
      <c r="AV2822" s="7" t="str">
        <f aca="false">IF(B2822="","",IF(COUNTIF($B$2:B2822,B2822)=1,MAX($AV$1:AV2821)+1,""))</f>
        <v/>
      </c>
    </row>
    <row r="2823" customFormat="false" ht="15" hidden="false" customHeight="false" outlineLevel="0" collapsed="false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  <c r="AP2823" s="2"/>
      <c r="AQ2823" s="2"/>
      <c r="AR2823" s="2"/>
      <c r="AS2823" s="2"/>
      <c r="AT2823" s="2"/>
      <c r="AU2823" s="2"/>
      <c r="AV2823" s="7" t="str">
        <f aca="false">IF(B2823="","",IF(COUNTIF($B$2:B2823,B2823)=1,MAX($AV$1:AV2822)+1,""))</f>
        <v/>
      </c>
    </row>
    <row r="2824" customFormat="false" ht="15" hidden="false" customHeight="false" outlineLevel="0" collapsed="false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  <c r="AP2824" s="2"/>
      <c r="AQ2824" s="2"/>
      <c r="AR2824" s="2"/>
      <c r="AS2824" s="2"/>
      <c r="AT2824" s="2"/>
      <c r="AU2824" s="2"/>
      <c r="AV2824" s="7" t="str">
        <f aca="false">IF(B2824="","",IF(COUNTIF($B$2:B2824,B2824)=1,MAX($AV$1:AV2823)+1,""))</f>
        <v/>
      </c>
    </row>
    <row r="2825" customFormat="false" ht="15" hidden="false" customHeight="false" outlineLevel="0" collapsed="false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2"/>
      <c r="AL2825" s="2"/>
      <c r="AM2825" s="2"/>
      <c r="AN2825" s="2"/>
      <c r="AO2825" s="2"/>
      <c r="AP2825" s="2"/>
      <c r="AQ2825" s="2"/>
      <c r="AR2825" s="2"/>
      <c r="AS2825" s="2"/>
      <c r="AT2825" s="2"/>
      <c r="AU2825" s="2"/>
      <c r="AV2825" s="7" t="str">
        <f aca="false">IF(B2825="","",IF(COUNTIF($B$2:B2825,B2825)=1,MAX($AV$1:AV2824)+1,""))</f>
        <v/>
      </c>
    </row>
    <row r="2826" customFormat="false" ht="15" hidden="false" customHeight="false" outlineLevel="0" collapsed="false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  <c r="AP2826" s="2"/>
      <c r="AQ2826" s="2"/>
      <c r="AR2826" s="2"/>
      <c r="AS2826" s="2"/>
      <c r="AT2826" s="2"/>
      <c r="AU2826" s="2"/>
      <c r="AV2826" s="7" t="str">
        <f aca="false">IF(B2826="","",IF(COUNTIF($B$2:B2826,B2826)=1,MAX($AV$1:AV2825)+1,""))</f>
        <v/>
      </c>
    </row>
    <row r="2827" customFormat="false" ht="15" hidden="false" customHeight="false" outlineLevel="0" collapsed="false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  <c r="AP2827" s="2"/>
      <c r="AQ2827" s="2"/>
      <c r="AR2827" s="2"/>
      <c r="AS2827" s="2"/>
      <c r="AT2827" s="2"/>
      <c r="AU2827" s="2"/>
      <c r="AV2827" s="7" t="str">
        <f aca="false">IF(B2827="","",IF(COUNTIF($B$2:B2827,B2827)=1,MAX($AV$1:AV2826)+1,""))</f>
        <v/>
      </c>
    </row>
    <row r="2828" customFormat="false" ht="15" hidden="false" customHeight="false" outlineLevel="0" collapsed="false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  <c r="AP2828" s="2"/>
      <c r="AQ2828" s="2"/>
      <c r="AR2828" s="2"/>
      <c r="AS2828" s="2"/>
      <c r="AT2828" s="2"/>
      <c r="AU2828" s="2"/>
      <c r="AV2828" s="7" t="str">
        <f aca="false">IF(B2828="","",IF(COUNTIF($B$2:B2828,B2828)=1,MAX($AV$1:AV2827)+1,""))</f>
        <v/>
      </c>
    </row>
    <row r="2829" customFormat="false" ht="15" hidden="false" customHeight="false" outlineLevel="0" collapsed="false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  <c r="AP2829" s="2"/>
      <c r="AQ2829" s="2"/>
      <c r="AR2829" s="2"/>
      <c r="AS2829" s="2"/>
      <c r="AT2829" s="2"/>
      <c r="AU2829" s="2"/>
      <c r="AV2829" s="7" t="str">
        <f aca="false">IF(B2829="","",IF(COUNTIF($B$2:B2829,B2829)=1,MAX($AV$1:AV2828)+1,""))</f>
        <v/>
      </c>
    </row>
    <row r="2830" customFormat="false" ht="15" hidden="false" customHeight="false" outlineLevel="0" collapsed="false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  <c r="AP2830" s="2"/>
      <c r="AQ2830" s="2"/>
      <c r="AR2830" s="2"/>
      <c r="AS2830" s="2"/>
      <c r="AT2830" s="2"/>
      <c r="AU2830" s="2"/>
      <c r="AV2830" s="7" t="str">
        <f aca="false">IF(B2830="","",IF(COUNTIF($B$2:B2830,B2830)=1,MAX($AV$1:AV2829)+1,""))</f>
        <v/>
      </c>
    </row>
    <row r="2831" customFormat="false" ht="15" hidden="false" customHeight="false" outlineLevel="0" collapsed="false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  <c r="AP2831" s="2"/>
      <c r="AQ2831" s="2"/>
      <c r="AR2831" s="2"/>
      <c r="AS2831" s="2"/>
      <c r="AT2831" s="2"/>
      <c r="AU2831" s="2"/>
      <c r="AV2831" s="7" t="str">
        <f aca="false">IF(B2831="","",IF(COUNTIF($B$2:B2831,B2831)=1,MAX($AV$1:AV2830)+1,""))</f>
        <v/>
      </c>
    </row>
    <row r="2832" customFormat="false" ht="15" hidden="false" customHeight="false" outlineLevel="0" collapsed="false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  <c r="AP2832" s="2"/>
      <c r="AQ2832" s="2"/>
      <c r="AR2832" s="2"/>
      <c r="AS2832" s="2"/>
      <c r="AT2832" s="2"/>
      <c r="AU2832" s="2"/>
      <c r="AV2832" s="7" t="str">
        <f aca="false">IF(B2832="","",IF(COUNTIF($B$2:B2832,B2832)=1,MAX($AV$1:AV2831)+1,""))</f>
        <v/>
      </c>
    </row>
    <row r="2833" customFormat="false" ht="15" hidden="false" customHeight="false" outlineLevel="0" collapsed="false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  <c r="AP2833" s="2"/>
      <c r="AQ2833" s="2"/>
      <c r="AR2833" s="2"/>
      <c r="AS2833" s="2"/>
      <c r="AT2833" s="2"/>
      <c r="AU2833" s="2"/>
      <c r="AV2833" s="7" t="str">
        <f aca="false">IF(B2833="","",IF(COUNTIF($B$2:B2833,B2833)=1,MAX($AV$1:AV2832)+1,""))</f>
        <v/>
      </c>
    </row>
    <row r="2834" customFormat="false" ht="15" hidden="false" customHeight="false" outlineLevel="0" collapsed="false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2"/>
      <c r="AQ2834" s="2"/>
      <c r="AR2834" s="2"/>
      <c r="AS2834" s="2"/>
      <c r="AT2834" s="2"/>
      <c r="AU2834" s="2"/>
      <c r="AV2834" s="7" t="str">
        <f aca="false">IF(B2834="","",IF(COUNTIF($B$2:B2834,B2834)=1,MAX($AV$1:AV2833)+1,""))</f>
        <v/>
      </c>
    </row>
    <row r="2835" customFormat="false" ht="15" hidden="false" customHeight="false" outlineLevel="0" collapsed="false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  <c r="AP2835" s="2"/>
      <c r="AQ2835" s="2"/>
      <c r="AR2835" s="2"/>
      <c r="AS2835" s="2"/>
      <c r="AT2835" s="2"/>
      <c r="AU2835" s="2"/>
      <c r="AV2835" s="7" t="str">
        <f aca="false">IF(B2835="","",IF(COUNTIF($B$2:B2835,B2835)=1,MAX($AV$1:AV2834)+1,""))</f>
        <v/>
      </c>
    </row>
    <row r="2836" customFormat="false" ht="15" hidden="false" customHeight="false" outlineLevel="0" collapsed="false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  <c r="AP2836" s="2"/>
      <c r="AQ2836" s="2"/>
      <c r="AR2836" s="2"/>
      <c r="AS2836" s="2"/>
      <c r="AT2836" s="2"/>
      <c r="AU2836" s="2"/>
      <c r="AV2836" s="7" t="str">
        <f aca="false">IF(B2836="","",IF(COUNTIF($B$2:B2836,B2836)=1,MAX($AV$1:AV2835)+1,""))</f>
        <v/>
      </c>
    </row>
    <row r="2837" customFormat="false" ht="15" hidden="false" customHeight="false" outlineLevel="0" collapsed="false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  <c r="AP2837" s="2"/>
      <c r="AQ2837" s="2"/>
      <c r="AR2837" s="2"/>
      <c r="AS2837" s="2"/>
      <c r="AT2837" s="2"/>
      <c r="AU2837" s="2"/>
      <c r="AV2837" s="7" t="str">
        <f aca="false">IF(B2837="","",IF(COUNTIF($B$2:B2837,B2837)=1,MAX($AV$1:AV2836)+1,""))</f>
        <v/>
      </c>
    </row>
    <row r="2838" customFormat="false" ht="15" hidden="false" customHeight="false" outlineLevel="0" collapsed="false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  <c r="AP2838" s="2"/>
      <c r="AQ2838" s="2"/>
      <c r="AR2838" s="2"/>
      <c r="AS2838" s="2"/>
      <c r="AT2838" s="2"/>
      <c r="AU2838" s="2"/>
      <c r="AV2838" s="7" t="str">
        <f aca="false">IF(B2838="","",IF(COUNTIF($B$2:B2838,B2838)=1,MAX($AV$1:AV2837)+1,""))</f>
        <v/>
      </c>
    </row>
    <row r="2839" customFormat="false" ht="15" hidden="false" customHeight="false" outlineLevel="0" collapsed="false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  <c r="AP2839" s="2"/>
      <c r="AQ2839" s="2"/>
      <c r="AR2839" s="2"/>
      <c r="AS2839" s="2"/>
      <c r="AT2839" s="2"/>
      <c r="AU2839" s="2"/>
      <c r="AV2839" s="7" t="str">
        <f aca="false">IF(B2839="","",IF(COUNTIF($B$2:B2839,B2839)=1,MAX($AV$1:AV2838)+1,""))</f>
        <v/>
      </c>
    </row>
    <row r="2840" customFormat="false" ht="15" hidden="false" customHeight="false" outlineLevel="0" collapsed="false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  <c r="AP2840" s="2"/>
      <c r="AQ2840" s="2"/>
      <c r="AR2840" s="2"/>
      <c r="AS2840" s="2"/>
      <c r="AT2840" s="2"/>
      <c r="AU2840" s="2"/>
      <c r="AV2840" s="7" t="str">
        <f aca="false">IF(B2840="","",IF(COUNTIF($B$2:B2840,B2840)=1,MAX($AV$1:AV2839)+1,""))</f>
        <v/>
      </c>
    </row>
    <row r="2841" customFormat="false" ht="15" hidden="false" customHeight="false" outlineLevel="0" collapsed="false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  <c r="AP2841" s="2"/>
      <c r="AQ2841" s="2"/>
      <c r="AR2841" s="2"/>
      <c r="AS2841" s="2"/>
      <c r="AT2841" s="2"/>
      <c r="AU2841" s="2"/>
      <c r="AV2841" s="7" t="str">
        <f aca="false">IF(B2841="","",IF(COUNTIF($B$2:B2841,B2841)=1,MAX($AV$1:AV2840)+1,""))</f>
        <v/>
      </c>
    </row>
    <row r="2842" customFormat="false" ht="15" hidden="false" customHeight="false" outlineLevel="0" collapsed="false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2"/>
      <c r="AQ2842" s="2"/>
      <c r="AR2842" s="2"/>
      <c r="AS2842" s="2"/>
      <c r="AT2842" s="2"/>
      <c r="AU2842" s="2"/>
      <c r="AV2842" s="7" t="str">
        <f aca="false">IF(B2842="","",IF(COUNTIF($B$2:B2842,B2842)=1,MAX($AV$1:AV2841)+1,""))</f>
        <v/>
      </c>
    </row>
    <row r="2843" customFormat="false" ht="15" hidden="false" customHeight="false" outlineLevel="0" collapsed="false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  <c r="AP2843" s="2"/>
      <c r="AQ2843" s="2"/>
      <c r="AR2843" s="2"/>
      <c r="AS2843" s="2"/>
      <c r="AT2843" s="2"/>
      <c r="AU2843" s="2"/>
      <c r="AV2843" s="7" t="str">
        <f aca="false">IF(B2843="","",IF(COUNTIF($B$2:B2843,B2843)=1,MAX($AV$1:AV2842)+1,""))</f>
        <v/>
      </c>
    </row>
    <row r="2844" customFormat="false" ht="15" hidden="false" customHeight="false" outlineLevel="0" collapsed="false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  <c r="AP2844" s="2"/>
      <c r="AQ2844" s="2"/>
      <c r="AR2844" s="2"/>
      <c r="AS2844" s="2"/>
      <c r="AT2844" s="2"/>
      <c r="AU2844" s="2"/>
      <c r="AV2844" s="7" t="str">
        <f aca="false">IF(B2844="","",IF(COUNTIF($B$2:B2844,B2844)=1,MAX($AV$1:AV2843)+1,""))</f>
        <v/>
      </c>
    </row>
    <row r="2845" customFormat="false" ht="15" hidden="false" customHeight="false" outlineLevel="0" collapsed="false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  <c r="AP2845" s="2"/>
      <c r="AQ2845" s="2"/>
      <c r="AR2845" s="2"/>
      <c r="AS2845" s="2"/>
      <c r="AT2845" s="2"/>
      <c r="AU2845" s="2"/>
      <c r="AV2845" s="7" t="str">
        <f aca="false">IF(B2845="","",IF(COUNTIF($B$2:B2845,B2845)=1,MAX($AV$1:AV2844)+1,""))</f>
        <v/>
      </c>
    </row>
    <row r="2846" customFormat="false" ht="15" hidden="false" customHeight="false" outlineLevel="0" collapsed="false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  <c r="AP2846" s="2"/>
      <c r="AQ2846" s="2"/>
      <c r="AR2846" s="2"/>
      <c r="AS2846" s="2"/>
      <c r="AT2846" s="2"/>
      <c r="AU2846" s="2"/>
      <c r="AV2846" s="7" t="str">
        <f aca="false">IF(B2846="","",IF(COUNTIF($B$2:B2846,B2846)=1,MAX($AV$1:AV2845)+1,""))</f>
        <v/>
      </c>
    </row>
    <row r="2847" customFormat="false" ht="15" hidden="false" customHeight="false" outlineLevel="0" collapsed="false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  <c r="AP2847" s="2"/>
      <c r="AQ2847" s="2"/>
      <c r="AR2847" s="2"/>
      <c r="AS2847" s="2"/>
      <c r="AT2847" s="2"/>
      <c r="AU2847" s="2"/>
      <c r="AV2847" s="7" t="str">
        <f aca="false">IF(B2847="","",IF(COUNTIF($B$2:B2847,B2847)=1,MAX($AV$1:AV2846)+1,""))</f>
        <v/>
      </c>
    </row>
    <row r="2848" customFormat="false" ht="15" hidden="false" customHeight="false" outlineLevel="0" collapsed="false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2"/>
      <c r="AQ2848" s="2"/>
      <c r="AR2848" s="2"/>
      <c r="AS2848" s="2"/>
      <c r="AT2848" s="2"/>
      <c r="AU2848" s="2"/>
      <c r="AV2848" s="7" t="str">
        <f aca="false">IF(B2848="","",IF(COUNTIF($B$2:B2848,B2848)=1,MAX($AV$1:AV2847)+1,""))</f>
        <v/>
      </c>
    </row>
    <row r="2849" customFormat="false" ht="15" hidden="false" customHeight="false" outlineLevel="0" collapsed="false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  <c r="AP2849" s="2"/>
      <c r="AQ2849" s="2"/>
      <c r="AR2849" s="2"/>
      <c r="AS2849" s="2"/>
      <c r="AT2849" s="2"/>
      <c r="AU2849" s="2"/>
      <c r="AV2849" s="7" t="str">
        <f aca="false">IF(B2849="","",IF(COUNTIF($B$2:B2849,B2849)=1,MAX($AV$1:AV2848)+1,""))</f>
        <v/>
      </c>
    </row>
    <row r="2850" customFormat="false" ht="15" hidden="false" customHeight="false" outlineLevel="0" collapsed="false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  <c r="AP2850" s="2"/>
      <c r="AQ2850" s="2"/>
      <c r="AR2850" s="2"/>
      <c r="AS2850" s="2"/>
      <c r="AT2850" s="2"/>
      <c r="AU2850" s="2"/>
      <c r="AV2850" s="7" t="str">
        <f aca="false">IF(B2850="","",IF(COUNTIF($B$2:B2850,B2850)=1,MAX($AV$1:AV2849)+1,""))</f>
        <v/>
      </c>
    </row>
    <row r="2851" customFormat="false" ht="15" hidden="false" customHeight="false" outlineLevel="0" collapsed="false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  <c r="AP2851" s="2"/>
      <c r="AQ2851" s="2"/>
      <c r="AR2851" s="2"/>
      <c r="AS2851" s="2"/>
      <c r="AT2851" s="2"/>
      <c r="AU2851" s="2"/>
      <c r="AV2851" s="7" t="str">
        <f aca="false">IF(B2851="","",IF(COUNTIF($B$2:B2851,B2851)=1,MAX($AV$1:AV2850)+1,""))</f>
        <v/>
      </c>
    </row>
    <row r="2852" customFormat="false" ht="15" hidden="false" customHeight="false" outlineLevel="0" collapsed="false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  <c r="AP2852" s="2"/>
      <c r="AQ2852" s="2"/>
      <c r="AR2852" s="2"/>
      <c r="AS2852" s="2"/>
      <c r="AT2852" s="2"/>
      <c r="AU2852" s="2"/>
      <c r="AV2852" s="7" t="str">
        <f aca="false">IF(B2852="","",IF(COUNTIF($B$2:B2852,B2852)=1,MAX($AV$1:AV2851)+1,""))</f>
        <v/>
      </c>
    </row>
    <row r="2853" customFormat="false" ht="15" hidden="false" customHeight="false" outlineLevel="0" collapsed="false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  <c r="AP2853" s="2"/>
      <c r="AQ2853" s="2"/>
      <c r="AR2853" s="2"/>
      <c r="AS2853" s="2"/>
      <c r="AT2853" s="2"/>
      <c r="AU2853" s="2"/>
      <c r="AV2853" s="7" t="str">
        <f aca="false">IF(B2853="","",IF(COUNTIF($B$2:B2853,B2853)=1,MAX($AV$1:AV2852)+1,""))</f>
        <v/>
      </c>
    </row>
    <row r="2854" customFormat="false" ht="15" hidden="false" customHeight="false" outlineLevel="0" collapsed="false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  <c r="AP2854" s="2"/>
      <c r="AQ2854" s="2"/>
      <c r="AR2854" s="2"/>
      <c r="AS2854" s="2"/>
      <c r="AT2854" s="2"/>
      <c r="AU2854" s="2"/>
      <c r="AV2854" s="7" t="str">
        <f aca="false">IF(B2854="","",IF(COUNTIF($B$2:B2854,B2854)=1,MAX($AV$1:AV2853)+1,""))</f>
        <v/>
      </c>
    </row>
    <row r="2855" customFormat="false" ht="15" hidden="false" customHeight="false" outlineLevel="0" collapsed="false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  <c r="AP2855" s="2"/>
      <c r="AQ2855" s="2"/>
      <c r="AR2855" s="2"/>
      <c r="AS2855" s="2"/>
      <c r="AT2855" s="2"/>
      <c r="AU2855" s="2"/>
      <c r="AV2855" s="7" t="str">
        <f aca="false">IF(B2855="","",IF(COUNTIF($B$2:B2855,B2855)=1,MAX($AV$1:AV2854)+1,""))</f>
        <v/>
      </c>
    </row>
    <row r="2856" customFormat="false" ht="15" hidden="false" customHeight="false" outlineLevel="0" collapsed="false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  <c r="AP2856" s="2"/>
      <c r="AQ2856" s="2"/>
      <c r="AR2856" s="2"/>
      <c r="AS2856" s="2"/>
      <c r="AT2856" s="2"/>
      <c r="AU2856" s="2"/>
      <c r="AV2856" s="7" t="str">
        <f aca="false">IF(B2856="","",IF(COUNTIF($B$2:B2856,B2856)=1,MAX($AV$1:AV2855)+1,""))</f>
        <v/>
      </c>
    </row>
    <row r="2857" customFormat="false" ht="15" hidden="false" customHeight="false" outlineLevel="0" collapsed="false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  <c r="AP2857" s="2"/>
      <c r="AQ2857" s="2"/>
      <c r="AR2857" s="2"/>
      <c r="AS2857" s="2"/>
      <c r="AT2857" s="2"/>
      <c r="AU2857" s="2"/>
      <c r="AV2857" s="7" t="str">
        <f aca="false">IF(B2857="","",IF(COUNTIF($B$2:B2857,B2857)=1,MAX($AV$1:AV2856)+1,""))</f>
        <v/>
      </c>
    </row>
    <row r="2858" customFormat="false" ht="15" hidden="false" customHeight="false" outlineLevel="0" collapsed="false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  <c r="AP2858" s="2"/>
      <c r="AQ2858" s="2"/>
      <c r="AR2858" s="2"/>
      <c r="AS2858" s="2"/>
      <c r="AT2858" s="2"/>
      <c r="AU2858" s="2"/>
      <c r="AV2858" s="7" t="str">
        <f aca="false">IF(B2858="","",IF(COUNTIF($B$2:B2858,B2858)=1,MAX($AV$1:AV2857)+1,""))</f>
        <v/>
      </c>
    </row>
    <row r="2859" customFormat="false" ht="15" hidden="false" customHeight="false" outlineLevel="0" collapsed="false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  <c r="AP2859" s="2"/>
      <c r="AQ2859" s="2"/>
      <c r="AR2859" s="2"/>
      <c r="AS2859" s="2"/>
      <c r="AT2859" s="2"/>
      <c r="AU2859" s="2"/>
      <c r="AV2859" s="7" t="str">
        <f aca="false">IF(B2859="","",IF(COUNTIF($B$2:B2859,B2859)=1,MAX($AV$1:AV2858)+1,""))</f>
        <v/>
      </c>
    </row>
    <row r="2860" customFormat="false" ht="15" hidden="false" customHeight="false" outlineLevel="0" collapsed="false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  <c r="AP2860" s="2"/>
      <c r="AQ2860" s="2"/>
      <c r="AR2860" s="2"/>
      <c r="AS2860" s="2"/>
      <c r="AT2860" s="2"/>
      <c r="AU2860" s="2"/>
      <c r="AV2860" s="7" t="str">
        <f aca="false">IF(B2860="","",IF(COUNTIF($B$2:B2860,B2860)=1,MAX($AV$1:AV2859)+1,""))</f>
        <v/>
      </c>
    </row>
    <row r="2861" customFormat="false" ht="15" hidden="false" customHeight="false" outlineLevel="0" collapsed="false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  <c r="AK2861" s="2"/>
      <c r="AL2861" s="2"/>
      <c r="AM2861" s="2"/>
      <c r="AN2861" s="2"/>
      <c r="AO2861" s="2"/>
      <c r="AP2861" s="2"/>
      <c r="AQ2861" s="2"/>
      <c r="AR2861" s="2"/>
      <c r="AS2861" s="2"/>
      <c r="AT2861" s="2"/>
      <c r="AU2861" s="2"/>
      <c r="AV2861" s="7" t="str">
        <f aca="false">IF(B2861="","",IF(COUNTIF($B$2:B2861,B2861)=1,MAX($AV$1:AV2860)+1,""))</f>
        <v/>
      </c>
    </row>
    <row r="2862" customFormat="false" ht="15" hidden="false" customHeight="false" outlineLevel="0" collapsed="false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  <c r="AJ2862" s="2"/>
      <c r="AK2862" s="2"/>
      <c r="AL2862" s="2"/>
      <c r="AM2862" s="2"/>
      <c r="AN2862" s="2"/>
      <c r="AO2862" s="2"/>
      <c r="AP2862" s="2"/>
      <c r="AQ2862" s="2"/>
      <c r="AR2862" s="2"/>
      <c r="AS2862" s="2"/>
      <c r="AT2862" s="2"/>
      <c r="AU2862" s="2"/>
      <c r="AV2862" s="7" t="str">
        <f aca="false">IF(B2862="","",IF(COUNTIF($B$2:B2862,B2862)=1,MAX($AV$1:AV2861)+1,""))</f>
        <v/>
      </c>
    </row>
    <row r="2863" customFormat="false" ht="15" hidden="false" customHeight="false" outlineLevel="0" collapsed="false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  <c r="AJ2863" s="2"/>
      <c r="AK2863" s="2"/>
      <c r="AL2863" s="2"/>
      <c r="AM2863" s="2"/>
      <c r="AN2863" s="2"/>
      <c r="AO2863" s="2"/>
      <c r="AP2863" s="2"/>
      <c r="AQ2863" s="2"/>
      <c r="AR2863" s="2"/>
      <c r="AS2863" s="2"/>
      <c r="AT2863" s="2"/>
      <c r="AU2863" s="2"/>
      <c r="AV2863" s="7" t="str">
        <f aca="false">IF(B2863="","",IF(COUNTIF($B$2:B2863,B2863)=1,MAX($AV$1:AV2862)+1,""))</f>
        <v/>
      </c>
    </row>
    <row r="2864" customFormat="false" ht="15" hidden="false" customHeight="false" outlineLevel="0" collapsed="false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  <c r="AP2864" s="2"/>
      <c r="AQ2864" s="2"/>
      <c r="AR2864" s="2"/>
      <c r="AS2864" s="2"/>
      <c r="AT2864" s="2"/>
      <c r="AU2864" s="2"/>
      <c r="AV2864" s="7" t="str">
        <f aca="false">IF(B2864="","",IF(COUNTIF($B$2:B2864,B2864)=1,MAX($AV$1:AV2863)+1,""))</f>
        <v/>
      </c>
    </row>
    <row r="2865" customFormat="false" ht="15" hidden="false" customHeight="false" outlineLevel="0" collapsed="false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  <c r="AP2865" s="2"/>
      <c r="AQ2865" s="2"/>
      <c r="AR2865" s="2"/>
      <c r="AS2865" s="2"/>
      <c r="AT2865" s="2"/>
      <c r="AU2865" s="2"/>
      <c r="AV2865" s="7" t="str">
        <f aca="false">IF(B2865="","",IF(COUNTIF($B$2:B2865,B2865)=1,MAX($AV$1:AV2864)+1,""))</f>
        <v/>
      </c>
    </row>
    <row r="2866" customFormat="false" ht="15" hidden="false" customHeight="false" outlineLevel="0" collapsed="false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  <c r="AP2866" s="2"/>
      <c r="AQ2866" s="2"/>
      <c r="AR2866" s="2"/>
      <c r="AS2866" s="2"/>
      <c r="AT2866" s="2"/>
      <c r="AU2866" s="2"/>
      <c r="AV2866" s="7" t="str">
        <f aca="false">IF(B2866="","",IF(COUNTIF($B$2:B2866,B2866)=1,MAX($AV$1:AV2865)+1,""))</f>
        <v/>
      </c>
    </row>
    <row r="2867" customFormat="false" ht="15" hidden="false" customHeight="false" outlineLevel="0" collapsed="false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  <c r="AP2867" s="2"/>
      <c r="AQ2867" s="2"/>
      <c r="AR2867" s="2"/>
      <c r="AS2867" s="2"/>
      <c r="AT2867" s="2"/>
      <c r="AU2867" s="2"/>
      <c r="AV2867" s="7" t="str">
        <f aca="false">IF(B2867="","",IF(COUNTIF($B$2:B2867,B2867)=1,MAX($AV$1:AV2866)+1,""))</f>
        <v/>
      </c>
    </row>
    <row r="2868" customFormat="false" ht="15" hidden="false" customHeight="false" outlineLevel="0" collapsed="false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  <c r="AP2868" s="2"/>
      <c r="AQ2868" s="2"/>
      <c r="AR2868" s="2"/>
      <c r="AS2868" s="2"/>
      <c r="AT2868" s="2"/>
      <c r="AU2868" s="2"/>
      <c r="AV2868" s="7" t="str">
        <f aca="false">IF(B2868="","",IF(COUNTIF($B$2:B2868,B2868)=1,MAX($AV$1:AV2867)+1,""))</f>
        <v/>
      </c>
    </row>
    <row r="2869" customFormat="false" ht="15" hidden="false" customHeight="false" outlineLevel="0" collapsed="false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  <c r="AP2869" s="2"/>
      <c r="AQ2869" s="2"/>
      <c r="AR2869" s="2"/>
      <c r="AS2869" s="2"/>
      <c r="AT2869" s="2"/>
      <c r="AU2869" s="2"/>
      <c r="AV2869" s="7" t="str">
        <f aca="false">IF(B2869="","",IF(COUNTIF($B$2:B2869,B2869)=1,MAX($AV$1:AV2868)+1,""))</f>
        <v/>
      </c>
    </row>
    <row r="2870" customFormat="false" ht="15" hidden="false" customHeight="false" outlineLevel="0" collapsed="false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  <c r="AP2870" s="2"/>
      <c r="AQ2870" s="2"/>
      <c r="AR2870" s="2"/>
      <c r="AS2870" s="2"/>
      <c r="AT2870" s="2"/>
      <c r="AU2870" s="2"/>
      <c r="AV2870" s="7" t="str">
        <f aca="false">IF(B2870="","",IF(COUNTIF($B$2:B2870,B2870)=1,MAX($AV$1:AV2869)+1,""))</f>
        <v/>
      </c>
    </row>
    <row r="2871" customFormat="false" ht="15" hidden="false" customHeight="false" outlineLevel="0" collapsed="false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  <c r="AP2871" s="2"/>
      <c r="AQ2871" s="2"/>
      <c r="AR2871" s="2"/>
      <c r="AS2871" s="2"/>
      <c r="AT2871" s="2"/>
      <c r="AU2871" s="2"/>
      <c r="AV2871" s="7" t="str">
        <f aca="false">IF(B2871="","",IF(COUNTIF($B$2:B2871,B2871)=1,MAX($AV$1:AV2870)+1,""))</f>
        <v/>
      </c>
    </row>
    <row r="2872" customFormat="false" ht="15" hidden="false" customHeight="false" outlineLevel="0" collapsed="false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  <c r="AP2872" s="2"/>
      <c r="AQ2872" s="2"/>
      <c r="AR2872" s="2"/>
      <c r="AS2872" s="2"/>
      <c r="AT2872" s="2"/>
      <c r="AU2872" s="2"/>
      <c r="AV2872" s="7" t="str">
        <f aca="false">IF(B2872="","",IF(COUNTIF($B$2:B2872,B2872)=1,MAX($AV$1:AV2871)+1,""))</f>
        <v/>
      </c>
    </row>
    <row r="2873" customFormat="false" ht="15" hidden="false" customHeight="false" outlineLevel="0" collapsed="false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  <c r="AP2873" s="2"/>
      <c r="AQ2873" s="2"/>
      <c r="AR2873" s="2"/>
      <c r="AS2873" s="2"/>
      <c r="AT2873" s="2"/>
      <c r="AU2873" s="2"/>
      <c r="AV2873" s="7" t="str">
        <f aca="false">IF(B2873="","",IF(COUNTIF($B$2:B2873,B2873)=1,MAX($AV$1:AV2872)+1,""))</f>
        <v/>
      </c>
    </row>
    <row r="2874" customFormat="false" ht="15" hidden="false" customHeight="false" outlineLevel="0" collapsed="false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  <c r="AP2874" s="2"/>
      <c r="AQ2874" s="2"/>
      <c r="AR2874" s="2"/>
      <c r="AS2874" s="2"/>
      <c r="AT2874" s="2"/>
      <c r="AU2874" s="2"/>
      <c r="AV2874" s="7" t="str">
        <f aca="false">IF(B2874="","",IF(COUNTIF($B$2:B2874,B2874)=1,MAX($AV$1:AV2873)+1,""))</f>
        <v/>
      </c>
    </row>
    <row r="2875" customFormat="false" ht="15" hidden="false" customHeight="false" outlineLevel="0" collapsed="false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2"/>
      <c r="AM2875" s="2"/>
      <c r="AN2875" s="2"/>
      <c r="AO2875" s="2"/>
      <c r="AP2875" s="2"/>
      <c r="AQ2875" s="2"/>
      <c r="AR2875" s="2"/>
      <c r="AS2875" s="2"/>
      <c r="AT2875" s="2"/>
      <c r="AU2875" s="2"/>
      <c r="AV2875" s="7" t="str">
        <f aca="false">IF(B2875="","",IF(COUNTIF($B$2:B2875,B2875)=1,MAX($AV$1:AV2874)+1,""))</f>
        <v/>
      </c>
    </row>
    <row r="2876" customFormat="false" ht="15" hidden="false" customHeight="false" outlineLevel="0" collapsed="false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  <c r="AP2876" s="2"/>
      <c r="AQ2876" s="2"/>
      <c r="AR2876" s="2"/>
      <c r="AS2876" s="2"/>
      <c r="AT2876" s="2"/>
      <c r="AU2876" s="2"/>
      <c r="AV2876" s="7" t="str">
        <f aca="false">IF(B2876="","",IF(COUNTIF($B$2:B2876,B2876)=1,MAX($AV$1:AV2875)+1,""))</f>
        <v/>
      </c>
    </row>
    <row r="2877" customFormat="false" ht="15" hidden="false" customHeight="false" outlineLevel="0" collapsed="false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  <c r="AP2877" s="2"/>
      <c r="AQ2877" s="2"/>
      <c r="AR2877" s="2"/>
      <c r="AS2877" s="2"/>
      <c r="AT2877" s="2"/>
      <c r="AU2877" s="2"/>
      <c r="AV2877" s="7" t="str">
        <f aca="false">IF(B2877="","",IF(COUNTIF($B$2:B2877,B2877)=1,MAX($AV$1:AV2876)+1,""))</f>
        <v/>
      </c>
    </row>
    <row r="2878" customFormat="false" ht="15" hidden="false" customHeight="false" outlineLevel="0" collapsed="false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  <c r="AP2878" s="2"/>
      <c r="AQ2878" s="2"/>
      <c r="AR2878" s="2"/>
      <c r="AS2878" s="2"/>
      <c r="AT2878" s="2"/>
      <c r="AU2878" s="2"/>
      <c r="AV2878" s="7" t="str">
        <f aca="false">IF(B2878="","",IF(COUNTIF($B$2:B2878,B2878)=1,MAX($AV$1:AV2877)+1,""))</f>
        <v/>
      </c>
    </row>
    <row r="2879" customFormat="false" ht="15" hidden="false" customHeight="false" outlineLevel="0" collapsed="false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  <c r="AP2879" s="2"/>
      <c r="AQ2879" s="2"/>
      <c r="AR2879" s="2"/>
      <c r="AS2879" s="2"/>
      <c r="AT2879" s="2"/>
      <c r="AU2879" s="2"/>
      <c r="AV2879" s="7" t="str">
        <f aca="false">IF(B2879="","",IF(COUNTIF($B$2:B2879,B2879)=1,MAX($AV$1:AV2878)+1,""))</f>
        <v/>
      </c>
    </row>
    <row r="2880" customFormat="false" ht="15" hidden="false" customHeight="false" outlineLevel="0" collapsed="false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  <c r="AP2880" s="2"/>
      <c r="AQ2880" s="2"/>
      <c r="AR2880" s="2"/>
      <c r="AS2880" s="2"/>
      <c r="AT2880" s="2"/>
      <c r="AU2880" s="2"/>
      <c r="AV2880" s="7" t="str">
        <f aca="false">IF(B2880="","",IF(COUNTIF($B$2:B2880,B2880)=1,MAX($AV$1:AV2879)+1,""))</f>
        <v/>
      </c>
    </row>
    <row r="2881" customFormat="false" ht="15" hidden="false" customHeight="false" outlineLevel="0" collapsed="false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  <c r="AP2881" s="2"/>
      <c r="AQ2881" s="2"/>
      <c r="AR2881" s="2"/>
      <c r="AS2881" s="2"/>
      <c r="AT2881" s="2"/>
      <c r="AU2881" s="2"/>
      <c r="AV2881" s="7" t="str">
        <f aca="false">IF(B2881="","",IF(COUNTIF($B$2:B2881,B2881)=1,MAX($AV$1:AV2880)+1,""))</f>
        <v/>
      </c>
    </row>
    <row r="2882" customFormat="false" ht="15" hidden="false" customHeight="false" outlineLevel="0" collapsed="false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  <c r="AP2882" s="2"/>
      <c r="AQ2882" s="2"/>
      <c r="AR2882" s="2"/>
      <c r="AS2882" s="2"/>
      <c r="AT2882" s="2"/>
      <c r="AU2882" s="2"/>
      <c r="AV2882" s="7" t="str">
        <f aca="false">IF(B2882="","",IF(COUNTIF($B$2:B2882,B2882)=1,MAX($AV$1:AV2881)+1,""))</f>
        <v/>
      </c>
    </row>
    <row r="2883" customFormat="false" ht="15" hidden="false" customHeight="false" outlineLevel="0" collapsed="false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  <c r="AM2883" s="2"/>
      <c r="AN2883" s="2"/>
      <c r="AO2883" s="2"/>
      <c r="AP2883" s="2"/>
      <c r="AQ2883" s="2"/>
      <c r="AR2883" s="2"/>
      <c r="AS2883" s="2"/>
      <c r="AT2883" s="2"/>
      <c r="AU2883" s="2"/>
      <c r="AV2883" s="7" t="str">
        <f aca="false">IF(B2883="","",IF(COUNTIF($B$2:B2883,B2883)=1,MAX($AV$1:AV2882)+1,""))</f>
        <v/>
      </c>
    </row>
    <row r="2884" customFormat="false" ht="15" hidden="false" customHeight="false" outlineLevel="0" collapsed="false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  <c r="AM2884" s="2"/>
      <c r="AN2884" s="2"/>
      <c r="AO2884" s="2"/>
      <c r="AP2884" s="2"/>
      <c r="AQ2884" s="2"/>
      <c r="AR2884" s="2"/>
      <c r="AS2884" s="2"/>
      <c r="AT2884" s="2"/>
      <c r="AU2884" s="2"/>
      <c r="AV2884" s="7" t="str">
        <f aca="false">IF(B2884="","",IF(COUNTIF($B$2:B2884,B2884)=1,MAX($AV$1:AV2883)+1,""))</f>
        <v/>
      </c>
    </row>
    <row r="2885" customFormat="false" ht="15" hidden="false" customHeight="false" outlineLevel="0" collapsed="false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  <c r="AJ2885" s="2"/>
      <c r="AK2885" s="2"/>
      <c r="AL2885" s="2"/>
      <c r="AM2885" s="2"/>
      <c r="AN2885" s="2"/>
      <c r="AO2885" s="2"/>
      <c r="AP2885" s="2"/>
      <c r="AQ2885" s="2"/>
      <c r="AR2885" s="2"/>
      <c r="AS2885" s="2"/>
      <c r="AT2885" s="2"/>
      <c r="AU2885" s="2"/>
      <c r="AV2885" s="7" t="str">
        <f aca="false">IF(B2885="","",IF(COUNTIF($B$2:B2885,B2885)=1,MAX($AV$1:AV2884)+1,""))</f>
        <v/>
      </c>
    </row>
    <row r="2886" customFormat="false" ht="15" hidden="false" customHeight="false" outlineLevel="0" collapsed="false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2"/>
      <c r="AL2886" s="2"/>
      <c r="AM2886" s="2"/>
      <c r="AN2886" s="2"/>
      <c r="AO2886" s="2"/>
      <c r="AP2886" s="2"/>
      <c r="AQ2886" s="2"/>
      <c r="AR2886" s="2"/>
      <c r="AS2886" s="2"/>
      <c r="AT2886" s="2"/>
      <c r="AU2886" s="2"/>
      <c r="AV2886" s="7" t="str">
        <f aca="false">IF(B2886="","",IF(COUNTIF($B$2:B2886,B2886)=1,MAX($AV$1:AV2885)+1,""))</f>
        <v/>
      </c>
    </row>
    <row r="2887" customFormat="false" ht="15" hidden="false" customHeight="false" outlineLevel="0" collapsed="false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/>
      <c r="AL2887" s="2"/>
      <c r="AM2887" s="2"/>
      <c r="AN2887" s="2"/>
      <c r="AO2887" s="2"/>
      <c r="AP2887" s="2"/>
      <c r="AQ2887" s="2"/>
      <c r="AR2887" s="2"/>
      <c r="AS2887" s="2"/>
      <c r="AT2887" s="2"/>
      <c r="AU2887" s="2"/>
      <c r="AV2887" s="7" t="str">
        <f aca="false">IF(B2887="","",IF(COUNTIF($B$2:B2887,B2887)=1,MAX($AV$1:AV2886)+1,""))</f>
        <v/>
      </c>
    </row>
    <row r="2888" customFormat="false" ht="15" hidden="false" customHeight="false" outlineLevel="0" collapsed="false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2"/>
      <c r="AL2888" s="2"/>
      <c r="AM2888" s="2"/>
      <c r="AN2888" s="2"/>
      <c r="AO2888" s="2"/>
      <c r="AP2888" s="2"/>
      <c r="AQ2888" s="2"/>
      <c r="AR2888" s="2"/>
      <c r="AS2888" s="2"/>
      <c r="AT2888" s="2"/>
      <c r="AU2888" s="2"/>
      <c r="AV2888" s="7" t="str">
        <f aca="false">IF(B2888="","",IF(COUNTIF($B$2:B2888,B2888)=1,MAX($AV$1:AV2887)+1,""))</f>
        <v/>
      </c>
    </row>
    <row r="2889" customFormat="false" ht="15" hidden="false" customHeight="false" outlineLevel="0" collapsed="false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/>
      <c r="AL2889" s="2"/>
      <c r="AM2889" s="2"/>
      <c r="AN2889" s="2"/>
      <c r="AO2889" s="2"/>
      <c r="AP2889" s="2"/>
      <c r="AQ2889" s="2"/>
      <c r="AR2889" s="2"/>
      <c r="AS2889" s="2"/>
      <c r="AT2889" s="2"/>
      <c r="AU2889" s="2"/>
      <c r="AV2889" s="7" t="str">
        <f aca="false">IF(B2889="","",IF(COUNTIF($B$2:B2889,B2889)=1,MAX($AV$1:AV2888)+1,""))</f>
        <v/>
      </c>
    </row>
    <row r="2890" customFormat="false" ht="15" hidden="false" customHeight="false" outlineLevel="0" collapsed="false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  <c r="AL2890" s="2"/>
      <c r="AM2890" s="2"/>
      <c r="AN2890" s="2"/>
      <c r="AO2890" s="2"/>
      <c r="AP2890" s="2"/>
      <c r="AQ2890" s="2"/>
      <c r="AR2890" s="2"/>
      <c r="AS2890" s="2"/>
      <c r="AT2890" s="2"/>
      <c r="AU2890" s="2"/>
      <c r="AV2890" s="7" t="str">
        <f aca="false">IF(B2890="","",IF(COUNTIF($B$2:B2890,B2890)=1,MAX($AV$1:AV2889)+1,""))</f>
        <v/>
      </c>
    </row>
    <row r="2891" customFormat="false" ht="15" hidden="false" customHeight="false" outlineLevel="0" collapsed="false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  <c r="AJ2891" s="2"/>
      <c r="AK2891" s="2"/>
      <c r="AL2891" s="2"/>
      <c r="AM2891" s="2"/>
      <c r="AN2891" s="2"/>
      <c r="AO2891" s="2"/>
      <c r="AP2891" s="2"/>
      <c r="AQ2891" s="2"/>
      <c r="AR2891" s="2"/>
      <c r="AS2891" s="2"/>
      <c r="AT2891" s="2"/>
      <c r="AU2891" s="2"/>
      <c r="AV2891" s="7" t="str">
        <f aca="false">IF(B2891="","",IF(COUNTIF($B$2:B2891,B2891)=1,MAX($AV$1:AV2890)+1,""))</f>
        <v/>
      </c>
    </row>
    <row r="2892" customFormat="false" ht="15" hidden="false" customHeight="false" outlineLevel="0" collapsed="false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  <c r="AM2892" s="2"/>
      <c r="AN2892" s="2"/>
      <c r="AO2892" s="2"/>
      <c r="AP2892" s="2"/>
      <c r="AQ2892" s="2"/>
      <c r="AR2892" s="2"/>
      <c r="AS2892" s="2"/>
      <c r="AT2892" s="2"/>
      <c r="AU2892" s="2"/>
      <c r="AV2892" s="7" t="str">
        <f aca="false">IF(B2892="","",IF(COUNTIF($B$2:B2892,B2892)=1,MAX($AV$1:AV2891)+1,""))</f>
        <v/>
      </c>
    </row>
    <row r="2893" customFormat="false" ht="15" hidden="false" customHeight="false" outlineLevel="0" collapsed="false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2"/>
      <c r="AJ2893" s="2"/>
      <c r="AK2893" s="2"/>
      <c r="AL2893" s="2"/>
      <c r="AM2893" s="2"/>
      <c r="AN2893" s="2"/>
      <c r="AO2893" s="2"/>
      <c r="AP2893" s="2"/>
      <c r="AQ2893" s="2"/>
      <c r="AR2893" s="2"/>
      <c r="AS2893" s="2"/>
      <c r="AT2893" s="2"/>
      <c r="AU2893" s="2"/>
      <c r="AV2893" s="7" t="str">
        <f aca="false">IF(B2893="","",IF(COUNTIF($B$2:B2893,B2893)=1,MAX($AV$1:AV2892)+1,""))</f>
        <v/>
      </c>
    </row>
    <row r="2894" customFormat="false" ht="15" hidden="false" customHeight="false" outlineLevel="0" collapsed="false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  <c r="AP2894" s="2"/>
      <c r="AQ2894" s="2"/>
      <c r="AR2894" s="2"/>
      <c r="AS2894" s="2"/>
      <c r="AT2894" s="2"/>
      <c r="AU2894" s="2"/>
      <c r="AV2894" s="7" t="str">
        <f aca="false">IF(B2894="","",IF(COUNTIF($B$2:B2894,B2894)=1,MAX($AV$1:AV2893)+1,""))</f>
        <v/>
      </c>
    </row>
    <row r="2895" customFormat="false" ht="15" hidden="false" customHeight="false" outlineLevel="0" collapsed="false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  <c r="AK2895" s="2"/>
      <c r="AL2895" s="2"/>
      <c r="AM2895" s="2"/>
      <c r="AN2895" s="2"/>
      <c r="AO2895" s="2"/>
      <c r="AP2895" s="2"/>
      <c r="AQ2895" s="2"/>
      <c r="AR2895" s="2"/>
      <c r="AS2895" s="2"/>
      <c r="AT2895" s="2"/>
      <c r="AU2895" s="2"/>
      <c r="AV2895" s="7" t="str">
        <f aca="false">IF(B2895="","",IF(COUNTIF($B$2:B2895,B2895)=1,MAX($AV$1:AV2894)+1,""))</f>
        <v/>
      </c>
    </row>
    <row r="2896" customFormat="false" ht="15" hidden="false" customHeight="false" outlineLevel="0" collapsed="false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  <c r="AP2896" s="2"/>
      <c r="AQ2896" s="2"/>
      <c r="AR2896" s="2"/>
      <c r="AS2896" s="2"/>
      <c r="AT2896" s="2"/>
      <c r="AU2896" s="2"/>
      <c r="AV2896" s="7" t="str">
        <f aca="false">IF(B2896="","",IF(COUNTIF($B$2:B2896,B2896)=1,MAX($AV$1:AV2895)+1,""))</f>
        <v/>
      </c>
    </row>
    <row r="2897" customFormat="false" ht="15" hidden="false" customHeight="false" outlineLevel="0" collapsed="false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/>
      <c r="AM2897" s="2"/>
      <c r="AN2897" s="2"/>
      <c r="AO2897" s="2"/>
      <c r="AP2897" s="2"/>
      <c r="AQ2897" s="2"/>
      <c r="AR2897" s="2"/>
      <c r="AS2897" s="2"/>
      <c r="AT2897" s="2"/>
      <c r="AU2897" s="2"/>
      <c r="AV2897" s="7" t="str">
        <f aca="false">IF(B2897="","",IF(COUNTIF($B$2:B2897,B2897)=1,MAX($AV$1:AV2896)+1,""))</f>
        <v/>
      </c>
    </row>
    <row r="2898" customFormat="false" ht="15" hidden="false" customHeight="false" outlineLevel="0" collapsed="false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  <c r="AL2898" s="2"/>
      <c r="AM2898" s="2"/>
      <c r="AN2898" s="2"/>
      <c r="AO2898" s="2"/>
      <c r="AP2898" s="2"/>
      <c r="AQ2898" s="2"/>
      <c r="AR2898" s="2"/>
      <c r="AS2898" s="2"/>
      <c r="AT2898" s="2"/>
      <c r="AU2898" s="2"/>
      <c r="AV2898" s="7" t="str">
        <f aca="false">IF(B2898="","",IF(COUNTIF($B$2:B2898,B2898)=1,MAX($AV$1:AV2897)+1,""))</f>
        <v/>
      </c>
    </row>
    <row r="2899" customFormat="false" ht="15" hidden="false" customHeight="false" outlineLevel="0" collapsed="false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/>
      <c r="AM2899" s="2"/>
      <c r="AN2899" s="2"/>
      <c r="AO2899" s="2"/>
      <c r="AP2899" s="2"/>
      <c r="AQ2899" s="2"/>
      <c r="AR2899" s="2"/>
      <c r="AS2899" s="2"/>
      <c r="AT2899" s="2"/>
      <c r="AU2899" s="2"/>
      <c r="AV2899" s="7" t="str">
        <f aca="false">IF(B2899="","",IF(COUNTIF($B$2:B2899,B2899)=1,MAX($AV$1:AV2898)+1,""))</f>
        <v/>
      </c>
    </row>
    <row r="2900" customFormat="false" ht="15" hidden="false" customHeight="false" outlineLevel="0" collapsed="false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2"/>
      <c r="AM2900" s="2"/>
      <c r="AN2900" s="2"/>
      <c r="AO2900" s="2"/>
      <c r="AP2900" s="2"/>
      <c r="AQ2900" s="2"/>
      <c r="AR2900" s="2"/>
      <c r="AS2900" s="2"/>
      <c r="AT2900" s="2"/>
      <c r="AU2900" s="2"/>
      <c r="AV2900" s="7" t="str">
        <f aca="false">IF(B2900="","",IF(COUNTIF($B$2:B2900,B2900)=1,MAX($AV$1:AV2899)+1,""))</f>
        <v/>
      </c>
    </row>
    <row r="2901" customFormat="false" ht="15" hidden="false" customHeight="false" outlineLevel="0" collapsed="false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  <c r="AL2901" s="2"/>
      <c r="AM2901" s="2"/>
      <c r="AN2901" s="2"/>
      <c r="AO2901" s="2"/>
      <c r="AP2901" s="2"/>
      <c r="AQ2901" s="2"/>
      <c r="AR2901" s="2"/>
      <c r="AS2901" s="2"/>
      <c r="AT2901" s="2"/>
      <c r="AU2901" s="2"/>
      <c r="AV2901" s="7" t="str">
        <f aca="false">IF(B2901="","",IF(COUNTIF($B$2:B2901,B2901)=1,MAX($AV$1:AV2900)+1,""))</f>
        <v/>
      </c>
    </row>
    <row r="2902" customFormat="false" ht="15" hidden="false" customHeight="false" outlineLevel="0" collapsed="false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2"/>
      <c r="AL2902" s="2"/>
      <c r="AM2902" s="2"/>
      <c r="AN2902" s="2"/>
      <c r="AO2902" s="2"/>
      <c r="AP2902" s="2"/>
      <c r="AQ2902" s="2"/>
      <c r="AR2902" s="2"/>
      <c r="AS2902" s="2"/>
      <c r="AT2902" s="2"/>
      <c r="AU2902" s="2"/>
      <c r="AV2902" s="7" t="str">
        <f aca="false">IF(B2902="","",IF(COUNTIF($B$2:B2902,B2902)=1,MAX($AV$1:AV2901)+1,""))</f>
        <v/>
      </c>
    </row>
    <row r="2903" customFormat="false" ht="15" hidden="false" customHeight="false" outlineLevel="0" collapsed="false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/>
      <c r="AL2903" s="2"/>
      <c r="AM2903" s="2"/>
      <c r="AN2903" s="2"/>
      <c r="AO2903" s="2"/>
      <c r="AP2903" s="2"/>
      <c r="AQ2903" s="2"/>
      <c r="AR2903" s="2"/>
      <c r="AS2903" s="2"/>
      <c r="AT2903" s="2"/>
      <c r="AU2903" s="2"/>
      <c r="AV2903" s="7" t="str">
        <f aca="false">IF(B2903="","",IF(COUNTIF($B$2:B2903,B2903)=1,MAX($AV$1:AV2902)+1,""))</f>
        <v/>
      </c>
    </row>
    <row r="2904" customFormat="false" ht="15" hidden="false" customHeight="false" outlineLevel="0" collapsed="false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/>
      <c r="AL2904" s="2"/>
      <c r="AM2904" s="2"/>
      <c r="AN2904" s="2"/>
      <c r="AO2904" s="2"/>
      <c r="AP2904" s="2"/>
      <c r="AQ2904" s="2"/>
      <c r="AR2904" s="2"/>
      <c r="AS2904" s="2"/>
      <c r="AT2904" s="2"/>
      <c r="AU2904" s="2"/>
      <c r="AV2904" s="7" t="str">
        <f aca="false">IF(B2904="","",IF(COUNTIF($B$2:B2904,B2904)=1,MAX($AV$1:AV2903)+1,""))</f>
        <v/>
      </c>
    </row>
    <row r="2905" customFormat="false" ht="15" hidden="false" customHeight="false" outlineLevel="0" collapsed="false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  <c r="AM2905" s="2"/>
      <c r="AN2905" s="2"/>
      <c r="AO2905" s="2"/>
      <c r="AP2905" s="2"/>
      <c r="AQ2905" s="2"/>
      <c r="AR2905" s="2"/>
      <c r="AS2905" s="2"/>
      <c r="AT2905" s="2"/>
      <c r="AU2905" s="2"/>
      <c r="AV2905" s="7" t="str">
        <f aca="false">IF(B2905="","",IF(COUNTIF($B$2:B2905,B2905)=1,MAX($AV$1:AV2904)+1,""))</f>
        <v/>
      </c>
    </row>
    <row r="2906" customFormat="false" ht="15" hidden="false" customHeight="false" outlineLevel="0" collapsed="false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/>
      <c r="AL2906" s="2"/>
      <c r="AM2906" s="2"/>
      <c r="AN2906" s="2"/>
      <c r="AO2906" s="2"/>
      <c r="AP2906" s="2"/>
      <c r="AQ2906" s="2"/>
      <c r="AR2906" s="2"/>
      <c r="AS2906" s="2"/>
      <c r="AT2906" s="2"/>
      <c r="AU2906" s="2"/>
      <c r="AV2906" s="7" t="str">
        <f aca="false">IF(B2906="","",IF(COUNTIF($B$2:B2906,B2906)=1,MAX($AV$1:AV2905)+1,""))</f>
        <v/>
      </c>
    </row>
    <row r="2907" customFormat="false" ht="15" hidden="false" customHeight="false" outlineLevel="0" collapsed="false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  <c r="AP2907" s="2"/>
      <c r="AQ2907" s="2"/>
      <c r="AR2907" s="2"/>
      <c r="AS2907" s="2"/>
      <c r="AT2907" s="2"/>
      <c r="AU2907" s="2"/>
      <c r="AV2907" s="7" t="str">
        <f aca="false">IF(B2907="","",IF(COUNTIF($B$2:B2907,B2907)=1,MAX($AV$1:AV2906)+1,""))</f>
        <v/>
      </c>
    </row>
    <row r="2908" customFormat="false" ht="15" hidden="false" customHeight="false" outlineLevel="0" collapsed="false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  <c r="AP2908" s="2"/>
      <c r="AQ2908" s="2"/>
      <c r="AR2908" s="2"/>
      <c r="AS2908" s="2"/>
      <c r="AT2908" s="2"/>
      <c r="AU2908" s="2"/>
      <c r="AV2908" s="7" t="str">
        <f aca="false">IF(B2908="","",IF(COUNTIF($B$2:B2908,B2908)=1,MAX($AV$1:AV2907)+1,""))</f>
        <v/>
      </c>
    </row>
    <row r="2909" customFormat="false" ht="15" hidden="false" customHeight="false" outlineLevel="0" collapsed="false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  <c r="AL2909" s="2"/>
      <c r="AM2909" s="2"/>
      <c r="AN2909" s="2"/>
      <c r="AO2909" s="2"/>
      <c r="AP2909" s="2"/>
      <c r="AQ2909" s="2"/>
      <c r="AR2909" s="2"/>
      <c r="AS2909" s="2"/>
      <c r="AT2909" s="2"/>
      <c r="AU2909" s="2"/>
      <c r="AV2909" s="7" t="str">
        <f aca="false">IF(B2909="","",IF(COUNTIF($B$2:B2909,B2909)=1,MAX($AV$1:AV2908)+1,""))</f>
        <v/>
      </c>
    </row>
    <row r="2910" customFormat="false" ht="15" hidden="false" customHeight="false" outlineLevel="0" collapsed="false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  <c r="AM2910" s="2"/>
      <c r="AN2910" s="2"/>
      <c r="AO2910" s="2"/>
      <c r="AP2910" s="2"/>
      <c r="AQ2910" s="2"/>
      <c r="AR2910" s="2"/>
      <c r="AS2910" s="2"/>
      <c r="AT2910" s="2"/>
      <c r="AU2910" s="2"/>
      <c r="AV2910" s="7" t="str">
        <f aca="false">IF(B2910="","",IF(COUNTIF($B$2:B2910,B2910)=1,MAX($AV$1:AV2909)+1,""))</f>
        <v/>
      </c>
    </row>
    <row r="2911" customFormat="false" ht="15" hidden="false" customHeight="false" outlineLevel="0" collapsed="false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  <c r="AP2911" s="2"/>
      <c r="AQ2911" s="2"/>
      <c r="AR2911" s="2"/>
      <c r="AS2911" s="2"/>
      <c r="AT2911" s="2"/>
      <c r="AU2911" s="2"/>
      <c r="AV2911" s="7" t="str">
        <f aca="false">IF(B2911="","",IF(COUNTIF($B$2:B2911,B2911)=1,MAX($AV$1:AV2910)+1,""))</f>
        <v/>
      </c>
    </row>
    <row r="2912" customFormat="false" ht="15" hidden="false" customHeight="false" outlineLevel="0" collapsed="false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/>
      <c r="AL2912" s="2"/>
      <c r="AM2912" s="2"/>
      <c r="AN2912" s="2"/>
      <c r="AO2912" s="2"/>
      <c r="AP2912" s="2"/>
      <c r="AQ2912" s="2"/>
      <c r="AR2912" s="2"/>
      <c r="AS2912" s="2"/>
      <c r="AT2912" s="2"/>
      <c r="AU2912" s="2"/>
      <c r="AV2912" s="7" t="str">
        <f aca="false">IF(B2912="","",IF(COUNTIF($B$2:B2912,B2912)=1,MAX($AV$1:AV2911)+1,""))</f>
        <v/>
      </c>
    </row>
    <row r="2913" customFormat="false" ht="15" hidden="false" customHeight="false" outlineLevel="0" collapsed="false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2"/>
      <c r="AL2913" s="2"/>
      <c r="AM2913" s="2"/>
      <c r="AN2913" s="2"/>
      <c r="AO2913" s="2"/>
      <c r="AP2913" s="2"/>
      <c r="AQ2913" s="2"/>
      <c r="AR2913" s="2"/>
      <c r="AS2913" s="2"/>
      <c r="AT2913" s="2"/>
      <c r="AU2913" s="2"/>
      <c r="AV2913" s="7" t="str">
        <f aca="false">IF(B2913="","",IF(COUNTIF($B$2:B2913,B2913)=1,MAX($AV$1:AV2912)+1,""))</f>
        <v/>
      </c>
    </row>
    <row r="2914" customFormat="false" ht="15" hidden="false" customHeight="false" outlineLevel="0" collapsed="false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/>
      <c r="AL2914" s="2"/>
      <c r="AM2914" s="2"/>
      <c r="AN2914" s="2"/>
      <c r="AO2914" s="2"/>
      <c r="AP2914" s="2"/>
      <c r="AQ2914" s="2"/>
      <c r="AR2914" s="2"/>
      <c r="AS2914" s="2"/>
      <c r="AT2914" s="2"/>
      <c r="AU2914" s="2"/>
      <c r="AV2914" s="7" t="str">
        <f aca="false">IF(B2914="","",IF(COUNTIF($B$2:B2914,B2914)=1,MAX($AV$1:AV2913)+1,""))</f>
        <v/>
      </c>
    </row>
    <row r="2915" customFormat="false" ht="15" hidden="false" customHeight="false" outlineLevel="0" collapsed="false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/>
      <c r="AL2915" s="2"/>
      <c r="AM2915" s="2"/>
      <c r="AN2915" s="2"/>
      <c r="AO2915" s="2"/>
      <c r="AP2915" s="2"/>
      <c r="AQ2915" s="2"/>
      <c r="AR2915" s="2"/>
      <c r="AS2915" s="2"/>
      <c r="AT2915" s="2"/>
      <c r="AU2915" s="2"/>
      <c r="AV2915" s="7" t="str">
        <f aca="false">IF(B2915="","",IF(COUNTIF($B$2:B2915,B2915)=1,MAX($AV$1:AV2914)+1,""))</f>
        <v/>
      </c>
    </row>
    <row r="2916" customFormat="false" ht="15" hidden="false" customHeight="false" outlineLevel="0" collapsed="false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  <c r="AP2916" s="2"/>
      <c r="AQ2916" s="2"/>
      <c r="AR2916" s="2"/>
      <c r="AS2916" s="2"/>
      <c r="AT2916" s="2"/>
      <c r="AU2916" s="2"/>
      <c r="AV2916" s="7" t="str">
        <f aca="false">IF(B2916="","",IF(COUNTIF($B$2:B2916,B2916)=1,MAX($AV$1:AV2915)+1,""))</f>
        <v/>
      </c>
    </row>
    <row r="2917" customFormat="false" ht="15" hidden="false" customHeight="false" outlineLevel="0" collapsed="false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  <c r="AF2917" s="2"/>
      <c r="AG2917" s="2"/>
      <c r="AH2917" s="2"/>
      <c r="AI2917" s="2"/>
      <c r="AJ2917" s="2"/>
      <c r="AK2917" s="2"/>
      <c r="AL2917" s="2"/>
      <c r="AM2917" s="2"/>
      <c r="AN2917" s="2"/>
      <c r="AO2917" s="2"/>
      <c r="AP2917" s="2"/>
      <c r="AQ2917" s="2"/>
      <c r="AR2917" s="2"/>
      <c r="AS2917" s="2"/>
      <c r="AT2917" s="2"/>
      <c r="AU2917" s="2"/>
      <c r="AV2917" s="7" t="str">
        <f aca="false">IF(B2917="","",IF(COUNTIF($B$2:B2917,B2917)=1,MAX($AV$1:AV2916)+1,""))</f>
        <v/>
      </c>
    </row>
    <row r="2918" customFormat="false" ht="15" hidden="false" customHeight="false" outlineLevel="0" collapsed="false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2"/>
      <c r="AL2918" s="2"/>
      <c r="AM2918" s="2"/>
      <c r="AN2918" s="2"/>
      <c r="AO2918" s="2"/>
      <c r="AP2918" s="2"/>
      <c r="AQ2918" s="2"/>
      <c r="AR2918" s="2"/>
      <c r="AS2918" s="2"/>
      <c r="AT2918" s="2"/>
      <c r="AU2918" s="2"/>
      <c r="AV2918" s="7" t="str">
        <f aca="false">IF(B2918="","",IF(COUNTIF($B$2:B2918,B2918)=1,MAX($AV$1:AV2917)+1,""))</f>
        <v/>
      </c>
    </row>
    <row r="2919" customFormat="false" ht="15" hidden="false" customHeight="false" outlineLevel="0" collapsed="false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  <c r="AE2919" s="2"/>
      <c r="AF2919" s="2"/>
      <c r="AG2919" s="2"/>
      <c r="AH2919" s="2"/>
      <c r="AI2919" s="2"/>
      <c r="AJ2919" s="2"/>
      <c r="AK2919" s="2"/>
      <c r="AL2919" s="2"/>
      <c r="AM2919" s="2"/>
      <c r="AN2919" s="2"/>
      <c r="AO2919" s="2"/>
      <c r="AP2919" s="2"/>
      <c r="AQ2919" s="2"/>
      <c r="AR2919" s="2"/>
      <c r="AS2919" s="2"/>
      <c r="AT2919" s="2"/>
      <c r="AU2919" s="2"/>
      <c r="AV2919" s="7" t="str">
        <f aca="false">IF(B2919="","",IF(COUNTIF($B$2:B2919,B2919)=1,MAX($AV$1:AV2918)+1,""))</f>
        <v/>
      </c>
    </row>
    <row r="2920" customFormat="false" ht="15" hidden="false" customHeight="false" outlineLevel="0" collapsed="false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/>
      <c r="AL2920" s="2"/>
      <c r="AM2920" s="2"/>
      <c r="AN2920" s="2"/>
      <c r="AO2920" s="2"/>
      <c r="AP2920" s="2"/>
      <c r="AQ2920" s="2"/>
      <c r="AR2920" s="2"/>
      <c r="AS2920" s="2"/>
      <c r="AT2920" s="2"/>
      <c r="AU2920" s="2"/>
      <c r="AV2920" s="7" t="str">
        <f aca="false">IF(B2920="","",IF(COUNTIF($B$2:B2920,B2920)=1,MAX($AV$1:AV2919)+1,""))</f>
        <v/>
      </c>
    </row>
    <row r="2921" customFormat="false" ht="15" hidden="false" customHeight="false" outlineLevel="0" collapsed="false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2"/>
      <c r="AL2921" s="2"/>
      <c r="AM2921" s="2"/>
      <c r="AN2921" s="2"/>
      <c r="AO2921" s="2"/>
      <c r="AP2921" s="2"/>
      <c r="AQ2921" s="2"/>
      <c r="AR2921" s="2"/>
      <c r="AS2921" s="2"/>
      <c r="AT2921" s="2"/>
      <c r="AU2921" s="2"/>
      <c r="AV2921" s="7" t="str">
        <f aca="false">IF(B2921="","",IF(COUNTIF($B$2:B2921,B2921)=1,MAX($AV$1:AV2920)+1,""))</f>
        <v/>
      </c>
    </row>
    <row r="2922" customFormat="false" ht="15" hidden="false" customHeight="false" outlineLevel="0" collapsed="false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  <c r="AM2922" s="2"/>
      <c r="AN2922" s="2"/>
      <c r="AO2922" s="2"/>
      <c r="AP2922" s="2"/>
      <c r="AQ2922" s="2"/>
      <c r="AR2922" s="2"/>
      <c r="AS2922" s="2"/>
      <c r="AT2922" s="2"/>
      <c r="AU2922" s="2"/>
      <c r="AV2922" s="7" t="str">
        <f aca="false">IF(B2922="","",IF(COUNTIF($B$2:B2922,B2922)=1,MAX($AV$1:AV2921)+1,""))</f>
        <v/>
      </c>
    </row>
    <row r="2923" customFormat="false" ht="15" hidden="false" customHeight="false" outlineLevel="0" collapsed="false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/>
      <c r="AL2923" s="2"/>
      <c r="AM2923" s="2"/>
      <c r="AN2923" s="2"/>
      <c r="AO2923" s="2"/>
      <c r="AP2923" s="2"/>
      <c r="AQ2923" s="2"/>
      <c r="AR2923" s="2"/>
      <c r="AS2923" s="2"/>
      <c r="AT2923" s="2"/>
      <c r="AU2923" s="2"/>
      <c r="AV2923" s="7" t="str">
        <f aca="false">IF(B2923="","",IF(COUNTIF($B$2:B2923,B2923)=1,MAX($AV$1:AV2922)+1,""))</f>
        <v/>
      </c>
    </row>
    <row r="2924" customFormat="false" ht="15" hidden="false" customHeight="false" outlineLevel="0" collapsed="false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  <c r="AK2924" s="2"/>
      <c r="AL2924" s="2"/>
      <c r="AM2924" s="2"/>
      <c r="AN2924" s="2"/>
      <c r="AO2924" s="2"/>
      <c r="AP2924" s="2"/>
      <c r="AQ2924" s="2"/>
      <c r="AR2924" s="2"/>
      <c r="AS2924" s="2"/>
      <c r="AT2924" s="2"/>
      <c r="AU2924" s="2"/>
      <c r="AV2924" s="7" t="str">
        <f aca="false">IF(B2924="","",IF(COUNTIF($B$2:B2924,B2924)=1,MAX($AV$1:AV2923)+1,""))</f>
        <v/>
      </c>
    </row>
    <row r="2925" customFormat="false" ht="15" hidden="false" customHeight="false" outlineLevel="0" collapsed="false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  <c r="AK2925" s="2"/>
      <c r="AL2925" s="2"/>
      <c r="AM2925" s="2"/>
      <c r="AN2925" s="2"/>
      <c r="AO2925" s="2"/>
      <c r="AP2925" s="2"/>
      <c r="AQ2925" s="2"/>
      <c r="AR2925" s="2"/>
      <c r="AS2925" s="2"/>
      <c r="AT2925" s="2"/>
      <c r="AU2925" s="2"/>
      <c r="AV2925" s="7" t="str">
        <f aca="false">IF(B2925="","",IF(COUNTIF($B$2:B2925,B2925)=1,MAX($AV$1:AV2924)+1,""))</f>
        <v/>
      </c>
    </row>
    <row r="2926" customFormat="false" ht="15" hidden="false" customHeight="false" outlineLevel="0" collapsed="false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  <c r="AJ2926" s="2"/>
      <c r="AK2926" s="2"/>
      <c r="AL2926" s="2"/>
      <c r="AM2926" s="2"/>
      <c r="AN2926" s="2"/>
      <c r="AO2926" s="2"/>
      <c r="AP2926" s="2"/>
      <c r="AQ2926" s="2"/>
      <c r="AR2926" s="2"/>
      <c r="AS2926" s="2"/>
      <c r="AT2926" s="2"/>
      <c r="AU2926" s="2"/>
      <c r="AV2926" s="7" t="str">
        <f aca="false">IF(B2926="","",IF(COUNTIF($B$2:B2926,B2926)=1,MAX($AV$1:AV2925)+1,""))</f>
        <v/>
      </c>
    </row>
    <row r="2927" customFormat="false" ht="15" hidden="false" customHeight="false" outlineLevel="0" collapsed="false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  <c r="AP2927" s="2"/>
      <c r="AQ2927" s="2"/>
      <c r="AR2927" s="2"/>
      <c r="AS2927" s="2"/>
      <c r="AT2927" s="2"/>
      <c r="AU2927" s="2"/>
      <c r="AV2927" s="7" t="str">
        <f aca="false">IF(B2927="","",IF(COUNTIF($B$2:B2927,B2927)=1,MAX($AV$1:AV2926)+1,""))</f>
        <v/>
      </c>
    </row>
    <row r="2928" customFormat="false" ht="15" hidden="false" customHeight="false" outlineLevel="0" collapsed="false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  <c r="AM2928" s="2"/>
      <c r="AN2928" s="2"/>
      <c r="AO2928" s="2"/>
      <c r="AP2928" s="2"/>
      <c r="AQ2928" s="2"/>
      <c r="AR2928" s="2"/>
      <c r="AS2928" s="2"/>
      <c r="AT2928" s="2"/>
      <c r="AU2928" s="2"/>
      <c r="AV2928" s="7" t="str">
        <f aca="false">IF(B2928="","",IF(COUNTIF($B$2:B2928,B2928)=1,MAX($AV$1:AV2927)+1,""))</f>
        <v/>
      </c>
    </row>
    <row r="2929" customFormat="false" ht="15" hidden="false" customHeight="false" outlineLevel="0" collapsed="false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  <c r="AM2929" s="2"/>
      <c r="AN2929" s="2"/>
      <c r="AO2929" s="2"/>
      <c r="AP2929" s="2"/>
      <c r="AQ2929" s="2"/>
      <c r="AR2929" s="2"/>
      <c r="AS2929" s="2"/>
      <c r="AT2929" s="2"/>
      <c r="AU2929" s="2"/>
      <c r="AV2929" s="7" t="str">
        <f aca="false">IF(B2929="","",IF(COUNTIF($B$2:B2929,B2929)=1,MAX($AV$1:AV2928)+1,""))</f>
        <v/>
      </c>
    </row>
    <row r="2930" customFormat="false" ht="15" hidden="false" customHeight="false" outlineLevel="0" collapsed="false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  <c r="AP2930" s="2"/>
      <c r="AQ2930" s="2"/>
      <c r="AR2930" s="2"/>
      <c r="AS2930" s="2"/>
      <c r="AT2930" s="2"/>
      <c r="AU2930" s="2"/>
      <c r="AV2930" s="7" t="str">
        <f aca="false">IF(B2930="","",IF(COUNTIF($B$2:B2930,B2930)=1,MAX($AV$1:AV2929)+1,""))</f>
        <v/>
      </c>
    </row>
    <row r="2931" customFormat="false" ht="15" hidden="false" customHeight="false" outlineLevel="0" collapsed="false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  <c r="AM2931" s="2"/>
      <c r="AN2931" s="2"/>
      <c r="AO2931" s="2"/>
      <c r="AP2931" s="2"/>
      <c r="AQ2931" s="2"/>
      <c r="AR2931" s="2"/>
      <c r="AS2931" s="2"/>
      <c r="AT2931" s="2"/>
      <c r="AU2931" s="2"/>
      <c r="AV2931" s="7" t="str">
        <f aca="false">IF(B2931="","",IF(COUNTIF($B$2:B2931,B2931)=1,MAX($AV$1:AV2930)+1,""))</f>
        <v/>
      </c>
    </row>
    <row r="2932" customFormat="false" ht="15" hidden="false" customHeight="false" outlineLevel="0" collapsed="false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/>
      <c r="AL2932" s="2"/>
      <c r="AM2932" s="2"/>
      <c r="AN2932" s="2"/>
      <c r="AO2932" s="2"/>
      <c r="AP2932" s="2"/>
      <c r="AQ2932" s="2"/>
      <c r="AR2932" s="2"/>
      <c r="AS2932" s="2"/>
      <c r="AT2932" s="2"/>
      <c r="AU2932" s="2"/>
      <c r="AV2932" s="7" t="str">
        <f aca="false">IF(B2932="","",IF(COUNTIF($B$2:B2932,B2932)=1,MAX($AV$1:AV2931)+1,""))</f>
        <v/>
      </c>
    </row>
    <row r="2933" customFormat="false" ht="15" hidden="false" customHeight="false" outlineLevel="0" collapsed="false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  <c r="AL2933" s="2"/>
      <c r="AM2933" s="2"/>
      <c r="AN2933" s="2"/>
      <c r="AO2933" s="2"/>
      <c r="AP2933" s="2"/>
      <c r="AQ2933" s="2"/>
      <c r="AR2933" s="2"/>
      <c r="AS2933" s="2"/>
      <c r="AT2933" s="2"/>
      <c r="AU2933" s="2"/>
      <c r="AV2933" s="7" t="str">
        <f aca="false">IF(B2933="","",IF(COUNTIF($B$2:B2933,B2933)=1,MAX($AV$1:AV2932)+1,""))</f>
        <v/>
      </c>
    </row>
    <row r="2934" customFormat="false" ht="15" hidden="false" customHeight="false" outlineLevel="0" collapsed="false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2"/>
      <c r="AL2934" s="2"/>
      <c r="AM2934" s="2"/>
      <c r="AN2934" s="2"/>
      <c r="AO2934" s="2"/>
      <c r="AP2934" s="2"/>
      <c r="AQ2934" s="2"/>
      <c r="AR2934" s="2"/>
      <c r="AS2934" s="2"/>
      <c r="AT2934" s="2"/>
      <c r="AU2934" s="2"/>
      <c r="AV2934" s="7" t="str">
        <f aca="false">IF(B2934="","",IF(COUNTIF($B$2:B2934,B2934)=1,MAX($AV$1:AV2933)+1,""))</f>
        <v/>
      </c>
    </row>
    <row r="2935" customFormat="false" ht="15" hidden="false" customHeight="false" outlineLevel="0" collapsed="false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  <c r="AJ2935" s="2"/>
      <c r="AK2935" s="2"/>
      <c r="AL2935" s="2"/>
      <c r="AM2935" s="2"/>
      <c r="AN2935" s="2"/>
      <c r="AO2935" s="2"/>
      <c r="AP2935" s="2"/>
      <c r="AQ2935" s="2"/>
      <c r="AR2935" s="2"/>
      <c r="AS2935" s="2"/>
      <c r="AT2935" s="2"/>
      <c r="AU2935" s="2"/>
      <c r="AV2935" s="7" t="str">
        <f aca="false">IF(B2935="","",IF(COUNTIF($B$2:B2935,B2935)=1,MAX($AV$1:AV2934)+1,""))</f>
        <v/>
      </c>
    </row>
    <row r="2936" customFormat="false" ht="15" hidden="false" customHeight="false" outlineLevel="0" collapsed="false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  <c r="AM2936" s="2"/>
      <c r="AN2936" s="2"/>
      <c r="AO2936" s="2"/>
      <c r="AP2936" s="2"/>
      <c r="AQ2936" s="2"/>
      <c r="AR2936" s="2"/>
      <c r="AS2936" s="2"/>
      <c r="AT2936" s="2"/>
      <c r="AU2936" s="2"/>
      <c r="AV2936" s="7" t="str">
        <f aca="false">IF(B2936="","",IF(COUNTIF($B$2:B2936,B2936)=1,MAX($AV$1:AV2935)+1,""))</f>
        <v/>
      </c>
    </row>
    <row r="2937" customFormat="false" ht="15" hidden="false" customHeight="false" outlineLevel="0" collapsed="false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/>
      <c r="AL2937" s="2"/>
      <c r="AM2937" s="2"/>
      <c r="AN2937" s="2"/>
      <c r="AO2937" s="2"/>
      <c r="AP2937" s="2"/>
      <c r="AQ2937" s="2"/>
      <c r="AR2937" s="2"/>
      <c r="AS2937" s="2"/>
      <c r="AT2937" s="2"/>
      <c r="AU2937" s="2"/>
      <c r="AV2937" s="7" t="str">
        <f aca="false">IF(B2937="","",IF(COUNTIF($B$2:B2937,B2937)=1,MAX($AV$1:AV2936)+1,""))</f>
        <v/>
      </c>
    </row>
    <row r="2938" customFormat="false" ht="15" hidden="false" customHeight="false" outlineLevel="0" collapsed="false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2"/>
      <c r="AL2938" s="2"/>
      <c r="AM2938" s="2"/>
      <c r="AN2938" s="2"/>
      <c r="AO2938" s="2"/>
      <c r="AP2938" s="2"/>
      <c r="AQ2938" s="2"/>
      <c r="AR2938" s="2"/>
      <c r="AS2938" s="2"/>
      <c r="AT2938" s="2"/>
      <c r="AU2938" s="2"/>
      <c r="AV2938" s="7" t="str">
        <f aca="false">IF(B2938="","",IF(COUNTIF($B$2:B2938,B2938)=1,MAX($AV$1:AV2937)+1,""))</f>
        <v/>
      </c>
    </row>
    <row r="2939" customFormat="false" ht="15" hidden="false" customHeight="false" outlineLevel="0" collapsed="false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2"/>
      <c r="AL2939" s="2"/>
      <c r="AM2939" s="2"/>
      <c r="AN2939" s="2"/>
      <c r="AO2939" s="2"/>
      <c r="AP2939" s="2"/>
      <c r="AQ2939" s="2"/>
      <c r="AR2939" s="2"/>
      <c r="AS2939" s="2"/>
      <c r="AT2939" s="2"/>
      <c r="AU2939" s="2"/>
      <c r="AV2939" s="7" t="str">
        <f aca="false">IF(B2939="","",IF(COUNTIF($B$2:B2939,B2939)=1,MAX($AV$1:AV2938)+1,""))</f>
        <v/>
      </c>
    </row>
    <row r="2940" customFormat="false" ht="15" hidden="false" customHeight="false" outlineLevel="0" collapsed="false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  <c r="AP2940" s="2"/>
      <c r="AQ2940" s="2"/>
      <c r="AR2940" s="2"/>
      <c r="AS2940" s="2"/>
      <c r="AT2940" s="2"/>
      <c r="AU2940" s="2"/>
      <c r="AV2940" s="7" t="str">
        <f aca="false">IF(B2940="","",IF(COUNTIF($B$2:B2940,B2940)=1,MAX($AV$1:AV2939)+1,""))</f>
        <v/>
      </c>
    </row>
    <row r="2941" customFormat="false" ht="15" hidden="false" customHeight="false" outlineLevel="0" collapsed="false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2"/>
      <c r="AL2941" s="2"/>
      <c r="AM2941" s="2"/>
      <c r="AN2941" s="2"/>
      <c r="AO2941" s="2"/>
      <c r="AP2941" s="2"/>
      <c r="AQ2941" s="2"/>
      <c r="AR2941" s="2"/>
      <c r="AS2941" s="2"/>
      <c r="AT2941" s="2"/>
      <c r="AU2941" s="2"/>
      <c r="AV2941" s="7" t="str">
        <f aca="false">IF(B2941="","",IF(COUNTIF($B$2:B2941,B2941)=1,MAX($AV$1:AV2940)+1,""))</f>
        <v/>
      </c>
    </row>
    <row r="2942" customFormat="false" ht="15" hidden="false" customHeight="false" outlineLevel="0" collapsed="false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  <c r="AP2942" s="2"/>
      <c r="AQ2942" s="2"/>
      <c r="AR2942" s="2"/>
      <c r="AS2942" s="2"/>
      <c r="AT2942" s="2"/>
      <c r="AU2942" s="2"/>
      <c r="AV2942" s="7" t="str">
        <f aca="false">IF(B2942="","",IF(COUNTIF($B$2:B2942,B2942)=1,MAX($AV$1:AV2941)+1,""))</f>
        <v/>
      </c>
    </row>
    <row r="2943" customFormat="false" ht="15" hidden="false" customHeight="false" outlineLevel="0" collapsed="false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  <c r="AM2943" s="2"/>
      <c r="AN2943" s="2"/>
      <c r="AO2943" s="2"/>
      <c r="AP2943" s="2"/>
      <c r="AQ2943" s="2"/>
      <c r="AR2943" s="2"/>
      <c r="AS2943" s="2"/>
      <c r="AT2943" s="2"/>
      <c r="AU2943" s="2"/>
      <c r="AV2943" s="7" t="str">
        <f aca="false">IF(B2943="","",IF(COUNTIF($B$2:B2943,B2943)=1,MAX($AV$1:AV2942)+1,""))</f>
        <v/>
      </c>
    </row>
    <row r="2944" customFormat="false" ht="15" hidden="false" customHeight="false" outlineLevel="0" collapsed="false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/>
      <c r="AL2944" s="2"/>
      <c r="AM2944" s="2"/>
      <c r="AN2944" s="2"/>
      <c r="AO2944" s="2"/>
      <c r="AP2944" s="2"/>
      <c r="AQ2944" s="2"/>
      <c r="AR2944" s="2"/>
      <c r="AS2944" s="2"/>
      <c r="AT2944" s="2"/>
      <c r="AU2944" s="2"/>
      <c r="AV2944" s="7" t="str">
        <f aca="false">IF(B2944="","",IF(COUNTIF($B$2:B2944,B2944)=1,MAX($AV$1:AV2943)+1,""))</f>
        <v/>
      </c>
    </row>
    <row r="2945" customFormat="false" ht="15" hidden="false" customHeight="false" outlineLevel="0" collapsed="false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  <c r="AJ2945" s="2"/>
      <c r="AK2945" s="2"/>
      <c r="AL2945" s="2"/>
      <c r="AM2945" s="2"/>
      <c r="AN2945" s="2"/>
      <c r="AO2945" s="2"/>
      <c r="AP2945" s="2"/>
      <c r="AQ2945" s="2"/>
      <c r="AR2945" s="2"/>
      <c r="AS2945" s="2"/>
      <c r="AT2945" s="2"/>
      <c r="AU2945" s="2"/>
      <c r="AV2945" s="7" t="str">
        <f aca="false">IF(B2945="","",IF(COUNTIF($B$2:B2945,B2945)=1,MAX($AV$1:AV2944)+1,""))</f>
        <v/>
      </c>
    </row>
    <row r="2946" customFormat="false" ht="15" hidden="false" customHeight="false" outlineLevel="0" collapsed="false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2"/>
      <c r="AL2946" s="2"/>
      <c r="AM2946" s="2"/>
      <c r="AN2946" s="2"/>
      <c r="AO2946" s="2"/>
      <c r="AP2946" s="2"/>
      <c r="AQ2946" s="2"/>
      <c r="AR2946" s="2"/>
      <c r="AS2946" s="2"/>
      <c r="AT2946" s="2"/>
      <c r="AU2946" s="2"/>
      <c r="AV2946" s="7" t="str">
        <f aca="false">IF(B2946="","",IF(COUNTIF($B$2:B2946,B2946)=1,MAX($AV$1:AV2945)+1,""))</f>
        <v/>
      </c>
    </row>
    <row r="2947" customFormat="false" ht="15" hidden="false" customHeight="false" outlineLevel="0" collapsed="false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  <c r="AK2947" s="2"/>
      <c r="AL2947" s="2"/>
      <c r="AM2947" s="2"/>
      <c r="AN2947" s="2"/>
      <c r="AO2947" s="2"/>
      <c r="AP2947" s="2"/>
      <c r="AQ2947" s="2"/>
      <c r="AR2947" s="2"/>
      <c r="AS2947" s="2"/>
      <c r="AT2947" s="2"/>
      <c r="AU2947" s="2"/>
      <c r="AV2947" s="7" t="str">
        <f aca="false">IF(B2947="","",IF(COUNTIF($B$2:B2947,B2947)=1,MAX($AV$1:AV2946)+1,""))</f>
        <v/>
      </c>
    </row>
    <row r="2948" customFormat="false" ht="15" hidden="false" customHeight="false" outlineLevel="0" collapsed="false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  <c r="AM2948" s="2"/>
      <c r="AN2948" s="2"/>
      <c r="AO2948" s="2"/>
      <c r="AP2948" s="2"/>
      <c r="AQ2948" s="2"/>
      <c r="AR2948" s="2"/>
      <c r="AS2948" s="2"/>
      <c r="AT2948" s="2"/>
      <c r="AU2948" s="2"/>
      <c r="AV2948" s="7" t="str">
        <f aca="false">IF(B2948="","",IF(COUNTIF($B$2:B2948,B2948)=1,MAX($AV$1:AV2947)+1,""))</f>
        <v/>
      </c>
    </row>
    <row r="2949" customFormat="false" ht="15" hidden="false" customHeight="false" outlineLevel="0" collapsed="false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/>
      <c r="AL2949" s="2"/>
      <c r="AM2949" s="2"/>
      <c r="AN2949" s="2"/>
      <c r="AO2949" s="2"/>
      <c r="AP2949" s="2"/>
      <c r="AQ2949" s="2"/>
      <c r="AR2949" s="2"/>
      <c r="AS2949" s="2"/>
      <c r="AT2949" s="2"/>
      <c r="AU2949" s="2"/>
      <c r="AV2949" s="7" t="str">
        <f aca="false">IF(B2949="","",IF(COUNTIF($B$2:B2949,B2949)=1,MAX($AV$1:AV2948)+1,""))</f>
        <v/>
      </c>
    </row>
    <row r="2950" customFormat="false" ht="15" hidden="false" customHeight="false" outlineLevel="0" collapsed="false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  <c r="AP2950" s="2"/>
      <c r="AQ2950" s="2"/>
      <c r="AR2950" s="2"/>
      <c r="AS2950" s="2"/>
      <c r="AT2950" s="2"/>
      <c r="AU2950" s="2"/>
      <c r="AV2950" s="7" t="str">
        <f aca="false">IF(B2950="","",IF(COUNTIF($B$2:B2950,B2950)=1,MAX($AV$1:AV2949)+1,""))</f>
        <v/>
      </c>
    </row>
    <row r="2951" customFormat="false" ht="15" hidden="false" customHeight="false" outlineLevel="0" collapsed="false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2"/>
      <c r="AL2951" s="2"/>
      <c r="AM2951" s="2"/>
      <c r="AN2951" s="2"/>
      <c r="AO2951" s="2"/>
      <c r="AP2951" s="2"/>
      <c r="AQ2951" s="2"/>
      <c r="AR2951" s="2"/>
      <c r="AS2951" s="2"/>
      <c r="AT2951" s="2"/>
      <c r="AU2951" s="2"/>
      <c r="AV2951" s="7" t="str">
        <f aca="false">IF(B2951="","",IF(COUNTIF($B$2:B2951,B2951)=1,MAX($AV$1:AV2950)+1,""))</f>
        <v/>
      </c>
    </row>
    <row r="2952" customFormat="false" ht="15" hidden="false" customHeight="false" outlineLevel="0" collapsed="false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  <c r="AP2952" s="2"/>
      <c r="AQ2952" s="2"/>
      <c r="AR2952" s="2"/>
      <c r="AS2952" s="2"/>
      <c r="AT2952" s="2"/>
      <c r="AU2952" s="2"/>
      <c r="AV2952" s="7" t="str">
        <f aca="false">IF(B2952="","",IF(COUNTIF($B$2:B2952,B2952)=1,MAX($AV$1:AV2951)+1,""))</f>
        <v/>
      </c>
    </row>
    <row r="2953" customFormat="false" ht="15" hidden="false" customHeight="false" outlineLevel="0" collapsed="false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  <c r="AM2953" s="2"/>
      <c r="AN2953" s="2"/>
      <c r="AO2953" s="2"/>
      <c r="AP2953" s="2"/>
      <c r="AQ2953" s="2"/>
      <c r="AR2953" s="2"/>
      <c r="AS2953" s="2"/>
      <c r="AT2953" s="2"/>
      <c r="AU2953" s="2"/>
      <c r="AV2953" s="7" t="str">
        <f aca="false">IF(B2953="","",IF(COUNTIF($B$2:B2953,B2953)=1,MAX($AV$1:AV2952)+1,""))</f>
        <v/>
      </c>
    </row>
    <row r="2954" customFormat="false" ht="15" hidden="false" customHeight="false" outlineLevel="0" collapsed="false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  <c r="AL2954" s="2"/>
      <c r="AM2954" s="2"/>
      <c r="AN2954" s="2"/>
      <c r="AO2954" s="2"/>
      <c r="AP2954" s="2"/>
      <c r="AQ2954" s="2"/>
      <c r="AR2954" s="2"/>
      <c r="AS2954" s="2"/>
      <c r="AT2954" s="2"/>
      <c r="AU2954" s="2"/>
      <c r="AV2954" s="7" t="str">
        <f aca="false">IF(B2954="","",IF(COUNTIF($B$2:B2954,B2954)=1,MAX($AV$1:AV2953)+1,""))</f>
        <v/>
      </c>
    </row>
    <row r="2955" customFormat="false" ht="15" hidden="false" customHeight="false" outlineLevel="0" collapsed="false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2"/>
      <c r="AL2955" s="2"/>
      <c r="AM2955" s="2"/>
      <c r="AN2955" s="2"/>
      <c r="AO2955" s="2"/>
      <c r="AP2955" s="2"/>
      <c r="AQ2955" s="2"/>
      <c r="AR2955" s="2"/>
      <c r="AS2955" s="2"/>
      <c r="AT2955" s="2"/>
      <c r="AU2955" s="2"/>
      <c r="AV2955" s="7" t="str">
        <f aca="false">IF(B2955="","",IF(COUNTIF($B$2:B2955,B2955)=1,MAX($AV$1:AV2954)+1,""))</f>
        <v/>
      </c>
    </row>
    <row r="2956" customFormat="false" ht="15" hidden="false" customHeight="false" outlineLevel="0" collapsed="false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  <c r="AK2956" s="2"/>
      <c r="AL2956" s="2"/>
      <c r="AM2956" s="2"/>
      <c r="AN2956" s="2"/>
      <c r="AO2956" s="2"/>
      <c r="AP2956" s="2"/>
      <c r="AQ2956" s="2"/>
      <c r="AR2956" s="2"/>
      <c r="AS2956" s="2"/>
      <c r="AT2956" s="2"/>
      <c r="AU2956" s="2"/>
      <c r="AV2956" s="7" t="str">
        <f aca="false">IF(B2956="","",IF(COUNTIF($B$2:B2956,B2956)=1,MAX($AV$1:AV2955)+1,""))</f>
        <v/>
      </c>
    </row>
    <row r="2957" customFormat="false" ht="15" hidden="false" customHeight="false" outlineLevel="0" collapsed="false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  <c r="AL2957" s="2"/>
      <c r="AM2957" s="2"/>
      <c r="AN2957" s="2"/>
      <c r="AO2957" s="2"/>
      <c r="AP2957" s="2"/>
      <c r="AQ2957" s="2"/>
      <c r="AR2957" s="2"/>
      <c r="AS2957" s="2"/>
      <c r="AT2957" s="2"/>
      <c r="AU2957" s="2"/>
      <c r="AV2957" s="7" t="str">
        <f aca="false">IF(B2957="","",IF(COUNTIF($B$2:B2957,B2957)=1,MAX($AV$1:AV2956)+1,""))</f>
        <v/>
      </c>
    </row>
    <row r="2958" customFormat="false" ht="15" hidden="false" customHeight="false" outlineLevel="0" collapsed="false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  <c r="AJ2958" s="2"/>
      <c r="AK2958" s="2"/>
      <c r="AL2958" s="2"/>
      <c r="AM2958" s="2"/>
      <c r="AN2958" s="2"/>
      <c r="AO2958" s="2"/>
      <c r="AP2958" s="2"/>
      <c r="AQ2958" s="2"/>
      <c r="AR2958" s="2"/>
      <c r="AS2958" s="2"/>
      <c r="AT2958" s="2"/>
      <c r="AU2958" s="2"/>
      <c r="AV2958" s="7" t="str">
        <f aca="false">IF(B2958="","",IF(COUNTIF($B$2:B2958,B2958)=1,MAX($AV$1:AV2957)+1,""))</f>
        <v/>
      </c>
    </row>
    <row r="2959" customFormat="false" ht="15" hidden="false" customHeight="false" outlineLevel="0" collapsed="false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  <c r="AM2959" s="2"/>
      <c r="AN2959" s="2"/>
      <c r="AO2959" s="2"/>
      <c r="AP2959" s="2"/>
      <c r="AQ2959" s="2"/>
      <c r="AR2959" s="2"/>
      <c r="AS2959" s="2"/>
      <c r="AT2959" s="2"/>
      <c r="AU2959" s="2"/>
      <c r="AV2959" s="7" t="str">
        <f aca="false">IF(B2959="","",IF(COUNTIF($B$2:B2959,B2959)=1,MAX($AV$1:AV2958)+1,""))</f>
        <v/>
      </c>
    </row>
    <row r="2960" customFormat="false" ht="15" hidden="false" customHeight="false" outlineLevel="0" collapsed="false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2"/>
      <c r="AL2960" s="2"/>
      <c r="AM2960" s="2"/>
      <c r="AN2960" s="2"/>
      <c r="AO2960" s="2"/>
      <c r="AP2960" s="2"/>
      <c r="AQ2960" s="2"/>
      <c r="AR2960" s="2"/>
      <c r="AS2960" s="2"/>
      <c r="AT2960" s="2"/>
      <c r="AU2960" s="2"/>
      <c r="AV2960" s="7" t="str">
        <f aca="false">IF(B2960="","",IF(COUNTIF($B$2:B2960,B2960)=1,MAX($AV$1:AV2959)+1,""))</f>
        <v/>
      </c>
    </row>
    <row r="2961" customFormat="false" ht="15" hidden="false" customHeight="false" outlineLevel="0" collapsed="false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/>
      <c r="AL2961" s="2"/>
      <c r="AM2961" s="2"/>
      <c r="AN2961" s="2"/>
      <c r="AO2961" s="2"/>
      <c r="AP2961" s="2"/>
      <c r="AQ2961" s="2"/>
      <c r="AR2961" s="2"/>
      <c r="AS2961" s="2"/>
      <c r="AT2961" s="2"/>
      <c r="AU2961" s="2"/>
      <c r="AV2961" s="7" t="str">
        <f aca="false">IF(B2961="","",IF(COUNTIF($B$2:B2961,B2961)=1,MAX($AV$1:AV2960)+1,""))</f>
        <v/>
      </c>
    </row>
    <row r="2962" customFormat="false" ht="15" hidden="false" customHeight="false" outlineLevel="0" collapsed="false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  <c r="AK2962" s="2"/>
      <c r="AL2962" s="2"/>
      <c r="AM2962" s="2"/>
      <c r="AN2962" s="2"/>
      <c r="AO2962" s="2"/>
      <c r="AP2962" s="2"/>
      <c r="AQ2962" s="2"/>
      <c r="AR2962" s="2"/>
      <c r="AS2962" s="2"/>
      <c r="AT2962" s="2"/>
      <c r="AU2962" s="2"/>
      <c r="AV2962" s="7" t="str">
        <f aca="false">IF(B2962="","",IF(COUNTIF($B$2:B2962,B2962)=1,MAX($AV$1:AV2961)+1,""))</f>
        <v/>
      </c>
    </row>
    <row r="2963" customFormat="false" ht="15" hidden="false" customHeight="false" outlineLevel="0" collapsed="false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2"/>
      <c r="AL2963" s="2"/>
      <c r="AM2963" s="2"/>
      <c r="AN2963" s="2"/>
      <c r="AO2963" s="2"/>
      <c r="AP2963" s="2"/>
      <c r="AQ2963" s="2"/>
      <c r="AR2963" s="2"/>
      <c r="AS2963" s="2"/>
      <c r="AT2963" s="2"/>
      <c r="AU2963" s="2"/>
      <c r="AV2963" s="7" t="str">
        <f aca="false">IF(B2963="","",IF(COUNTIF($B$2:B2963,B2963)=1,MAX($AV$1:AV2962)+1,""))</f>
        <v/>
      </c>
    </row>
    <row r="2964" customFormat="false" ht="15" hidden="false" customHeight="false" outlineLevel="0" collapsed="false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  <c r="AK2964" s="2"/>
      <c r="AL2964" s="2"/>
      <c r="AM2964" s="2"/>
      <c r="AN2964" s="2"/>
      <c r="AO2964" s="2"/>
      <c r="AP2964" s="2"/>
      <c r="AQ2964" s="2"/>
      <c r="AR2964" s="2"/>
      <c r="AS2964" s="2"/>
      <c r="AT2964" s="2"/>
      <c r="AU2964" s="2"/>
      <c r="AV2964" s="7" t="str">
        <f aca="false">IF(B2964="","",IF(COUNTIF($B$2:B2964,B2964)=1,MAX($AV$1:AV2963)+1,""))</f>
        <v/>
      </c>
    </row>
    <row r="2965" customFormat="false" ht="15" hidden="false" customHeight="false" outlineLevel="0" collapsed="false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  <c r="AL2965" s="2"/>
      <c r="AM2965" s="2"/>
      <c r="AN2965" s="2"/>
      <c r="AO2965" s="2"/>
      <c r="AP2965" s="2"/>
      <c r="AQ2965" s="2"/>
      <c r="AR2965" s="2"/>
      <c r="AS2965" s="2"/>
      <c r="AT2965" s="2"/>
      <c r="AU2965" s="2"/>
      <c r="AV2965" s="7" t="str">
        <f aca="false">IF(B2965="","",IF(COUNTIF($B$2:B2965,B2965)=1,MAX($AV$1:AV2964)+1,""))</f>
        <v/>
      </c>
    </row>
    <row r="2966" customFormat="false" ht="15" hidden="false" customHeight="false" outlineLevel="0" collapsed="false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  <c r="AM2966" s="2"/>
      <c r="AN2966" s="2"/>
      <c r="AO2966" s="2"/>
      <c r="AP2966" s="2"/>
      <c r="AQ2966" s="2"/>
      <c r="AR2966" s="2"/>
      <c r="AS2966" s="2"/>
      <c r="AT2966" s="2"/>
      <c r="AU2966" s="2"/>
      <c r="AV2966" s="7" t="str">
        <f aca="false">IF(B2966="","",IF(COUNTIF($B$2:B2966,B2966)=1,MAX($AV$1:AV2965)+1,""))</f>
        <v/>
      </c>
    </row>
    <row r="2967" customFormat="false" ht="15" hidden="false" customHeight="false" outlineLevel="0" collapsed="false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  <c r="AL2967" s="2"/>
      <c r="AM2967" s="2"/>
      <c r="AN2967" s="2"/>
      <c r="AO2967" s="2"/>
      <c r="AP2967" s="2"/>
      <c r="AQ2967" s="2"/>
      <c r="AR2967" s="2"/>
      <c r="AS2967" s="2"/>
      <c r="AT2967" s="2"/>
      <c r="AU2967" s="2"/>
      <c r="AV2967" s="7" t="str">
        <f aca="false">IF(B2967="","",IF(COUNTIF($B$2:B2967,B2967)=1,MAX($AV$1:AV2966)+1,""))</f>
        <v/>
      </c>
    </row>
    <row r="2968" customFormat="false" ht="15" hidden="false" customHeight="false" outlineLevel="0" collapsed="false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/>
      <c r="AL2968" s="2"/>
      <c r="AM2968" s="2"/>
      <c r="AN2968" s="2"/>
      <c r="AO2968" s="2"/>
      <c r="AP2968" s="2"/>
      <c r="AQ2968" s="2"/>
      <c r="AR2968" s="2"/>
      <c r="AS2968" s="2"/>
      <c r="AT2968" s="2"/>
      <c r="AU2968" s="2"/>
      <c r="AV2968" s="7" t="str">
        <f aca="false">IF(B2968="","",IF(COUNTIF($B$2:B2968,B2968)=1,MAX($AV$1:AV2967)+1,""))</f>
        <v/>
      </c>
    </row>
    <row r="2969" customFormat="false" ht="15" hidden="false" customHeight="false" outlineLevel="0" collapsed="false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  <c r="AL2969" s="2"/>
      <c r="AM2969" s="2"/>
      <c r="AN2969" s="2"/>
      <c r="AO2969" s="2"/>
      <c r="AP2969" s="2"/>
      <c r="AQ2969" s="2"/>
      <c r="AR2969" s="2"/>
      <c r="AS2969" s="2"/>
      <c r="AT2969" s="2"/>
      <c r="AU2969" s="2"/>
      <c r="AV2969" s="7" t="str">
        <f aca="false">IF(B2969="","",IF(COUNTIF($B$2:B2969,B2969)=1,MAX($AV$1:AV2968)+1,""))</f>
        <v/>
      </c>
    </row>
    <row r="2970" customFormat="false" ht="15" hidden="false" customHeight="false" outlineLevel="0" collapsed="false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  <c r="AM2970" s="2"/>
      <c r="AN2970" s="2"/>
      <c r="AO2970" s="2"/>
      <c r="AP2970" s="2"/>
      <c r="AQ2970" s="2"/>
      <c r="AR2970" s="2"/>
      <c r="AS2970" s="2"/>
      <c r="AT2970" s="2"/>
      <c r="AU2970" s="2"/>
      <c r="AV2970" s="7" t="str">
        <f aca="false">IF(B2970="","",IF(COUNTIF($B$2:B2970,B2970)=1,MAX($AV$1:AV2969)+1,""))</f>
        <v/>
      </c>
    </row>
    <row r="2971" customFormat="false" ht="15" hidden="false" customHeight="false" outlineLevel="0" collapsed="false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2"/>
      <c r="AL2971" s="2"/>
      <c r="AM2971" s="2"/>
      <c r="AN2971" s="2"/>
      <c r="AO2971" s="2"/>
      <c r="AP2971" s="2"/>
      <c r="AQ2971" s="2"/>
      <c r="AR2971" s="2"/>
      <c r="AS2971" s="2"/>
      <c r="AT2971" s="2"/>
      <c r="AU2971" s="2"/>
      <c r="AV2971" s="7" t="str">
        <f aca="false">IF(B2971="","",IF(COUNTIF($B$2:B2971,B2971)=1,MAX($AV$1:AV2970)+1,""))</f>
        <v/>
      </c>
    </row>
    <row r="2972" customFormat="false" ht="15" hidden="false" customHeight="false" outlineLevel="0" collapsed="false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2"/>
      <c r="AG2972" s="2"/>
      <c r="AH2972" s="2"/>
      <c r="AI2972" s="2"/>
      <c r="AJ2972" s="2"/>
      <c r="AK2972" s="2"/>
      <c r="AL2972" s="2"/>
      <c r="AM2972" s="2"/>
      <c r="AN2972" s="2"/>
      <c r="AO2972" s="2"/>
      <c r="AP2972" s="2"/>
      <c r="AQ2972" s="2"/>
      <c r="AR2972" s="2"/>
      <c r="AS2972" s="2"/>
      <c r="AT2972" s="2"/>
      <c r="AU2972" s="2"/>
      <c r="AV2972" s="7" t="str">
        <f aca="false">IF(B2972="","",IF(COUNTIF($B$2:B2972,B2972)=1,MAX($AV$1:AV2971)+1,""))</f>
        <v/>
      </c>
    </row>
    <row r="2973" customFormat="false" ht="15" hidden="false" customHeight="false" outlineLevel="0" collapsed="false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  <c r="AK2973" s="2"/>
      <c r="AL2973" s="2"/>
      <c r="AM2973" s="2"/>
      <c r="AN2973" s="2"/>
      <c r="AO2973" s="2"/>
      <c r="AP2973" s="2"/>
      <c r="AQ2973" s="2"/>
      <c r="AR2973" s="2"/>
      <c r="AS2973" s="2"/>
      <c r="AT2973" s="2"/>
      <c r="AU2973" s="2"/>
      <c r="AV2973" s="7" t="str">
        <f aca="false">IF(B2973="","",IF(COUNTIF($B$2:B2973,B2973)=1,MAX($AV$1:AV2972)+1,""))</f>
        <v/>
      </c>
    </row>
    <row r="2974" customFormat="false" ht="15" hidden="false" customHeight="false" outlineLevel="0" collapsed="false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  <c r="AL2974" s="2"/>
      <c r="AM2974" s="2"/>
      <c r="AN2974" s="2"/>
      <c r="AO2974" s="2"/>
      <c r="AP2974" s="2"/>
      <c r="AQ2974" s="2"/>
      <c r="AR2974" s="2"/>
      <c r="AS2974" s="2"/>
      <c r="AT2974" s="2"/>
      <c r="AU2974" s="2"/>
      <c r="AV2974" s="7" t="str">
        <f aca="false">IF(B2974="","",IF(COUNTIF($B$2:B2974,B2974)=1,MAX($AV$1:AV2973)+1,""))</f>
        <v/>
      </c>
    </row>
    <row r="2975" customFormat="false" ht="15" hidden="false" customHeight="false" outlineLevel="0" collapsed="false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  <c r="AE2975" s="2"/>
      <c r="AF2975" s="2"/>
      <c r="AG2975" s="2"/>
      <c r="AH2975" s="2"/>
      <c r="AI2975" s="2"/>
      <c r="AJ2975" s="2"/>
      <c r="AK2975" s="2"/>
      <c r="AL2975" s="2"/>
      <c r="AM2975" s="2"/>
      <c r="AN2975" s="2"/>
      <c r="AO2975" s="2"/>
      <c r="AP2975" s="2"/>
      <c r="AQ2975" s="2"/>
      <c r="AR2975" s="2"/>
      <c r="AS2975" s="2"/>
      <c r="AT2975" s="2"/>
      <c r="AU2975" s="2"/>
      <c r="AV2975" s="7" t="str">
        <f aca="false">IF(B2975="","",IF(COUNTIF($B$2:B2975,B2975)=1,MAX($AV$1:AV2974)+1,""))</f>
        <v/>
      </c>
    </row>
    <row r="2976" customFormat="false" ht="15" hidden="false" customHeight="false" outlineLevel="0" collapsed="false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  <c r="AK2976" s="2"/>
      <c r="AL2976" s="2"/>
      <c r="AM2976" s="2"/>
      <c r="AN2976" s="2"/>
      <c r="AO2976" s="2"/>
      <c r="AP2976" s="2"/>
      <c r="AQ2976" s="2"/>
      <c r="AR2976" s="2"/>
      <c r="AS2976" s="2"/>
      <c r="AT2976" s="2"/>
      <c r="AU2976" s="2"/>
      <c r="AV2976" s="7" t="str">
        <f aca="false">IF(B2976="","",IF(COUNTIF($B$2:B2976,B2976)=1,MAX($AV$1:AV2975)+1,""))</f>
        <v/>
      </c>
    </row>
    <row r="2977" customFormat="false" ht="15" hidden="false" customHeight="false" outlineLevel="0" collapsed="false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  <c r="AJ2977" s="2"/>
      <c r="AK2977" s="2"/>
      <c r="AL2977" s="2"/>
      <c r="AM2977" s="2"/>
      <c r="AN2977" s="2"/>
      <c r="AO2977" s="2"/>
      <c r="AP2977" s="2"/>
      <c r="AQ2977" s="2"/>
      <c r="AR2977" s="2"/>
      <c r="AS2977" s="2"/>
      <c r="AT2977" s="2"/>
      <c r="AU2977" s="2"/>
      <c r="AV2977" s="7" t="str">
        <f aca="false">IF(B2977="","",IF(COUNTIF($B$2:B2977,B2977)=1,MAX($AV$1:AV2976)+1,""))</f>
        <v/>
      </c>
    </row>
    <row r="2978" customFormat="false" ht="15" hidden="false" customHeight="false" outlineLevel="0" collapsed="false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  <c r="AM2978" s="2"/>
      <c r="AN2978" s="2"/>
      <c r="AO2978" s="2"/>
      <c r="AP2978" s="2"/>
      <c r="AQ2978" s="2"/>
      <c r="AR2978" s="2"/>
      <c r="AS2978" s="2"/>
      <c r="AT2978" s="2"/>
      <c r="AU2978" s="2"/>
      <c r="AV2978" s="7" t="str">
        <f aca="false">IF(B2978="","",IF(COUNTIF($B$2:B2978,B2978)=1,MAX($AV$1:AV2977)+1,""))</f>
        <v/>
      </c>
    </row>
    <row r="2979" customFormat="false" ht="15" hidden="false" customHeight="false" outlineLevel="0" collapsed="false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  <c r="AM2979" s="2"/>
      <c r="AN2979" s="2"/>
      <c r="AO2979" s="2"/>
      <c r="AP2979" s="2"/>
      <c r="AQ2979" s="2"/>
      <c r="AR2979" s="2"/>
      <c r="AS2979" s="2"/>
      <c r="AT2979" s="2"/>
      <c r="AU2979" s="2"/>
      <c r="AV2979" s="7" t="str">
        <f aca="false">IF(B2979="","",IF(COUNTIF($B$2:B2979,B2979)=1,MAX($AV$1:AV2978)+1,""))</f>
        <v/>
      </c>
    </row>
    <row r="2980" customFormat="false" ht="15" hidden="false" customHeight="false" outlineLevel="0" collapsed="false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2"/>
      <c r="AL2980" s="2"/>
      <c r="AM2980" s="2"/>
      <c r="AN2980" s="2"/>
      <c r="AO2980" s="2"/>
      <c r="AP2980" s="2"/>
      <c r="AQ2980" s="2"/>
      <c r="AR2980" s="2"/>
      <c r="AS2980" s="2"/>
      <c r="AT2980" s="2"/>
      <c r="AU2980" s="2"/>
      <c r="AV2980" s="7" t="str">
        <f aca="false">IF(B2980="","",IF(COUNTIF($B$2:B2980,B2980)=1,MAX($AV$1:AV2979)+1,""))</f>
        <v/>
      </c>
    </row>
    <row r="2981" customFormat="false" ht="15" hidden="false" customHeight="false" outlineLevel="0" collapsed="false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2"/>
      <c r="AL2981" s="2"/>
      <c r="AM2981" s="2"/>
      <c r="AN2981" s="2"/>
      <c r="AO2981" s="2"/>
      <c r="AP2981" s="2"/>
      <c r="AQ2981" s="2"/>
      <c r="AR2981" s="2"/>
      <c r="AS2981" s="2"/>
      <c r="AT2981" s="2"/>
      <c r="AU2981" s="2"/>
      <c r="AV2981" s="7" t="str">
        <f aca="false">IF(B2981="","",IF(COUNTIF($B$2:B2981,B2981)=1,MAX($AV$1:AV2980)+1,""))</f>
        <v/>
      </c>
    </row>
    <row r="2982" customFormat="false" ht="15" hidden="false" customHeight="false" outlineLevel="0" collapsed="false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  <c r="AJ2982" s="2"/>
      <c r="AK2982" s="2"/>
      <c r="AL2982" s="2"/>
      <c r="AM2982" s="2"/>
      <c r="AN2982" s="2"/>
      <c r="AO2982" s="2"/>
      <c r="AP2982" s="2"/>
      <c r="AQ2982" s="2"/>
      <c r="AR2982" s="2"/>
      <c r="AS2982" s="2"/>
      <c r="AT2982" s="2"/>
      <c r="AU2982" s="2"/>
      <c r="AV2982" s="7" t="str">
        <f aca="false">IF(B2982="","",IF(COUNTIF($B$2:B2982,B2982)=1,MAX($AV$1:AV2981)+1,""))</f>
        <v/>
      </c>
    </row>
    <row r="2983" customFormat="false" ht="15" hidden="false" customHeight="false" outlineLevel="0" collapsed="false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  <c r="AE2983" s="2"/>
      <c r="AF2983" s="2"/>
      <c r="AG2983" s="2"/>
      <c r="AH2983" s="2"/>
      <c r="AI2983" s="2"/>
      <c r="AJ2983" s="2"/>
      <c r="AK2983" s="2"/>
      <c r="AL2983" s="2"/>
      <c r="AM2983" s="2"/>
      <c r="AN2983" s="2"/>
      <c r="AO2983" s="2"/>
      <c r="AP2983" s="2"/>
      <c r="AQ2983" s="2"/>
      <c r="AR2983" s="2"/>
      <c r="AS2983" s="2"/>
      <c r="AT2983" s="2"/>
      <c r="AU2983" s="2"/>
      <c r="AV2983" s="7" t="str">
        <f aca="false">IF(B2983="","",IF(COUNTIF($B$2:B2983,B2983)=1,MAX($AV$1:AV2982)+1,""))</f>
        <v/>
      </c>
    </row>
    <row r="2984" customFormat="false" ht="15" hidden="false" customHeight="false" outlineLevel="0" collapsed="false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  <c r="AJ2984" s="2"/>
      <c r="AK2984" s="2"/>
      <c r="AL2984" s="2"/>
      <c r="AM2984" s="2"/>
      <c r="AN2984" s="2"/>
      <c r="AO2984" s="2"/>
      <c r="AP2984" s="2"/>
      <c r="AQ2984" s="2"/>
      <c r="AR2984" s="2"/>
      <c r="AS2984" s="2"/>
      <c r="AT2984" s="2"/>
      <c r="AU2984" s="2"/>
      <c r="AV2984" s="7" t="str">
        <f aca="false">IF(B2984="","",IF(COUNTIF($B$2:B2984,B2984)=1,MAX($AV$1:AV2983)+1,""))</f>
        <v/>
      </c>
    </row>
    <row r="2985" customFormat="false" ht="15" hidden="false" customHeight="false" outlineLevel="0" collapsed="false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  <c r="AF2985" s="2"/>
      <c r="AG2985" s="2"/>
      <c r="AH2985" s="2"/>
      <c r="AI2985" s="2"/>
      <c r="AJ2985" s="2"/>
      <c r="AK2985" s="2"/>
      <c r="AL2985" s="2"/>
      <c r="AM2985" s="2"/>
      <c r="AN2985" s="2"/>
      <c r="AO2985" s="2"/>
      <c r="AP2985" s="2"/>
      <c r="AQ2985" s="2"/>
      <c r="AR2985" s="2"/>
      <c r="AS2985" s="2"/>
      <c r="AT2985" s="2"/>
      <c r="AU2985" s="2"/>
      <c r="AV2985" s="7" t="str">
        <f aca="false">IF(B2985="","",IF(COUNTIF($B$2:B2985,B2985)=1,MAX($AV$1:AV2984)+1,""))</f>
        <v/>
      </c>
    </row>
    <row r="2986" customFormat="false" ht="15" hidden="false" customHeight="false" outlineLevel="0" collapsed="false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  <c r="AE2986" s="2"/>
      <c r="AF2986" s="2"/>
      <c r="AG2986" s="2"/>
      <c r="AH2986" s="2"/>
      <c r="AI2986" s="2"/>
      <c r="AJ2986" s="2"/>
      <c r="AK2986" s="2"/>
      <c r="AL2986" s="2"/>
      <c r="AM2986" s="2"/>
      <c r="AN2986" s="2"/>
      <c r="AO2986" s="2"/>
      <c r="AP2986" s="2"/>
      <c r="AQ2986" s="2"/>
      <c r="AR2986" s="2"/>
      <c r="AS2986" s="2"/>
      <c r="AT2986" s="2"/>
      <c r="AU2986" s="2"/>
      <c r="AV2986" s="7" t="str">
        <f aca="false">IF(B2986="","",IF(COUNTIF($B$2:B2986,B2986)=1,MAX($AV$1:AV2985)+1,""))</f>
        <v/>
      </c>
    </row>
    <row r="2987" customFormat="false" ht="15" hidden="false" customHeight="false" outlineLevel="0" collapsed="false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  <c r="AJ2987" s="2"/>
      <c r="AK2987" s="2"/>
      <c r="AL2987" s="2"/>
      <c r="AM2987" s="2"/>
      <c r="AN2987" s="2"/>
      <c r="AO2987" s="2"/>
      <c r="AP2987" s="2"/>
      <c r="AQ2987" s="2"/>
      <c r="AR2987" s="2"/>
      <c r="AS2987" s="2"/>
      <c r="AT2987" s="2"/>
      <c r="AU2987" s="2"/>
      <c r="AV2987" s="7" t="str">
        <f aca="false">IF(B2987="","",IF(COUNTIF($B$2:B2987,B2987)=1,MAX($AV$1:AV2986)+1,""))</f>
        <v/>
      </c>
    </row>
    <row r="2988" customFormat="false" ht="15" hidden="false" customHeight="false" outlineLevel="0" collapsed="false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2"/>
      <c r="AJ2988" s="2"/>
      <c r="AK2988" s="2"/>
      <c r="AL2988" s="2"/>
      <c r="AM2988" s="2"/>
      <c r="AN2988" s="2"/>
      <c r="AO2988" s="2"/>
      <c r="AP2988" s="2"/>
      <c r="AQ2988" s="2"/>
      <c r="AR2988" s="2"/>
      <c r="AS2988" s="2"/>
      <c r="AT2988" s="2"/>
      <c r="AU2988" s="2"/>
      <c r="AV2988" s="7" t="str">
        <f aca="false">IF(B2988="","",IF(COUNTIF($B$2:B2988,B2988)=1,MAX($AV$1:AV2987)+1,""))</f>
        <v/>
      </c>
    </row>
    <row r="2989" customFormat="false" ht="15" hidden="false" customHeight="false" outlineLevel="0" collapsed="false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  <c r="AL2989" s="2"/>
      <c r="AM2989" s="2"/>
      <c r="AN2989" s="2"/>
      <c r="AO2989" s="2"/>
      <c r="AP2989" s="2"/>
      <c r="AQ2989" s="2"/>
      <c r="AR2989" s="2"/>
      <c r="AS2989" s="2"/>
      <c r="AT2989" s="2"/>
      <c r="AU2989" s="2"/>
      <c r="AV2989" s="7" t="str">
        <f aca="false">IF(B2989="","",IF(COUNTIF($B$2:B2989,B2989)=1,MAX($AV$1:AV2988)+1,""))</f>
        <v/>
      </c>
    </row>
    <row r="2990" customFormat="false" ht="15" hidden="false" customHeight="false" outlineLevel="0" collapsed="false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2"/>
      <c r="AL2990" s="2"/>
      <c r="AM2990" s="2"/>
      <c r="AN2990" s="2"/>
      <c r="AO2990" s="2"/>
      <c r="AP2990" s="2"/>
      <c r="AQ2990" s="2"/>
      <c r="AR2990" s="2"/>
      <c r="AS2990" s="2"/>
      <c r="AT2990" s="2"/>
      <c r="AU2990" s="2"/>
      <c r="AV2990" s="7" t="str">
        <f aca="false">IF(B2990="","",IF(COUNTIF($B$2:B2990,B2990)=1,MAX($AV$1:AV2989)+1,""))</f>
        <v/>
      </c>
    </row>
    <row r="2991" customFormat="false" ht="15" hidden="false" customHeight="false" outlineLevel="0" collapsed="false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2"/>
      <c r="AM2991" s="2"/>
      <c r="AN2991" s="2"/>
      <c r="AO2991" s="2"/>
      <c r="AP2991" s="2"/>
      <c r="AQ2991" s="2"/>
      <c r="AR2991" s="2"/>
      <c r="AS2991" s="2"/>
      <c r="AT2991" s="2"/>
      <c r="AU2991" s="2"/>
      <c r="AV2991" s="7" t="str">
        <f aca="false">IF(B2991="","",IF(COUNTIF($B$2:B2991,B2991)=1,MAX($AV$1:AV2990)+1,""))</f>
        <v/>
      </c>
    </row>
    <row r="2992" customFormat="false" ht="15" hidden="false" customHeight="false" outlineLevel="0" collapsed="false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  <c r="AK2992" s="2"/>
      <c r="AL2992" s="2"/>
      <c r="AM2992" s="2"/>
      <c r="AN2992" s="2"/>
      <c r="AO2992" s="2"/>
      <c r="AP2992" s="2"/>
      <c r="AQ2992" s="2"/>
      <c r="AR2992" s="2"/>
      <c r="AS2992" s="2"/>
      <c r="AT2992" s="2"/>
      <c r="AU2992" s="2"/>
      <c r="AV2992" s="7" t="str">
        <f aca="false">IF(B2992="","",IF(COUNTIF($B$2:B2992,B2992)=1,MAX($AV$1:AV2991)+1,""))</f>
        <v/>
      </c>
    </row>
    <row r="2993" customFormat="false" ht="15" hidden="false" customHeight="false" outlineLevel="0" collapsed="false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  <c r="AK2993" s="2"/>
      <c r="AL2993" s="2"/>
      <c r="AM2993" s="2"/>
      <c r="AN2993" s="2"/>
      <c r="AO2993" s="2"/>
      <c r="AP2993" s="2"/>
      <c r="AQ2993" s="2"/>
      <c r="AR2993" s="2"/>
      <c r="AS2993" s="2"/>
      <c r="AT2993" s="2"/>
      <c r="AU2993" s="2"/>
      <c r="AV2993" s="7" t="str">
        <f aca="false">IF(B2993="","",IF(COUNTIF($B$2:B2993,B2993)=1,MAX($AV$1:AV2992)+1,""))</f>
        <v/>
      </c>
    </row>
    <row r="2994" customFormat="false" ht="15" hidden="false" customHeight="false" outlineLevel="0" collapsed="false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  <c r="AJ2994" s="2"/>
      <c r="AK2994" s="2"/>
      <c r="AL2994" s="2"/>
      <c r="AM2994" s="2"/>
      <c r="AN2994" s="2"/>
      <c r="AO2994" s="2"/>
      <c r="AP2994" s="2"/>
      <c r="AQ2994" s="2"/>
      <c r="AR2994" s="2"/>
      <c r="AS2994" s="2"/>
      <c r="AT2994" s="2"/>
      <c r="AU2994" s="2"/>
      <c r="AV2994" s="7" t="str">
        <f aca="false">IF(B2994="","",IF(COUNTIF($B$2:B2994,B2994)=1,MAX($AV$1:AV2993)+1,""))</f>
        <v/>
      </c>
    </row>
    <row r="2995" customFormat="false" ht="15" hidden="false" customHeight="false" outlineLevel="0" collapsed="false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  <c r="AK2995" s="2"/>
      <c r="AL2995" s="2"/>
      <c r="AM2995" s="2"/>
      <c r="AN2995" s="2"/>
      <c r="AO2995" s="2"/>
      <c r="AP2995" s="2"/>
      <c r="AQ2995" s="2"/>
      <c r="AR2995" s="2"/>
      <c r="AS2995" s="2"/>
      <c r="AT2995" s="2"/>
      <c r="AU2995" s="2"/>
      <c r="AV2995" s="7" t="str">
        <f aca="false">IF(B2995="","",IF(COUNTIF($B$2:B2995,B2995)=1,MAX($AV$1:AV2994)+1,""))</f>
        <v/>
      </c>
    </row>
    <row r="2996" customFormat="false" ht="15" hidden="false" customHeight="false" outlineLevel="0" collapsed="false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2"/>
      <c r="AL2996" s="2"/>
      <c r="AM2996" s="2"/>
      <c r="AN2996" s="2"/>
      <c r="AO2996" s="2"/>
      <c r="AP2996" s="2"/>
      <c r="AQ2996" s="2"/>
      <c r="AR2996" s="2"/>
      <c r="AS2996" s="2"/>
      <c r="AT2996" s="2"/>
      <c r="AU2996" s="2"/>
      <c r="AV2996" s="7" t="str">
        <f aca="false">IF(B2996="","",IF(COUNTIF($B$2:B2996,B2996)=1,MAX($AV$1:AV2995)+1,""))</f>
        <v/>
      </c>
    </row>
    <row r="2997" customFormat="false" ht="15" hidden="false" customHeight="false" outlineLevel="0" collapsed="false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2"/>
      <c r="AM2997" s="2"/>
      <c r="AN2997" s="2"/>
      <c r="AO2997" s="2"/>
      <c r="AP2997" s="2"/>
      <c r="AQ2997" s="2"/>
      <c r="AR2997" s="2"/>
      <c r="AS2997" s="2"/>
      <c r="AT2997" s="2"/>
      <c r="AU2997" s="2"/>
      <c r="AV2997" s="7" t="str">
        <f aca="false">IF(B2997="","",IF(COUNTIF($B$2:B2997,B2997)=1,MAX($AV$1:AV2996)+1,""))</f>
        <v/>
      </c>
    </row>
    <row r="2998" customFormat="false" ht="15" hidden="false" customHeight="false" outlineLevel="0" collapsed="false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  <c r="AL2998" s="2"/>
      <c r="AM2998" s="2"/>
      <c r="AN2998" s="2"/>
      <c r="AO2998" s="2"/>
      <c r="AP2998" s="2"/>
      <c r="AQ2998" s="2"/>
      <c r="AR2998" s="2"/>
      <c r="AS2998" s="2"/>
      <c r="AT2998" s="2"/>
      <c r="AU2998" s="2"/>
      <c r="AV2998" s="7" t="str">
        <f aca="false">IF(B2998="","",IF(COUNTIF($B$2:B2998,B2998)=1,MAX($AV$1:AV2997)+1,""))</f>
        <v/>
      </c>
    </row>
    <row r="2999" customFormat="false" ht="15" hidden="false" customHeight="false" outlineLevel="0" collapsed="false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  <c r="AL2999" s="2"/>
      <c r="AM2999" s="2"/>
      <c r="AN2999" s="2"/>
      <c r="AO2999" s="2"/>
      <c r="AP2999" s="2"/>
      <c r="AQ2999" s="2"/>
      <c r="AR2999" s="2"/>
      <c r="AS2999" s="2"/>
      <c r="AT2999" s="2"/>
      <c r="AU2999" s="2"/>
      <c r="AV2999" s="7" t="str">
        <f aca="false">IF(B2999="","",IF(COUNTIF($B$2:B2999,B2999)=1,MAX($AV$1:AV2998)+1,""))</f>
        <v/>
      </c>
    </row>
    <row r="3000" customFormat="false" ht="15" hidden="false" customHeight="false" outlineLevel="0" collapsed="false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  <c r="AM3000" s="2"/>
      <c r="AN3000" s="2"/>
      <c r="AO3000" s="2"/>
      <c r="AP3000" s="2"/>
      <c r="AQ3000" s="2"/>
      <c r="AR3000" s="2"/>
      <c r="AS3000" s="2"/>
      <c r="AT3000" s="2"/>
      <c r="AU3000" s="2"/>
      <c r="AV3000" s="7" t="str">
        <f aca="false">IF(B3000="","",IF(COUNTIF($B$2:B3000,B3000)=1,MAX($AV$1:AV2999)+1,""))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7" min="3" style="0" width="11"/>
    <col collapsed="false" customWidth="true" hidden="false" outlineLevel="0" max="9" min="8" style="0" width="15"/>
    <col collapsed="false" customWidth="true" hidden="false" outlineLevel="0" max="10" min="10" style="0" width="23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3" min="13" style="0" width="19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21"/>
    <col collapsed="false" customWidth="true" hidden="false" outlineLevel="0" max="17" min="17" style="0" width="15"/>
    <col collapsed="false" customWidth="true" hidden="false" outlineLevel="0" max="18" min="18" style="0" width="17"/>
    <col collapsed="false" customWidth="true" hidden="false" outlineLevel="0" max="19" min="19" style="0" width="11"/>
    <col collapsed="false" customWidth="true" hidden="false" outlineLevel="0" max="20" min="20" style="0" width="15"/>
    <col collapsed="false" customWidth="true" hidden="false" outlineLevel="0" max="21" min="21" style="0" width="17"/>
    <col collapsed="false" customWidth="true" hidden="false" outlineLevel="0" max="22" min="22" style="0" width="12"/>
    <col collapsed="false" customWidth="true" hidden="false" outlineLevel="0" max="23" min="23" style="0" width="16"/>
    <col collapsed="false" customWidth="true" hidden="false" outlineLevel="0" max="24" min="24" style="0" width="13"/>
    <col collapsed="false" customWidth="true" hidden="false" outlineLevel="0" max="25" min="25" style="0" width="11"/>
    <col collapsed="false" customWidth="true" hidden="false" outlineLevel="0" max="27" min="26" style="0" width="15"/>
    <col collapsed="false" customWidth="true" hidden="false" outlineLevel="0" max="29" min="28" style="0" width="20"/>
  </cols>
  <sheetData>
    <row r="1" customFormat="false" ht="15" hidden="false" customHeight="false" outlineLevel="0" collapsed="false">
      <c r="A1" s="5" t="s">
        <v>25</v>
      </c>
      <c r="B1" s="5" t="s">
        <v>26</v>
      </c>
      <c r="C1" s="5" t="s">
        <v>28</v>
      </c>
      <c r="D1" s="5" t="s">
        <v>29</v>
      </c>
      <c r="E1" s="5" t="s">
        <v>30</v>
      </c>
      <c r="F1" s="5" t="s">
        <v>33</v>
      </c>
      <c r="G1" s="5" t="s">
        <v>36</v>
      </c>
      <c r="H1" s="5" t="s">
        <v>38</v>
      </c>
      <c r="I1" s="5" t="s">
        <v>40</v>
      </c>
      <c r="J1" s="5" t="s">
        <v>41</v>
      </c>
      <c r="K1" s="5" t="s">
        <v>43</v>
      </c>
      <c r="L1" s="5" t="s">
        <v>73</v>
      </c>
      <c r="M1" s="5" t="s">
        <v>74</v>
      </c>
      <c r="N1" s="5" t="s">
        <v>75</v>
      </c>
      <c r="O1" s="5" t="s">
        <v>76</v>
      </c>
      <c r="P1" s="5" t="s">
        <v>77</v>
      </c>
      <c r="Q1" s="5" t="s">
        <v>78</v>
      </c>
      <c r="R1" s="5" t="s">
        <v>79</v>
      </c>
      <c r="S1" s="5" t="s">
        <v>80</v>
      </c>
      <c r="T1" s="5" t="s">
        <v>81</v>
      </c>
      <c r="U1" s="5" t="s">
        <v>82</v>
      </c>
      <c r="V1" s="5" t="s">
        <v>83</v>
      </c>
      <c r="W1" s="5" t="s">
        <v>84</v>
      </c>
      <c r="X1" s="5" t="s">
        <v>85</v>
      </c>
      <c r="Y1" s="5" t="s">
        <v>86</v>
      </c>
      <c r="Z1" s="5" t="s">
        <v>87</v>
      </c>
      <c r="AA1" s="5" t="s">
        <v>88</v>
      </c>
      <c r="AB1" s="5" t="s">
        <v>89</v>
      </c>
      <c r="AC1" s="5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7"/>
    <col collapsed="false" customWidth="true" hidden="false" outlineLevel="0" max="3" min="3" style="0" width="26"/>
    <col collapsed="false" customWidth="true" hidden="false" outlineLevel="0" max="4" min="4" style="0" width="60"/>
    <col collapsed="false" customWidth="true" hidden="false" outlineLevel="0" max="5" min="5" style="0" width="26"/>
    <col collapsed="false" customWidth="true" hidden="false" outlineLevel="0" max="6" min="6" style="0" width="40"/>
  </cols>
  <sheetData>
    <row r="1" customFormat="false" ht="19.7" hidden="false" customHeight="false" outlineLevel="0" collapsed="false">
      <c r="A1" s="1" t="s">
        <v>91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5" t="s">
        <v>92</v>
      </c>
      <c r="B3" s="5" t="s">
        <v>93</v>
      </c>
      <c r="C3" s="5" t="s">
        <v>94</v>
      </c>
      <c r="D3" s="5" t="s">
        <v>95</v>
      </c>
      <c r="E3" s="5" t="s">
        <v>96</v>
      </c>
      <c r="F3" s="5" t="s">
        <v>97</v>
      </c>
    </row>
    <row r="4" customFormat="false" ht="23.85" hidden="false" customHeight="false" outlineLevel="0" collapsed="false">
      <c r="A4" s="4" t="s">
        <v>98</v>
      </c>
      <c r="B4" s="4" t="s">
        <v>25</v>
      </c>
      <c r="C4" s="4" t="s">
        <v>99</v>
      </c>
      <c r="D4" s="4" t="s">
        <v>100</v>
      </c>
      <c r="E4" s="4" t="s">
        <v>101</v>
      </c>
      <c r="F4" s="4" t="s">
        <v>102</v>
      </c>
    </row>
    <row r="5" customFormat="false" ht="15" hidden="false" customHeight="false" outlineLevel="0" collapsed="false">
      <c r="A5" s="4" t="s">
        <v>98</v>
      </c>
      <c r="B5" s="4" t="s">
        <v>26</v>
      </c>
      <c r="C5" s="4" t="s">
        <v>99</v>
      </c>
      <c r="D5" s="4" t="s">
        <v>103</v>
      </c>
      <c r="E5" s="4" t="s">
        <v>104</v>
      </c>
      <c r="F5" s="4" t="s">
        <v>105</v>
      </c>
    </row>
    <row r="6" customFormat="false" ht="15" hidden="false" customHeight="false" outlineLevel="0" collapsed="false">
      <c r="A6" s="4" t="s">
        <v>98</v>
      </c>
      <c r="B6" s="4" t="s">
        <v>27</v>
      </c>
      <c r="C6" s="4" t="s">
        <v>99</v>
      </c>
      <c r="D6" s="4" t="s">
        <v>106</v>
      </c>
      <c r="E6" s="4" t="s">
        <v>107</v>
      </c>
      <c r="F6" s="4" t="s">
        <v>108</v>
      </c>
    </row>
    <row r="7" customFormat="false" ht="15" hidden="false" customHeight="false" outlineLevel="0" collapsed="false">
      <c r="A7" s="4" t="s">
        <v>98</v>
      </c>
      <c r="B7" s="4" t="s">
        <v>28</v>
      </c>
      <c r="C7" s="4" t="s">
        <v>99</v>
      </c>
      <c r="D7" s="4" t="s">
        <v>109</v>
      </c>
      <c r="E7" s="4" t="s">
        <v>110</v>
      </c>
      <c r="F7" s="4" t="s">
        <v>111</v>
      </c>
    </row>
    <row r="8" customFormat="false" ht="23.85" hidden="false" customHeight="false" outlineLevel="0" collapsed="false">
      <c r="A8" s="4" t="s">
        <v>98</v>
      </c>
      <c r="B8" s="4" t="s">
        <v>29</v>
      </c>
      <c r="C8" s="4" t="s">
        <v>112</v>
      </c>
      <c r="D8" s="4" t="s">
        <v>113</v>
      </c>
      <c r="E8" s="4" t="s">
        <v>114</v>
      </c>
      <c r="F8" s="4" t="s">
        <v>115</v>
      </c>
    </row>
    <row r="9" customFormat="false" ht="23.85" hidden="false" customHeight="false" outlineLevel="0" collapsed="false">
      <c r="A9" s="4" t="s">
        <v>98</v>
      </c>
      <c r="B9" s="4" t="s">
        <v>30</v>
      </c>
      <c r="C9" s="4" t="s">
        <v>116</v>
      </c>
      <c r="D9" s="4" t="s">
        <v>117</v>
      </c>
      <c r="E9" s="4" t="s">
        <v>118</v>
      </c>
      <c r="F9" s="4" t="s">
        <v>119</v>
      </c>
    </row>
    <row r="10" customFormat="false" ht="15" hidden="false" customHeight="false" outlineLevel="0" collapsed="false">
      <c r="A10" s="4" t="s">
        <v>98</v>
      </c>
      <c r="B10" s="4" t="s">
        <v>31</v>
      </c>
      <c r="C10" s="4" t="s">
        <v>120</v>
      </c>
      <c r="D10" s="4" t="s">
        <v>121</v>
      </c>
      <c r="E10" s="4" t="s">
        <v>122</v>
      </c>
      <c r="F10" s="4" t="s">
        <v>123</v>
      </c>
    </row>
    <row r="11" customFormat="false" ht="23.85" hidden="false" customHeight="false" outlineLevel="0" collapsed="false">
      <c r="A11" s="4" t="s">
        <v>98</v>
      </c>
      <c r="B11" s="4" t="s">
        <v>32</v>
      </c>
      <c r="C11" s="4" t="s">
        <v>99</v>
      </c>
      <c r="D11" s="4" t="s">
        <v>124</v>
      </c>
      <c r="E11" s="4" t="s">
        <v>125</v>
      </c>
      <c r="F11" s="4" t="s">
        <v>126</v>
      </c>
    </row>
    <row r="12" customFormat="false" ht="15" hidden="false" customHeight="false" outlineLevel="0" collapsed="false">
      <c r="A12" s="4" t="s">
        <v>98</v>
      </c>
      <c r="B12" s="4" t="s">
        <v>33</v>
      </c>
      <c r="C12" s="4" t="s">
        <v>127</v>
      </c>
      <c r="D12" s="4" t="s">
        <v>128</v>
      </c>
      <c r="E12" s="4" t="s">
        <v>129</v>
      </c>
      <c r="F12" s="4" t="s">
        <v>130</v>
      </c>
    </row>
    <row r="13" customFormat="false" ht="15" hidden="false" customHeight="false" outlineLevel="0" collapsed="false">
      <c r="A13" s="4" t="s">
        <v>98</v>
      </c>
      <c r="B13" s="4" t="s">
        <v>34</v>
      </c>
      <c r="C13" s="4" t="s">
        <v>131</v>
      </c>
      <c r="D13" s="4" t="s">
        <v>132</v>
      </c>
      <c r="E13" s="4" t="s">
        <v>133</v>
      </c>
      <c r="F13" s="4"/>
    </row>
    <row r="14" customFormat="false" ht="15" hidden="false" customHeight="false" outlineLevel="0" collapsed="false">
      <c r="A14" s="4" t="s">
        <v>98</v>
      </c>
      <c r="B14" s="4" t="s">
        <v>35</v>
      </c>
      <c r="C14" s="4" t="s">
        <v>99</v>
      </c>
      <c r="D14" s="4" t="s">
        <v>134</v>
      </c>
      <c r="E14" s="4" t="s">
        <v>135</v>
      </c>
      <c r="F14" s="4" t="s">
        <v>136</v>
      </c>
    </row>
    <row r="15" customFormat="false" ht="23.85" hidden="false" customHeight="false" outlineLevel="0" collapsed="false">
      <c r="A15" s="4" t="s">
        <v>98</v>
      </c>
      <c r="B15" s="4" t="s">
        <v>36</v>
      </c>
      <c r="C15" s="4" t="s">
        <v>137</v>
      </c>
      <c r="D15" s="4" t="s">
        <v>138</v>
      </c>
      <c r="E15" s="4" t="s">
        <v>139</v>
      </c>
      <c r="F15" s="4" t="s">
        <v>140</v>
      </c>
    </row>
    <row r="16" customFormat="false" ht="15" hidden="false" customHeight="false" outlineLevel="0" collapsed="false">
      <c r="A16" s="4" t="s">
        <v>98</v>
      </c>
      <c r="B16" s="4" t="s">
        <v>37</v>
      </c>
      <c r="C16" s="4" t="s">
        <v>99</v>
      </c>
      <c r="D16" s="4" t="s">
        <v>141</v>
      </c>
      <c r="E16" s="4" t="s">
        <v>142</v>
      </c>
      <c r="F16" s="4"/>
    </row>
    <row r="17" customFormat="false" ht="23.85" hidden="false" customHeight="false" outlineLevel="0" collapsed="false">
      <c r="A17" s="4" t="s">
        <v>98</v>
      </c>
      <c r="B17" s="4" t="s">
        <v>38</v>
      </c>
      <c r="C17" s="4" t="s">
        <v>143</v>
      </c>
      <c r="D17" s="4" t="s">
        <v>144</v>
      </c>
      <c r="E17" s="4" t="s">
        <v>145</v>
      </c>
      <c r="F17" s="4" t="s">
        <v>146</v>
      </c>
    </row>
    <row r="18" customFormat="false" ht="15" hidden="false" customHeight="false" outlineLevel="0" collapsed="false">
      <c r="A18" s="4" t="s">
        <v>98</v>
      </c>
      <c r="B18" s="4" t="s">
        <v>39</v>
      </c>
      <c r="C18" s="4" t="s">
        <v>143</v>
      </c>
      <c r="D18" s="4" t="s">
        <v>147</v>
      </c>
      <c r="E18" s="4" t="s">
        <v>148</v>
      </c>
      <c r="F18" s="4" t="s">
        <v>149</v>
      </c>
    </row>
    <row r="19" customFormat="false" ht="15" hidden="false" customHeight="false" outlineLevel="0" collapsed="false">
      <c r="A19" s="4" t="s">
        <v>98</v>
      </c>
      <c r="B19" s="4" t="s">
        <v>40</v>
      </c>
      <c r="C19" s="4" t="s">
        <v>99</v>
      </c>
      <c r="D19" s="4" t="s">
        <v>150</v>
      </c>
      <c r="E19" s="4" t="s">
        <v>151</v>
      </c>
      <c r="F19" s="4" t="s">
        <v>152</v>
      </c>
    </row>
    <row r="20" customFormat="false" ht="15" hidden="false" customHeight="false" outlineLevel="0" collapsed="false">
      <c r="A20" s="4" t="s">
        <v>98</v>
      </c>
      <c r="B20" s="4" t="s">
        <v>41</v>
      </c>
      <c r="C20" s="4" t="s">
        <v>99</v>
      </c>
      <c r="D20" s="4" t="s">
        <v>153</v>
      </c>
      <c r="E20" s="4" t="s">
        <v>154</v>
      </c>
      <c r="F20" s="4" t="s">
        <v>155</v>
      </c>
    </row>
    <row r="21" customFormat="false" ht="15" hidden="false" customHeight="false" outlineLevel="0" collapsed="false">
      <c r="A21" s="4" t="s">
        <v>98</v>
      </c>
      <c r="B21" s="4" t="s">
        <v>42</v>
      </c>
      <c r="C21" s="4" t="s">
        <v>156</v>
      </c>
      <c r="D21" s="4" t="s">
        <v>157</v>
      </c>
      <c r="E21" s="4" t="s">
        <v>158</v>
      </c>
      <c r="F21" s="4" t="s">
        <v>159</v>
      </c>
    </row>
    <row r="22" customFormat="false" ht="15" hidden="false" customHeight="false" outlineLevel="0" collapsed="false">
      <c r="A22" s="4" t="s">
        <v>98</v>
      </c>
      <c r="B22" s="4" t="s">
        <v>43</v>
      </c>
      <c r="C22" s="4" t="s">
        <v>120</v>
      </c>
      <c r="D22" s="4" t="s">
        <v>160</v>
      </c>
      <c r="E22" s="4" t="s">
        <v>122</v>
      </c>
      <c r="F22" s="4" t="s">
        <v>161</v>
      </c>
    </row>
    <row r="23" customFormat="false" ht="23.85" hidden="false" customHeight="false" outlineLevel="0" collapsed="false">
      <c r="A23" s="4" t="s">
        <v>98</v>
      </c>
      <c r="B23" s="4" t="s">
        <v>44</v>
      </c>
      <c r="C23" s="4" t="s">
        <v>99</v>
      </c>
      <c r="D23" s="4" t="s">
        <v>162</v>
      </c>
      <c r="E23" s="4" t="s">
        <v>163</v>
      </c>
      <c r="F23" s="4" t="s">
        <v>164</v>
      </c>
    </row>
    <row r="24" customFormat="false" ht="15" hidden="false" customHeight="false" outlineLevel="0" collapsed="false">
      <c r="A24" s="4" t="s">
        <v>98</v>
      </c>
      <c r="B24" s="4" t="s">
        <v>45</v>
      </c>
      <c r="C24" s="4" t="s">
        <v>99</v>
      </c>
      <c r="D24" s="4" t="s">
        <v>165</v>
      </c>
      <c r="E24" s="4" t="s">
        <v>166</v>
      </c>
      <c r="F24" s="4"/>
    </row>
    <row r="25" customFormat="false" ht="15" hidden="false" customHeight="false" outlineLevel="0" collapsed="false">
      <c r="A25" s="4" t="s">
        <v>98</v>
      </c>
      <c r="B25" s="4" t="s">
        <v>46</v>
      </c>
      <c r="C25" s="4" t="s">
        <v>167</v>
      </c>
      <c r="D25" s="4" t="s">
        <v>168</v>
      </c>
      <c r="E25" s="4" t="s">
        <v>169</v>
      </c>
      <c r="F25" s="4" t="s">
        <v>170</v>
      </c>
    </row>
    <row r="26" customFormat="false" ht="15" hidden="false" customHeight="false" outlineLevel="0" collapsed="false">
      <c r="A26" s="4" t="s">
        <v>98</v>
      </c>
      <c r="B26" s="4" t="s">
        <v>47</v>
      </c>
      <c r="C26" s="4" t="s">
        <v>167</v>
      </c>
      <c r="D26" s="4" t="s">
        <v>171</v>
      </c>
      <c r="E26" s="4" t="s">
        <v>172</v>
      </c>
      <c r="F26" s="4" t="s">
        <v>170</v>
      </c>
    </row>
    <row r="27" customFormat="false" ht="15" hidden="false" customHeight="false" outlineLevel="0" collapsed="false">
      <c r="A27" s="4" t="s">
        <v>98</v>
      </c>
      <c r="B27" s="4" t="s">
        <v>48</v>
      </c>
      <c r="C27" s="4" t="s">
        <v>173</v>
      </c>
      <c r="D27" s="4" t="s">
        <v>174</v>
      </c>
      <c r="E27" s="4" t="s">
        <v>175</v>
      </c>
      <c r="F27" s="4" t="s">
        <v>176</v>
      </c>
    </row>
    <row r="28" customFormat="false" ht="23.85" hidden="false" customHeight="false" outlineLevel="0" collapsed="false">
      <c r="A28" s="4" t="s">
        <v>98</v>
      </c>
      <c r="B28" s="4" t="s">
        <v>49</v>
      </c>
      <c r="C28" s="4" t="s">
        <v>177</v>
      </c>
      <c r="D28" s="4" t="s">
        <v>178</v>
      </c>
      <c r="E28" s="4" t="s">
        <v>179</v>
      </c>
      <c r="F28" s="4" t="s">
        <v>180</v>
      </c>
    </row>
    <row r="29" customFormat="false" ht="15" hidden="false" customHeight="false" outlineLevel="0" collapsed="false">
      <c r="A29" s="4" t="s">
        <v>98</v>
      </c>
      <c r="B29" s="4" t="s">
        <v>50</v>
      </c>
      <c r="C29" s="4" t="s">
        <v>143</v>
      </c>
      <c r="D29" s="4" t="s">
        <v>181</v>
      </c>
      <c r="E29" s="4" t="s">
        <v>182</v>
      </c>
      <c r="F29" s="4" t="s">
        <v>183</v>
      </c>
    </row>
    <row r="30" customFormat="false" ht="15" hidden="false" customHeight="false" outlineLevel="0" collapsed="false">
      <c r="A30" s="4" t="s">
        <v>98</v>
      </c>
      <c r="B30" s="4" t="s">
        <v>51</v>
      </c>
      <c r="C30" s="4" t="s">
        <v>143</v>
      </c>
      <c r="D30" s="4" t="s">
        <v>184</v>
      </c>
      <c r="E30" s="4" t="s">
        <v>185</v>
      </c>
      <c r="F30" s="4" t="s">
        <v>186</v>
      </c>
    </row>
    <row r="31" customFormat="false" ht="15" hidden="false" customHeight="false" outlineLevel="0" collapsed="false">
      <c r="A31" s="4" t="s">
        <v>98</v>
      </c>
      <c r="B31" s="4" t="s">
        <v>52</v>
      </c>
      <c r="C31" s="4" t="s">
        <v>143</v>
      </c>
      <c r="D31" s="4" t="s">
        <v>187</v>
      </c>
      <c r="E31" s="4" t="s">
        <v>139</v>
      </c>
      <c r="F31" s="4" t="s">
        <v>188</v>
      </c>
    </row>
    <row r="32" customFormat="false" ht="23.85" hidden="false" customHeight="false" outlineLevel="0" collapsed="false">
      <c r="A32" s="4" t="s">
        <v>98</v>
      </c>
      <c r="B32" s="4" t="s">
        <v>53</v>
      </c>
      <c r="C32" s="4" t="s">
        <v>189</v>
      </c>
      <c r="D32" s="4" t="s">
        <v>190</v>
      </c>
      <c r="E32" s="4" t="s">
        <v>191</v>
      </c>
      <c r="F32" s="4" t="s">
        <v>192</v>
      </c>
    </row>
    <row r="33" customFormat="false" ht="15" hidden="false" customHeight="false" outlineLevel="0" collapsed="false">
      <c r="A33" s="4" t="s">
        <v>98</v>
      </c>
      <c r="B33" s="4" t="s">
        <v>54</v>
      </c>
      <c r="C33" s="4" t="s">
        <v>189</v>
      </c>
      <c r="D33" s="4" t="s">
        <v>193</v>
      </c>
      <c r="E33" s="4" t="s">
        <v>194</v>
      </c>
      <c r="F33" s="4" t="s">
        <v>195</v>
      </c>
    </row>
    <row r="34" customFormat="false" ht="15" hidden="false" customHeight="false" outlineLevel="0" collapsed="false">
      <c r="A34" s="4" t="s">
        <v>98</v>
      </c>
      <c r="B34" s="4" t="s">
        <v>55</v>
      </c>
      <c r="C34" s="4" t="s">
        <v>196</v>
      </c>
      <c r="D34" s="4" t="s">
        <v>197</v>
      </c>
      <c r="E34" s="4" t="s">
        <v>198</v>
      </c>
      <c r="F34" s="4" t="s">
        <v>199</v>
      </c>
    </row>
    <row r="35" customFormat="false" ht="15" hidden="false" customHeight="false" outlineLevel="0" collapsed="false">
      <c r="A35" s="4" t="s">
        <v>98</v>
      </c>
      <c r="B35" s="4" t="s">
        <v>56</v>
      </c>
      <c r="C35" s="4" t="s">
        <v>143</v>
      </c>
      <c r="D35" s="4" t="s">
        <v>200</v>
      </c>
      <c r="E35" s="4" t="s">
        <v>185</v>
      </c>
      <c r="F35" s="4"/>
    </row>
    <row r="36" customFormat="false" ht="15" hidden="false" customHeight="false" outlineLevel="0" collapsed="false">
      <c r="A36" s="4" t="s">
        <v>98</v>
      </c>
      <c r="B36" s="4" t="s">
        <v>57</v>
      </c>
      <c r="C36" s="4" t="s">
        <v>143</v>
      </c>
      <c r="D36" s="4" t="s">
        <v>201</v>
      </c>
      <c r="E36" s="4" t="s">
        <v>202</v>
      </c>
      <c r="F36" s="4"/>
    </row>
    <row r="37" customFormat="false" ht="15" hidden="false" customHeight="false" outlineLevel="0" collapsed="false">
      <c r="A37" s="4" t="s">
        <v>98</v>
      </c>
      <c r="B37" s="4" t="s">
        <v>58</v>
      </c>
      <c r="C37" s="4" t="s">
        <v>143</v>
      </c>
      <c r="D37" s="4" t="s">
        <v>203</v>
      </c>
      <c r="E37" s="4" t="s">
        <v>139</v>
      </c>
      <c r="F37" s="4" t="s">
        <v>204</v>
      </c>
    </row>
    <row r="38" customFormat="false" ht="15" hidden="false" customHeight="false" outlineLevel="0" collapsed="false">
      <c r="A38" s="4" t="s">
        <v>98</v>
      </c>
      <c r="B38" s="4" t="s">
        <v>59</v>
      </c>
      <c r="C38" s="4" t="s">
        <v>143</v>
      </c>
      <c r="D38" s="4" t="s">
        <v>205</v>
      </c>
      <c r="E38" s="4" t="s">
        <v>206</v>
      </c>
      <c r="F38" s="4" t="s">
        <v>207</v>
      </c>
    </row>
    <row r="39" customFormat="false" ht="15" hidden="false" customHeight="false" outlineLevel="0" collapsed="false">
      <c r="A39" s="4" t="s">
        <v>98</v>
      </c>
      <c r="B39" s="4" t="s">
        <v>60</v>
      </c>
      <c r="C39" s="4" t="s">
        <v>143</v>
      </c>
      <c r="D39" s="4" t="s">
        <v>208</v>
      </c>
      <c r="E39" s="4" t="s">
        <v>209</v>
      </c>
      <c r="F39" s="4" t="s">
        <v>210</v>
      </c>
    </row>
    <row r="40" customFormat="false" ht="23.85" hidden="false" customHeight="false" outlineLevel="0" collapsed="false">
      <c r="A40" s="4" t="s">
        <v>98</v>
      </c>
      <c r="B40" s="4" t="s">
        <v>61</v>
      </c>
      <c r="C40" s="4" t="s">
        <v>143</v>
      </c>
      <c r="D40" s="4" t="s">
        <v>211</v>
      </c>
      <c r="E40" s="4" t="s">
        <v>139</v>
      </c>
      <c r="F40" s="4" t="s">
        <v>212</v>
      </c>
    </row>
    <row r="41" customFormat="false" ht="15" hidden="false" customHeight="false" outlineLevel="0" collapsed="false">
      <c r="A41" s="4" t="s">
        <v>98</v>
      </c>
      <c r="B41" s="4" t="s">
        <v>62</v>
      </c>
      <c r="C41" s="4" t="s">
        <v>143</v>
      </c>
      <c r="D41" s="4" t="s">
        <v>213</v>
      </c>
      <c r="E41" s="4" t="s">
        <v>145</v>
      </c>
      <c r="F41" s="4" t="s">
        <v>214</v>
      </c>
    </row>
    <row r="42" customFormat="false" ht="15" hidden="false" customHeight="false" outlineLevel="0" collapsed="false">
      <c r="A42" s="4" t="s">
        <v>98</v>
      </c>
      <c r="B42" s="4" t="s">
        <v>63</v>
      </c>
      <c r="C42" s="4" t="s">
        <v>215</v>
      </c>
      <c r="D42" s="4" t="s">
        <v>216</v>
      </c>
      <c r="E42" s="4" t="s">
        <v>217</v>
      </c>
      <c r="F42" s="4" t="s">
        <v>218</v>
      </c>
    </row>
    <row r="43" customFormat="false" ht="15" hidden="false" customHeight="false" outlineLevel="0" collapsed="false">
      <c r="A43" s="4" t="s">
        <v>98</v>
      </c>
      <c r="B43" s="4" t="s">
        <v>64</v>
      </c>
      <c r="C43" s="4" t="s">
        <v>219</v>
      </c>
      <c r="D43" s="4" t="s">
        <v>220</v>
      </c>
      <c r="E43" s="4" t="s">
        <v>221</v>
      </c>
      <c r="F43" s="4" t="s">
        <v>222</v>
      </c>
    </row>
    <row r="44" customFormat="false" ht="15" hidden="false" customHeight="false" outlineLevel="0" collapsed="false">
      <c r="A44" s="4" t="s">
        <v>98</v>
      </c>
      <c r="B44" s="4" t="s">
        <v>65</v>
      </c>
      <c r="C44" s="4" t="s">
        <v>223</v>
      </c>
      <c r="D44" s="4" t="s">
        <v>224</v>
      </c>
      <c r="E44" s="4" t="s">
        <v>225</v>
      </c>
      <c r="F44" s="4" t="s">
        <v>226</v>
      </c>
    </row>
    <row r="45" customFormat="false" ht="15" hidden="false" customHeight="false" outlineLevel="0" collapsed="false">
      <c r="A45" s="4" t="s">
        <v>98</v>
      </c>
      <c r="B45" s="4" t="s">
        <v>66</v>
      </c>
      <c r="C45" s="4" t="s">
        <v>223</v>
      </c>
      <c r="D45" s="4" t="s">
        <v>227</v>
      </c>
      <c r="E45" s="4" t="s">
        <v>139</v>
      </c>
      <c r="F45" s="4" t="s">
        <v>228</v>
      </c>
    </row>
    <row r="46" customFormat="false" ht="15" hidden="false" customHeight="false" outlineLevel="0" collapsed="false">
      <c r="A46" s="4" t="s">
        <v>98</v>
      </c>
      <c r="B46" s="4" t="s">
        <v>67</v>
      </c>
      <c r="C46" s="4" t="s">
        <v>223</v>
      </c>
      <c r="D46" s="4" t="s">
        <v>229</v>
      </c>
      <c r="E46" s="4" t="s">
        <v>209</v>
      </c>
      <c r="F46" s="4" t="s">
        <v>230</v>
      </c>
    </row>
    <row r="47" customFormat="false" ht="15" hidden="false" customHeight="false" outlineLevel="0" collapsed="false">
      <c r="A47" s="4" t="s">
        <v>98</v>
      </c>
      <c r="B47" s="4" t="s">
        <v>68</v>
      </c>
      <c r="C47" s="4" t="s">
        <v>223</v>
      </c>
      <c r="D47" s="4" t="s">
        <v>231</v>
      </c>
      <c r="E47" s="4" t="s">
        <v>145</v>
      </c>
      <c r="F47" s="4" t="s">
        <v>232</v>
      </c>
    </row>
    <row r="48" customFormat="false" ht="15" hidden="false" customHeight="false" outlineLevel="0" collapsed="false">
      <c r="A48" s="4" t="s">
        <v>98</v>
      </c>
      <c r="B48" s="4" t="s">
        <v>69</v>
      </c>
      <c r="C48" s="4" t="s">
        <v>233</v>
      </c>
      <c r="D48" s="4" t="s">
        <v>234</v>
      </c>
      <c r="E48" s="4" t="s">
        <v>235</v>
      </c>
      <c r="F48" s="4" t="s">
        <v>230</v>
      </c>
    </row>
    <row r="49" customFormat="false" ht="15" hidden="false" customHeight="false" outlineLevel="0" collapsed="false">
      <c r="A49" s="4" t="s">
        <v>98</v>
      </c>
      <c r="B49" s="4" t="s">
        <v>70</v>
      </c>
      <c r="C49" s="4" t="s">
        <v>233</v>
      </c>
      <c r="D49" s="4" t="s">
        <v>236</v>
      </c>
      <c r="E49" s="4" t="s">
        <v>122</v>
      </c>
      <c r="F49" s="4" t="s">
        <v>237</v>
      </c>
    </row>
    <row r="50" customFormat="false" ht="15" hidden="false" customHeight="false" outlineLevel="0" collapsed="false">
      <c r="A50" s="4" t="s">
        <v>98</v>
      </c>
      <c r="B50" s="4" t="s">
        <v>71</v>
      </c>
      <c r="C50" s="4" t="s">
        <v>233</v>
      </c>
      <c r="D50" s="4" t="s">
        <v>238</v>
      </c>
      <c r="E50" s="4" t="s">
        <v>122</v>
      </c>
      <c r="F50" s="4" t="s">
        <v>239</v>
      </c>
    </row>
    <row r="51" customFormat="false" ht="15" hidden="false" customHeight="false" outlineLevel="0" collapsed="false">
      <c r="A51" s="4" t="s">
        <v>240</v>
      </c>
      <c r="B51" s="4" t="s">
        <v>25</v>
      </c>
      <c r="C51" s="4" t="s">
        <v>99</v>
      </c>
      <c r="D51" s="4" t="s">
        <v>241</v>
      </c>
      <c r="E51" s="4"/>
      <c r="F51" s="4" t="s">
        <v>242</v>
      </c>
    </row>
    <row r="52" customFormat="false" ht="15" hidden="false" customHeight="false" outlineLevel="0" collapsed="false">
      <c r="A52" s="4" t="s">
        <v>240</v>
      </c>
      <c r="B52" s="4" t="s">
        <v>26</v>
      </c>
      <c r="C52" s="4" t="s">
        <v>99</v>
      </c>
      <c r="D52" s="4" t="s">
        <v>243</v>
      </c>
      <c r="E52" s="4"/>
      <c r="F52" s="4"/>
    </row>
    <row r="53" customFormat="false" ht="15" hidden="false" customHeight="false" outlineLevel="0" collapsed="false">
      <c r="A53" s="4" t="s">
        <v>240</v>
      </c>
      <c r="B53" s="4" t="s">
        <v>28</v>
      </c>
      <c r="C53" s="4" t="s">
        <v>99</v>
      </c>
      <c r="D53" s="4" t="s">
        <v>244</v>
      </c>
      <c r="E53" s="4"/>
      <c r="F53" s="4"/>
    </row>
    <row r="54" customFormat="false" ht="15" hidden="false" customHeight="false" outlineLevel="0" collapsed="false">
      <c r="A54" s="4" t="s">
        <v>240</v>
      </c>
      <c r="B54" s="4" t="s">
        <v>29</v>
      </c>
      <c r="C54" s="4" t="s">
        <v>99</v>
      </c>
      <c r="D54" s="4" t="s">
        <v>245</v>
      </c>
      <c r="E54" s="4"/>
      <c r="F54" s="4"/>
    </row>
    <row r="55" customFormat="false" ht="15" hidden="false" customHeight="false" outlineLevel="0" collapsed="false">
      <c r="A55" s="4" t="s">
        <v>240</v>
      </c>
      <c r="B55" s="4" t="s">
        <v>30</v>
      </c>
      <c r="C55" s="4" t="s">
        <v>99</v>
      </c>
      <c r="D55" s="4" t="s">
        <v>246</v>
      </c>
      <c r="E55" s="4"/>
      <c r="F55" s="4"/>
    </row>
    <row r="56" customFormat="false" ht="15" hidden="false" customHeight="false" outlineLevel="0" collapsed="false">
      <c r="A56" s="4" t="s">
        <v>240</v>
      </c>
      <c r="B56" s="4" t="s">
        <v>33</v>
      </c>
      <c r="C56" s="4" t="s">
        <v>127</v>
      </c>
      <c r="D56" s="4" t="s">
        <v>247</v>
      </c>
      <c r="E56" s="4"/>
      <c r="F56" s="4"/>
    </row>
    <row r="57" customFormat="false" ht="15" hidden="false" customHeight="false" outlineLevel="0" collapsed="false">
      <c r="A57" s="4" t="s">
        <v>240</v>
      </c>
      <c r="B57" s="4" t="s">
        <v>36</v>
      </c>
      <c r="C57" s="4" t="s">
        <v>248</v>
      </c>
      <c r="D57" s="4" t="s">
        <v>249</v>
      </c>
      <c r="E57" s="4"/>
      <c r="F57" s="4"/>
    </row>
    <row r="58" customFormat="false" ht="15" hidden="false" customHeight="false" outlineLevel="0" collapsed="false">
      <c r="A58" s="4" t="s">
        <v>240</v>
      </c>
      <c r="B58" s="4" t="s">
        <v>38</v>
      </c>
      <c r="C58" s="4" t="s">
        <v>143</v>
      </c>
      <c r="D58" s="4" t="s">
        <v>250</v>
      </c>
      <c r="E58" s="4"/>
      <c r="F58" s="4"/>
    </row>
    <row r="59" customFormat="false" ht="15" hidden="false" customHeight="false" outlineLevel="0" collapsed="false">
      <c r="A59" s="4" t="s">
        <v>240</v>
      </c>
      <c r="B59" s="4" t="s">
        <v>40</v>
      </c>
      <c r="C59" s="4" t="s">
        <v>99</v>
      </c>
      <c r="D59" s="4" t="s">
        <v>251</v>
      </c>
      <c r="E59" s="4"/>
      <c r="F59" s="4"/>
    </row>
    <row r="60" customFormat="false" ht="15" hidden="false" customHeight="false" outlineLevel="0" collapsed="false">
      <c r="A60" s="4" t="s">
        <v>240</v>
      </c>
      <c r="B60" s="4" t="s">
        <v>41</v>
      </c>
      <c r="C60" s="4" t="s">
        <v>99</v>
      </c>
      <c r="D60" s="4" t="s">
        <v>252</v>
      </c>
      <c r="E60" s="4"/>
      <c r="F60" s="4"/>
    </row>
    <row r="61" customFormat="false" ht="15" hidden="false" customHeight="false" outlineLevel="0" collapsed="false">
      <c r="A61" s="4" t="s">
        <v>240</v>
      </c>
      <c r="B61" s="4" t="s">
        <v>43</v>
      </c>
      <c r="C61" s="4" t="s">
        <v>120</v>
      </c>
      <c r="D61" s="4" t="s">
        <v>253</v>
      </c>
      <c r="E61" s="4"/>
      <c r="F61" s="4"/>
    </row>
    <row r="62" customFormat="false" ht="23.85" hidden="false" customHeight="false" outlineLevel="0" collapsed="false">
      <c r="A62" s="4" t="s">
        <v>240</v>
      </c>
      <c r="B62" s="4" t="s">
        <v>73</v>
      </c>
      <c r="C62" s="4" t="s">
        <v>99</v>
      </c>
      <c r="D62" s="4" t="s">
        <v>254</v>
      </c>
      <c r="E62" s="4" t="s">
        <v>255</v>
      </c>
      <c r="F62" s="4" t="s">
        <v>256</v>
      </c>
    </row>
    <row r="63" customFormat="false" ht="15" hidden="false" customHeight="false" outlineLevel="0" collapsed="false">
      <c r="A63" s="4" t="s">
        <v>240</v>
      </c>
      <c r="B63" s="4" t="s">
        <v>74</v>
      </c>
      <c r="C63" s="4" t="s">
        <v>99</v>
      </c>
      <c r="D63" s="4" t="s">
        <v>257</v>
      </c>
      <c r="E63" s="4" t="s">
        <v>258</v>
      </c>
      <c r="F63" s="4"/>
    </row>
    <row r="64" customFormat="false" ht="23.85" hidden="false" customHeight="false" outlineLevel="0" collapsed="false">
      <c r="A64" s="4" t="s">
        <v>240</v>
      </c>
      <c r="B64" s="4" t="s">
        <v>75</v>
      </c>
      <c r="C64" s="4" t="s">
        <v>259</v>
      </c>
      <c r="D64" s="4" t="s">
        <v>260</v>
      </c>
      <c r="E64" s="4" t="s">
        <v>261</v>
      </c>
      <c r="F64" s="4" t="s">
        <v>262</v>
      </c>
    </row>
    <row r="65" customFormat="false" ht="15" hidden="false" customHeight="false" outlineLevel="0" collapsed="false">
      <c r="A65" s="4" t="s">
        <v>240</v>
      </c>
      <c r="B65" s="4" t="s">
        <v>76</v>
      </c>
      <c r="C65" s="4" t="s">
        <v>219</v>
      </c>
      <c r="D65" s="4" t="s">
        <v>263</v>
      </c>
      <c r="E65" s="4" t="s">
        <v>221</v>
      </c>
      <c r="F65" s="4" t="s">
        <v>264</v>
      </c>
    </row>
    <row r="66" customFormat="false" ht="15" hidden="false" customHeight="false" outlineLevel="0" collapsed="false">
      <c r="A66" s="4" t="s">
        <v>240</v>
      </c>
      <c r="B66" s="4" t="s">
        <v>77</v>
      </c>
      <c r="C66" s="4" t="s">
        <v>99</v>
      </c>
      <c r="D66" s="4" t="s">
        <v>265</v>
      </c>
      <c r="E66" s="4" t="s">
        <v>266</v>
      </c>
      <c r="F66" s="4"/>
    </row>
    <row r="67" customFormat="false" ht="23.85" hidden="false" customHeight="false" outlineLevel="0" collapsed="false">
      <c r="A67" s="4" t="s">
        <v>240</v>
      </c>
      <c r="B67" s="4" t="s">
        <v>78</v>
      </c>
      <c r="C67" s="4" t="s">
        <v>267</v>
      </c>
      <c r="D67" s="4" t="s">
        <v>268</v>
      </c>
      <c r="E67" s="4" t="s">
        <v>269</v>
      </c>
      <c r="F67" s="4"/>
    </row>
    <row r="68" customFormat="false" ht="15" hidden="false" customHeight="false" outlineLevel="0" collapsed="false">
      <c r="A68" s="4" t="s">
        <v>240</v>
      </c>
      <c r="B68" s="4" t="s">
        <v>79</v>
      </c>
      <c r="C68" s="4" t="s">
        <v>267</v>
      </c>
      <c r="D68" s="4" t="s">
        <v>270</v>
      </c>
      <c r="E68" s="4" t="s">
        <v>271</v>
      </c>
      <c r="F68" s="4"/>
    </row>
    <row r="69" customFormat="false" ht="15" hidden="false" customHeight="false" outlineLevel="0" collapsed="false">
      <c r="A69" s="4" t="s">
        <v>240</v>
      </c>
      <c r="B69" s="4" t="s">
        <v>80</v>
      </c>
      <c r="C69" s="4" t="s">
        <v>99</v>
      </c>
      <c r="D69" s="4" t="s">
        <v>272</v>
      </c>
      <c r="E69" s="4" t="s">
        <v>273</v>
      </c>
      <c r="F69" s="4"/>
    </row>
    <row r="70" customFormat="false" ht="15" hidden="false" customHeight="false" outlineLevel="0" collapsed="false">
      <c r="A70" s="4" t="s">
        <v>240</v>
      </c>
      <c r="B70" s="4" t="s">
        <v>81</v>
      </c>
      <c r="C70" s="4" t="s">
        <v>274</v>
      </c>
      <c r="D70" s="4" t="s">
        <v>275</v>
      </c>
      <c r="E70" s="4" t="s">
        <v>276</v>
      </c>
      <c r="F70" s="4" t="s">
        <v>277</v>
      </c>
    </row>
    <row r="71" customFormat="false" ht="15" hidden="false" customHeight="false" outlineLevel="0" collapsed="false">
      <c r="A71" s="4" t="s">
        <v>240</v>
      </c>
      <c r="B71" s="4" t="s">
        <v>82</v>
      </c>
      <c r="C71" s="4" t="s">
        <v>274</v>
      </c>
      <c r="D71" s="4" t="s">
        <v>278</v>
      </c>
      <c r="E71" s="4" t="s">
        <v>276</v>
      </c>
      <c r="F71" s="4"/>
    </row>
    <row r="72" customFormat="false" ht="15" hidden="false" customHeight="false" outlineLevel="0" collapsed="false">
      <c r="A72" s="4" t="s">
        <v>240</v>
      </c>
      <c r="B72" s="4" t="s">
        <v>83</v>
      </c>
      <c r="C72" s="4" t="s">
        <v>267</v>
      </c>
      <c r="D72" s="4" t="s">
        <v>279</v>
      </c>
      <c r="E72" s="4" t="s">
        <v>280</v>
      </c>
      <c r="F72" s="4" t="s">
        <v>281</v>
      </c>
    </row>
    <row r="73" customFormat="false" ht="15" hidden="false" customHeight="false" outlineLevel="0" collapsed="false">
      <c r="A73" s="4" t="s">
        <v>240</v>
      </c>
      <c r="B73" s="4" t="s">
        <v>84</v>
      </c>
      <c r="C73" s="4" t="s">
        <v>282</v>
      </c>
      <c r="D73" s="4" t="s">
        <v>283</v>
      </c>
      <c r="E73" s="4" t="s">
        <v>284</v>
      </c>
      <c r="F73" s="4"/>
    </row>
    <row r="74" customFormat="false" ht="15" hidden="false" customHeight="false" outlineLevel="0" collapsed="false">
      <c r="A74" s="4" t="s">
        <v>240</v>
      </c>
      <c r="B74" s="4" t="s">
        <v>85</v>
      </c>
      <c r="C74" s="4" t="s">
        <v>267</v>
      </c>
      <c r="D74" s="4" t="s">
        <v>285</v>
      </c>
      <c r="E74" s="4" t="s">
        <v>286</v>
      </c>
      <c r="F74" s="4" t="s">
        <v>287</v>
      </c>
    </row>
    <row r="75" customFormat="false" ht="23.85" hidden="false" customHeight="false" outlineLevel="0" collapsed="false">
      <c r="A75" s="4" t="s">
        <v>240</v>
      </c>
      <c r="B75" s="4" t="s">
        <v>86</v>
      </c>
      <c r="C75" s="4" t="s">
        <v>288</v>
      </c>
      <c r="D75" s="4" t="s">
        <v>289</v>
      </c>
      <c r="E75" s="4" t="s">
        <v>145</v>
      </c>
      <c r="F75" s="4" t="s">
        <v>290</v>
      </c>
    </row>
    <row r="76" customFormat="false" ht="15" hidden="false" customHeight="false" outlineLevel="0" collapsed="false">
      <c r="A76" s="4" t="s">
        <v>240</v>
      </c>
      <c r="B76" s="4" t="s">
        <v>87</v>
      </c>
      <c r="C76" s="4" t="s">
        <v>291</v>
      </c>
      <c r="D76" s="4" t="s">
        <v>292</v>
      </c>
      <c r="E76" s="4" t="s">
        <v>145</v>
      </c>
      <c r="F76" s="4" t="s">
        <v>293</v>
      </c>
    </row>
    <row r="77" customFormat="false" ht="23.85" hidden="false" customHeight="false" outlineLevel="0" collapsed="false">
      <c r="A77" s="4" t="s">
        <v>240</v>
      </c>
      <c r="B77" s="4" t="s">
        <v>88</v>
      </c>
      <c r="C77" s="4" t="s">
        <v>294</v>
      </c>
      <c r="D77" s="4" t="s">
        <v>295</v>
      </c>
      <c r="E77" s="4" t="s">
        <v>296</v>
      </c>
      <c r="F77" s="4" t="s">
        <v>297</v>
      </c>
    </row>
    <row r="78" customFormat="false" ht="23.85" hidden="false" customHeight="false" outlineLevel="0" collapsed="false">
      <c r="A78" s="4" t="s">
        <v>240</v>
      </c>
      <c r="B78" s="4" t="s">
        <v>89</v>
      </c>
      <c r="C78" s="4" t="s">
        <v>99</v>
      </c>
      <c r="D78" s="4" t="s">
        <v>298</v>
      </c>
      <c r="E78" s="4" t="s">
        <v>299</v>
      </c>
      <c r="F78" s="4"/>
    </row>
    <row r="79" customFormat="false" ht="23.85" hidden="false" customHeight="false" outlineLevel="0" collapsed="false">
      <c r="A79" s="4" t="s">
        <v>240</v>
      </c>
      <c r="B79" s="4" t="s">
        <v>90</v>
      </c>
      <c r="C79" s="4" t="s">
        <v>223</v>
      </c>
      <c r="D79" s="4" t="s">
        <v>300</v>
      </c>
      <c r="E79" s="4" t="s">
        <v>139</v>
      </c>
      <c r="F79" s="4" t="s">
        <v>301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70"/>
    <col collapsed="false" customWidth="true" hidden="false" outlineLevel="0" max="11" min="4" style="0" width="7"/>
  </cols>
  <sheetData>
    <row r="1" customFormat="false" ht="19.7" hidden="false" customHeight="false" outlineLevel="0" collapsed="false">
      <c r="A1" s="1" t="s">
        <v>302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5" t="s">
        <v>303</v>
      </c>
      <c r="B3" s="5" t="s">
        <v>304</v>
      </c>
      <c r="C3" s="5" t="s">
        <v>305</v>
      </c>
      <c r="D3" s="2"/>
      <c r="E3" s="2"/>
      <c r="F3" s="2"/>
      <c r="G3" s="2"/>
      <c r="H3" s="2"/>
      <c r="I3" s="2"/>
      <c r="J3" s="2"/>
      <c r="K3" s="2"/>
    </row>
    <row r="4" customFormat="false" ht="23.85" hidden="false" customHeight="false" outlineLevel="0" collapsed="false">
      <c r="A4" s="4" t="s">
        <v>306</v>
      </c>
      <c r="B4" s="4" t="s">
        <v>307</v>
      </c>
      <c r="C4" s="4" t="s">
        <v>308</v>
      </c>
      <c r="D4" s="2"/>
      <c r="E4" s="2"/>
      <c r="F4" s="2"/>
      <c r="G4" s="2"/>
      <c r="H4" s="2"/>
      <c r="I4" s="2"/>
      <c r="J4" s="2"/>
      <c r="K4" s="2"/>
    </row>
    <row r="5" customFormat="false" ht="23.85" hidden="false" customHeight="false" outlineLevel="0" collapsed="false">
      <c r="A5" s="4" t="s">
        <v>309</v>
      </c>
      <c r="B5" s="4" t="s">
        <v>310</v>
      </c>
      <c r="C5" s="4" t="s">
        <v>311</v>
      </c>
      <c r="D5" s="2"/>
      <c r="E5" s="2"/>
      <c r="F5" s="2"/>
      <c r="G5" s="2"/>
      <c r="H5" s="2"/>
      <c r="I5" s="2"/>
      <c r="J5" s="2"/>
      <c r="K5" s="2"/>
    </row>
    <row r="6" customFormat="false" ht="23.85" hidden="false" customHeight="false" outlineLevel="0" collapsed="false">
      <c r="A6" s="4" t="s">
        <v>312</v>
      </c>
      <c r="B6" s="4" t="s">
        <v>313</v>
      </c>
      <c r="C6" s="4" t="s">
        <v>314</v>
      </c>
      <c r="D6" s="2"/>
      <c r="E6" s="2"/>
      <c r="F6" s="2"/>
      <c r="G6" s="2"/>
      <c r="H6" s="2"/>
      <c r="I6" s="2"/>
      <c r="J6" s="2"/>
      <c r="K6" s="2"/>
    </row>
    <row r="7" customFormat="false" ht="23.85" hidden="false" customHeight="false" outlineLevel="0" collapsed="false">
      <c r="A7" s="4" t="s">
        <v>221</v>
      </c>
      <c r="B7" s="4" t="s">
        <v>266</v>
      </c>
      <c r="C7" s="4" t="s">
        <v>315</v>
      </c>
      <c r="D7" s="2"/>
      <c r="E7" s="2"/>
      <c r="F7" s="2"/>
      <c r="G7" s="2"/>
      <c r="H7" s="2"/>
      <c r="I7" s="2"/>
      <c r="J7" s="2"/>
      <c r="K7" s="2"/>
    </row>
    <row r="8" customFormat="false" ht="15" hidden="false" customHeight="false" outlineLevel="0" collapsed="false">
      <c r="A8" s="4" t="s">
        <v>316</v>
      </c>
      <c r="B8" s="4" t="s">
        <v>317</v>
      </c>
      <c r="C8" s="4" t="s">
        <v>318</v>
      </c>
      <c r="D8" s="2"/>
      <c r="E8" s="2"/>
      <c r="F8" s="2"/>
      <c r="G8" s="2"/>
      <c r="H8" s="2"/>
      <c r="I8" s="2"/>
      <c r="J8" s="2"/>
      <c r="K8" s="2"/>
    </row>
    <row r="9" customFormat="false" ht="15" hidden="false" customHeight="false" outlineLevel="0" collapsed="false">
      <c r="A9" s="4" t="s">
        <v>319</v>
      </c>
      <c r="B9" s="4" t="s">
        <v>320</v>
      </c>
      <c r="C9" s="4" t="s">
        <v>321</v>
      </c>
      <c r="D9" s="2"/>
      <c r="E9" s="2"/>
      <c r="F9" s="2"/>
      <c r="G9" s="2"/>
      <c r="H9" s="2"/>
      <c r="I9" s="2"/>
      <c r="J9" s="2"/>
      <c r="K9" s="2"/>
    </row>
    <row r="10" customFormat="false" ht="15" hidden="false" customHeight="false" outlineLevel="0" collapsed="false">
      <c r="A10" s="4" t="s">
        <v>322</v>
      </c>
      <c r="B10" s="4" t="s">
        <v>323</v>
      </c>
      <c r="C10" s="4" t="s">
        <v>324</v>
      </c>
      <c r="D10" s="2"/>
      <c r="E10" s="2"/>
      <c r="F10" s="2"/>
      <c r="G10" s="2"/>
      <c r="H10" s="2"/>
      <c r="I10" s="2"/>
      <c r="J10" s="2"/>
      <c r="K10" s="2"/>
    </row>
    <row r="11" customFormat="false" ht="15" hidden="false" customHeight="false" outlineLevel="0" collapsed="false">
      <c r="A11" s="4" t="s">
        <v>325</v>
      </c>
      <c r="B11" s="4" t="s">
        <v>326</v>
      </c>
      <c r="C11" s="4" t="s">
        <v>327</v>
      </c>
      <c r="D11" s="2"/>
      <c r="E11" s="2"/>
      <c r="F11" s="2"/>
      <c r="G11" s="2"/>
      <c r="H11" s="2"/>
      <c r="I11" s="2"/>
      <c r="J11" s="2"/>
      <c r="K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customFormat="false" ht="15" hidden="false" customHeight="false" outlineLevel="0" collapsed="false">
      <c r="A14" s="5" t="s">
        <v>328</v>
      </c>
      <c r="B14" s="5" t="s">
        <v>329</v>
      </c>
      <c r="C14" s="5" t="s">
        <v>330</v>
      </c>
      <c r="D14" s="5" t="s">
        <v>306</v>
      </c>
      <c r="E14" s="5" t="s">
        <v>309</v>
      </c>
      <c r="F14" s="5" t="s">
        <v>312</v>
      </c>
      <c r="G14" s="5" t="s">
        <v>221</v>
      </c>
      <c r="H14" s="5" t="s">
        <v>316</v>
      </c>
      <c r="I14" s="5" t="s">
        <v>319</v>
      </c>
      <c r="J14" s="5" t="s">
        <v>322</v>
      </c>
      <c r="K14" s="5" t="s">
        <v>325</v>
      </c>
    </row>
    <row r="15" customFormat="false" ht="15" hidden="false" customHeight="false" outlineLevel="0" collapsed="false">
      <c r="A15" s="4" t="s">
        <v>331</v>
      </c>
      <c r="B15" s="4" t="s">
        <v>332</v>
      </c>
      <c r="C15" s="4" t="s">
        <v>333</v>
      </c>
      <c r="D15" s="8" t="n">
        <v>0</v>
      </c>
      <c r="E15" s="8" t="n">
        <v>0</v>
      </c>
      <c r="F15" s="8" t="n">
        <v>1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</row>
    <row r="16" customFormat="false" ht="15" hidden="false" customHeight="false" outlineLevel="0" collapsed="false">
      <c r="A16" s="4" t="s">
        <v>334</v>
      </c>
      <c r="B16" s="4" t="s">
        <v>332</v>
      </c>
      <c r="C16" s="4" t="s">
        <v>335</v>
      </c>
      <c r="D16" s="8" t="n">
        <v>0</v>
      </c>
      <c r="E16" s="8" t="n">
        <v>0</v>
      </c>
      <c r="F16" s="8" t="n">
        <v>1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</row>
    <row r="17" customFormat="false" ht="15" hidden="false" customHeight="false" outlineLevel="0" collapsed="false">
      <c r="A17" s="4" t="s">
        <v>336</v>
      </c>
      <c r="B17" s="4" t="s">
        <v>332</v>
      </c>
      <c r="C17" s="4" t="s">
        <v>335</v>
      </c>
      <c r="D17" s="8" t="n">
        <v>0</v>
      </c>
      <c r="E17" s="8" t="n">
        <v>0</v>
      </c>
      <c r="F17" s="8" t="n">
        <v>0</v>
      </c>
      <c r="G17" s="8" t="n">
        <v>1</v>
      </c>
      <c r="H17" s="8" t="n">
        <v>0</v>
      </c>
      <c r="I17" s="8" t="n">
        <v>0</v>
      </c>
      <c r="J17" s="8" t="n">
        <v>0</v>
      </c>
      <c r="K17" s="8" t="n">
        <v>0</v>
      </c>
    </row>
    <row r="18" customFormat="false" ht="15" hidden="false" customHeight="false" outlineLevel="0" collapsed="false">
      <c r="A18" s="4" t="s">
        <v>337</v>
      </c>
      <c r="B18" s="4" t="s">
        <v>332</v>
      </c>
      <c r="C18" s="4" t="s">
        <v>335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1</v>
      </c>
      <c r="I18" s="8" t="n">
        <v>0</v>
      </c>
      <c r="J18" s="8" t="n">
        <v>0</v>
      </c>
      <c r="K18" s="8" t="n">
        <v>0</v>
      </c>
    </row>
    <row r="19" customFormat="false" ht="15" hidden="false" customHeight="false" outlineLevel="0" collapsed="false">
      <c r="A19" s="4" t="s">
        <v>338</v>
      </c>
      <c r="B19" s="4" t="s">
        <v>332</v>
      </c>
      <c r="C19" s="4" t="s">
        <v>335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1</v>
      </c>
      <c r="J19" s="8" t="n">
        <v>0</v>
      </c>
      <c r="K19" s="8" t="n">
        <v>0</v>
      </c>
    </row>
    <row r="20" customFormat="false" ht="15" hidden="false" customHeight="false" outlineLevel="0" collapsed="false">
      <c r="A20" s="4" t="s">
        <v>339</v>
      </c>
      <c r="B20" s="4" t="s">
        <v>340</v>
      </c>
      <c r="C20" s="4" t="s">
        <v>333</v>
      </c>
      <c r="D20" s="8" t="n">
        <v>1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</row>
    <row r="21" customFormat="false" ht="15" hidden="false" customHeight="false" outlineLevel="0" collapsed="false">
      <c r="A21" s="4" t="s">
        <v>341</v>
      </c>
      <c r="B21" s="4" t="s">
        <v>340</v>
      </c>
      <c r="C21" s="4" t="s">
        <v>333</v>
      </c>
      <c r="D21" s="8" t="n">
        <v>1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</row>
    <row r="22" customFormat="false" ht="15" hidden="false" customHeight="false" outlineLevel="0" collapsed="false">
      <c r="A22" s="4" t="s">
        <v>342</v>
      </c>
      <c r="B22" s="4" t="s">
        <v>261</v>
      </c>
      <c r="C22" s="4" t="s">
        <v>335</v>
      </c>
      <c r="D22" s="8" t="n">
        <v>0</v>
      </c>
      <c r="E22" s="8" t="n">
        <v>1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</row>
    <row r="23" customFormat="false" ht="15" hidden="false" customHeight="false" outlineLevel="0" collapsed="false">
      <c r="A23" s="4" t="s">
        <v>343</v>
      </c>
      <c r="B23" s="4" t="s">
        <v>261</v>
      </c>
      <c r="C23" s="4" t="s">
        <v>335</v>
      </c>
      <c r="D23" s="8" t="n">
        <v>0</v>
      </c>
      <c r="E23" s="8" t="n">
        <v>1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</row>
    <row r="24" customFormat="false" ht="15" hidden="false" customHeight="false" outlineLevel="0" collapsed="false">
      <c r="A24" s="4" t="s">
        <v>344</v>
      </c>
      <c r="B24" s="4" t="s">
        <v>261</v>
      </c>
      <c r="C24" s="4" t="s">
        <v>333</v>
      </c>
      <c r="D24" s="8" t="n">
        <v>0</v>
      </c>
      <c r="E24" s="8" t="n">
        <v>0</v>
      </c>
      <c r="F24" s="8" t="n">
        <v>1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</row>
    <row r="25" customFormat="false" ht="15" hidden="false" customHeight="false" outlineLevel="0" collapsed="false">
      <c r="A25" s="4" t="s">
        <v>345</v>
      </c>
      <c r="B25" s="4" t="s">
        <v>261</v>
      </c>
      <c r="C25" s="4" t="s">
        <v>335</v>
      </c>
      <c r="D25" s="8" t="n">
        <v>0</v>
      </c>
      <c r="E25" s="8" t="n">
        <v>0</v>
      </c>
      <c r="F25" s="8" t="n">
        <v>1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</row>
    <row r="26" customFormat="false" ht="15" hidden="false" customHeight="false" outlineLevel="0" collapsed="false">
      <c r="A26" s="4" t="s">
        <v>255</v>
      </c>
      <c r="B26" s="4" t="s">
        <v>261</v>
      </c>
      <c r="C26" s="4" t="s">
        <v>335</v>
      </c>
      <c r="D26" s="8" t="n">
        <v>0</v>
      </c>
      <c r="E26" s="8" t="n">
        <v>0</v>
      </c>
      <c r="F26" s="8" t="n">
        <v>0</v>
      </c>
      <c r="G26" s="8" t="n">
        <v>1</v>
      </c>
      <c r="H26" s="8" t="n">
        <v>0</v>
      </c>
      <c r="I26" s="8" t="n">
        <v>0</v>
      </c>
      <c r="J26" s="8" t="n">
        <v>0</v>
      </c>
      <c r="K26" s="8" t="n">
        <v>0</v>
      </c>
    </row>
    <row r="27" customFormat="false" ht="15" hidden="false" customHeight="false" outlineLevel="0" collapsed="false">
      <c r="A27" s="4" t="s">
        <v>346</v>
      </c>
      <c r="B27" s="4" t="s">
        <v>261</v>
      </c>
      <c r="C27" s="4" t="s">
        <v>333</v>
      </c>
      <c r="D27" s="8" t="n">
        <v>0</v>
      </c>
      <c r="E27" s="8" t="n">
        <v>0</v>
      </c>
      <c r="F27" s="8" t="n">
        <v>0</v>
      </c>
      <c r="G27" s="8" t="n">
        <v>1</v>
      </c>
      <c r="H27" s="8" t="n">
        <v>0</v>
      </c>
      <c r="I27" s="8" t="n">
        <v>0</v>
      </c>
      <c r="J27" s="8" t="n">
        <v>0</v>
      </c>
      <c r="K27" s="8" t="n">
        <v>0</v>
      </c>
    </row>
    <row r="28" customFormat="false" ht="15" hidden="false" customHeight="false" outlineLevel="0" collapsed="false">
      <c r="A28" s="4" t="s">
        <v>347</v>
      </c>
      <c r="B28" s="4" t="s">
        <v>261</v>
      </c>
      <c r="C28" s="4" t="s">
        <v>335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1</v>
      </c>
      <c r="I28" s="8" t="n">
        <v>0</v>
      </c>
      <c r="J28" s="8" t="n">
        <v>0</v>
      </c>
      <c r="K28" s="8" t="n">
        <v>0</v>
      </c>
    </row>
    <row r="29" customFormat="false" ht="15" hidden="false" customHeight="false" outlineLevel="0" collapsed="false">
      <c r="A29" s="4" t="s">
        <v>348</v>
      </c>
      <c r="B29" s="4" t="s">
        <v>340</v>
      </c>
      <c r="C29" s="4" t="s">
        <v>335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1</v>
      </c>
      <c r="K29" s="8" t="n">
        <v>0</v>
      </c>
    </row>
    <row r="30" customFormat="false" ht="15" hidden="false" customHeight="false" outlineLevel="0" collapsed="false">
      <c r="A30" s="4" t="s">
        <v>349</v>
      </c>
      <c r="B30" s="4" t="s">
        <v>340</v>
      </c>
      <c r="C30" s="4" t="s">
        <v>335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1</v>
      </c>
      <c r="K30" s="8" t="n">
        <v>0</v>
      </c>
    </row>
    <row r="31" customFormat="false" ht="15" hidden="false" customHeight="false" outlineLevel="0" collapsed="false">
      <c r="A31" s="4" t="s">
        <v>350</v>
      </c>
      <c r="B31" s="4" t="s">
        <v>340</v>
      </c>
      <c r="C31" s="4" t="s">
        <v>335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1</v>
      </c>
      <c r="K31" s="8" t="n">
        <v>0</v>
      </c>
    </row>
    <row r="32" customFormat="false" ht="15" hidden="false" customHeight="false" outlineLevel="0" collapsed="false">
      <c r="A32" s="4" t="s">
        <v>351</v>
      </c>
      <c r="B32" s="4" t="s">
        <v>340</v>
      </c>
      <c r="C32" s="4" t="s">
        <v>209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</v>
      </c>
    </row>
    <row r="33" customFormat="false" ht="15" hidden="false" customHeight="false" outlineLevel="0" collapsed="false">
      <c r="A33" s="4" t="s">
        <v>352</v>
      </c>
      <c r="B33" s="4" t="s">
        <v>340</v>
      </c>
      <c r="C33" s="4" t="s">
        <v>209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</v>
      </c>
    </row>
    <row r="34" customFormat="false" ht="15" hidden="false" customHeight="false" outlineLevel="0" collapsed="false">
      <c r="A34" s="4" t="s">
        <v>353</v>
      </c>
      <c r="B34" s="4" t="s">
        <v>340</v>
      </c>
      <c r="C34" s="4" t="s">
        <v>209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</v>
      </c>
    </row>
  </sheetData>
  <conditionalFormatting sqref="D15:K34">
    <cfRule type="cellIs" priority="2" operator="equal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5" min="5" style="0" width="70"/>
  </cols>
  <sheetData>
    <row r="1" customFormat="false" ht="19.7" hidden="false" customHeight="false" outlineLevel="0" collapsed="false">
      <c r="A1" s="1" t="s">
        <v>354</v>
      </c>
      <c r="B1" s="2"/>
      <c r="C1" s="2"/>
      <c r="D1" s="2"/>
      <c r="E1" s="2"/>
    </row>
    <row r="2" customFormat="false" ht="15" hidden="false" customHeight="false" outlineLevel="0" collapsed="false">
      <c r="A2" s="9" t="s">
        <v>355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5" t="s">
        <v>303</v>
      </c>
      <c r="B4" s="5" t="s">
        <v>95</v>
      </c>
      <c r="C4" s="5" t="s">
        <v>356</v>
      </c>
      <c r="D4" s="5" t="s">
        <v>357</v>
      </c>
      <c r="E4" s="5" t="s">
        <v>358</v>
      </c>
    </row>
    <row r="5" customFormat="false" ht="15" hidden="false" customHeight="false" outlineLevel="0" collapsed="false">
      <c r="A5" s="4" t="s">
        <v>359</v>
      </c>
      <c r="B5" s="4" t="s">
        <v>360</v>
      </c>
      <c r="C5" s="4" t="s">
        <v>361</v>
      </c>
      <c r="D5" s="4" t="s">
        <v>362</v>
      </c>
      <c r="E5" s="4" t="s">
        <v>363</v>
      </c>
    </row>
    <row r="6" customFormat="false" ht="15" hidden="false" customHeight="false" outlineLevel="0" collapsed="false">
      <c r="A6" s="4" t="s">
        <v>364</v>
      </c>
      <c r="B6" s="4" t="s">
        <v>365</v>
      </c>
      <c r="C6" s="4" t="s">
        <v>366</v>
      </c>
      <c r="D6" s="4" t="s">
        <v>367</v>
      </c>
      <c r="E6" s="4" t="s">
        <v>368</v>
      </c>
    </row>
    <row r="7" customFormat="false" ht="23.85" hidden="false" customHeight="false" outlineLevel="0" collapsed="false">
      <c r="A7" s="4" t="s">
        <v>369</v>
      </c>
      <c r="B7" s="4" t="s">
        <v>370</v>
      </c>
      <c r="C7" s="4" t="s">
        <v>371</v>
      </c>
      <c r="D7" s="4" t="s">
        <v>372</v>
      </c>
      <c r="E7" s="4" t="s">
        <v>373</v>
      </c>
    </row>
    <row r="8" customFormat="false" ht="15" hidden="false" customHeight="false" outlineLevel="0" collapsed="false">
      <c r="A8" s="4" t="s">
        <v>374</v>
      </c>
      <c r="B8" s="4" t="s">
        <v>375</v>
      </c>
      <c r="C8" s="4" t="s">
        <v>376</v>
      </c>
      <c r="D8" s="4" t="s">
        <v>377</v>
      </c>
      <c r="E8" s="4" t="s">
        <v>378</v>
      </c>
    </row>
    <row r="9" customFormat="false" ht="15" hidden="false" customHeight="false" outlineLevel="0" collapsed="false">
      <c r="A9" s="4" t="s">
        <v>379</v>
      </c>
      <c r="B9" s="4" t="s">
        <v>380</v>
      </c>
      <c r="C9" s="4" t="s">
        <v>381</v>
      </c>
      <c r="D9" s="4" t="s">
        <v>377</v>
      </c>
      <c r="E9" s="4" t="s">
        <v>382</v>
      </c>
    </row>
    <row r="10" customFormat="false" ht="15" hidden="false" customHeight="false" outlineLevel="0" collapsed="false">
      <c r="A10" s="4" t="s">
        <v>383</v>
      </c>
      <c r="B10" s="4" t="s">
        <v>384</v>
      </c>
      <c r="C10" s="4" t="s">
        <v>385</v>
      </c>
      <c r="D10" s="4" t="s">
        <v>386</v>
      </c>
      <c r="E10" s="4" t="s">
        <v>387</v>
      </c>
    </row>
    <row r="11" customFormat="false" ht="15" hidden="false" customHeight="false" outlineLevel="0" collapsed="false">
      <c r="A11" s="4" t="s">
        <v>388</v>
      </c>
      <c r="B11" s="4" t="s">
        <v>389</v>
      </c>
      <c r="C11" s="4" t="s">
        <v>385</v>
      </c>
      <c r="D11" s="4" t="s">
        <v>390</v>
      </c>
      <c r="E11" s="4" t="s">
        <v>391</v>
      </c>
    </row>
    <row r="12" customFormat="false" ht="23.85" hidden="false" customHeight="false" outlineLevel="0" collapsed="false">
      <c r="A12" s="4" t="s">
        <v>392</v>
      </c>
      <c r="B12" s="4" t="s">
        <v>393</v>
      </c>
      <c r="C12" s="4" t="s">
        <v>385</v>
      </c>
      <c r="D12" s="4" t="s">
        <v>394</v>
      </c>
      <c r="E12" s="4" t="s">
        <v>395</v>
      </c>
    </row>
    <row r="13" customFormat="false" ht="23.85" hidden="false" customHeight="false" outlineLevel="0" collapsed="false">
      <c r="A13" s="4" t="s">
        <v>396</v>
      </c>
      <c r="B13" s="4" t="s">
        <v>397</v>
      </c>
      <c r="C13" s="4" t="s">
        <v>385</v>
      </c>
      <c r="D13" s="4" t="s">
        <v>398</v>
      </c>
      <c r="E13" s="4" t="s">
        <v>399</v>
      </c>
    </row>
    <row r="14" customFormat="false" ht="15" hidden="false" customHeight="false" outlineLevel="0" collapsed="false">
      <c r="A14" s="4" t="s">
        <v>400</v>
      </c>
      <c r="B14" s="4" t="s">
        <v>401</v>
      </c>
      <c r="C14" s="4" t="s">
        <v>385</v>
      </c>
      <c r="D14" s="4" t="s">
        <v>402</v>
      </c>
      <c r="E14" s="4" t="s">
        <v>403</v>
      </c>
    </row>
    <row r="15" customFormat="false" ht="15" hidden="false" customHeight="false" outlineLevel="0" collapsed="false">
      <c r="A15" s="4" t="s">
        <v>296</v>
      </c>
      <c r="B15" s="4" t="s">
        <v>299</v>
      </c>
      <c r="C15" s="4" t="s">
        <v>385</v>
      </c>
      <c r="D15" s="4" t="s">
        <v>404</v>
      </c>
      <c r="E15" s="4" t="s">
        <v>405</v>
      </c>
    </row>
    <row r="16" customFormat="false" ht="15" hidden="false" customHeight="false" outlineLevel="0" collapsed="false">
      <c r="A16" s="4" t="s">
        <v>406</v>
      </c>
      <c r="B16" s="4" t="s">
        <v>407</v>
      </c>
      <c r="C16" s="4" t="s">
        <v>385</v>
      </c>
      <c r="D16" s="4" t="s">
        <v>404</v>
      </c>
      <c r="E16" s="4" t="s">
        <v>408</v>
      </c>
    </row>
    <row r="17" customFormat="false" ht="15" hidden="false" customHeight="false" outlineLevel="0" collapsed="false">
      <c r="A17" s="4" t="s">
        <v>409</v>
      </c>
      <c r="B17" s="4" t="s">
        <v>410</v>
      </c>
      <c r="C17" s="4" t="s">
        <v>385</v>
      </c>
      <c r="D17" s="4" t="s">
        <v>411</v>
      </c>
      <c r="E17" s="4" t="s">
        <v>412</v>
      </c>
    </row>
    <row r="18" customFormat="false" ht="15" hidden="false" customHeight="false" outlineLevel="0" collapsed="false">
      <c r="A18" s="4" t="s">
        <v>413</v>
      </c>
      <c r="B18" s="4" t="s">
        <v>414</v>
      </c>
      <c r="C18" s="4" t="s">
        <v>385</v>
      </c>
      <c r="D18" s="4" t="s">
        <v>348</v>
      </c>
      <c r="E18" s="4" t="s">
        <v>415</v>
      </c>
    </row>
    <row r="19" customFormat="false" ht="15" hidden="false" customHeight="false" outlineLevel="0" collapsed="false">
      <c r="A19" s="4" t="s">
        <v>416</v>
      </c>
      <c r="B19" s="4" t="s">
        <v>417</v>
      </c>
      <c r="C19" s="4" t="s">
        <v>385</v>
      </c>
      <c r="D19" s="4" t="s">
        <v>350</v>
      </c>
      <c r="E19" s="4" t="s">
        <v>418</v>
      </c>
    </row>
    <row r="20" customFormat="false" ht="15" hidden="false" customHeight="false" outlineLevel="0" collapsed="false">
      <c r="A20" s="4" t="s">
        <v>419</v>
      </c>
      <c r="B20" s="4" t="s">
        <v>420</v>
      </c>
      <c r="C20" s="4" t="s">
        <v>385</v>
      </c>
      <c r="D20" s="4" t="s">
        <v>421</v>
      </c>
      <c r="E20" s="4" t="s">
        <v>422</v>
      </c>
    </row>
    <row r="21" customFormat="false" ht="15" hidden="false" customHeight="false" outlineLevel="0" collapsed="false">
      <c r="A21" s="4" t="s">
        <v>423</v>
      </c>
      <c r="B21" s="4" t="s">
        <v>424</v>
      </c>
      <c r="C21" s="4" t="s">
        <v>385</v>
      </c>
      <c r="D21" s="4" t="s">
        <v>348</v>
      </c>
      <c r="E21" s="4" t="s">
        <v>425</v>
      </c>
    </row>
    <row r="22" customFormat="false" ht="15" hidden="false" customHeight="false" outlineLevel="0" collapsed="false">
      <c r="A22" s="4" t="s">
        <v>426</v>
      </c>
      <c r="B22" s="4" t="s">
        <v>427</v>
      </c>
      <c r="C22" s="4" t="s">
        <v>385</v>
      </c>
      <c r="D22" s="4" t="s">
        <v>428</v>
      </c>
      <c r="E22" s="4" t="s">
        <v>429</v>
      </c>
    </row>
    <row r="23" customFormat="false" ht="15" hidden="false" customHeight="false" outlineLevel="0" collapsed="false">
      <c r="A23" s="4" t="s">
        <v>430</v>
      </c>
      <c r="B23" s="4" t="s">
        <v>431</v>
      </c>
      <c r="C23" s="4" t="s">
        <v>385</v>
      </c>
      <c r="D23" s="4" t="s">
        <v>338</v>
      </c>
      <c r="E23" s="4" t="s">
        <v>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6"/>
    <col collapsed="false" customWidth="true" hidden="false" outlineLevel="0" max="4" min="3" style="0" width="14"/>
    <col collapsed="false" customWidth="true" hidden="false" outlineLevel="0" max="7" min="5" style="0" width="16"/>
    <col collapsed="false" customWidth="true" hidden="false" outlineLevel="0" max="8" min="8" style="0" width="12"/>
    <col collapsed="false" customWidth="true" hidden="false" outlineLevel="0" max="24" min="9" style="0" width="7"/>
  </cols>
  <sheetData>
    <row r="1" customFormat="false" ht="19.7" hidden="false" customHeight="false" outlineLevel="0" collapsed="false">
      <c r="A1" s="1" t="s">
        <v>433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5" hidden="false" customHeight="false" outlineLevel="0" collapsed="false">
      <c r="A2" s="9" t="s">
        <v>434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15" hidden="false" customHeight="false" outlineLevel="0" collapsed="false">
      <c r="A4" s="3" t="s">
        <v>435</v>
      </c>
      <c r="B4" s="10" t="s">
        <v>118</v>
      </c>
      <c r="C4" s="9" t="str">
        <f aca="false">IF($B$4="Todos","&lt;&gt;",$B$4)</f>
        <v>Evaluación</v>
      </c>
      <c r="D4" s="9" t="s">
        <v>436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customFormat="false" ht="15" hidden="false" customHeight="false" outlineLevel="0" collapsed="false">
      <c r="A5" s="3" t="s">
        <v>437</v>
      </c>
      <c r="B5" s="10" t="s">
        <v>377</v>
      </c>
      <c r="C5" s="9" t="str">
        <f aca="false">IF($B$5="Todos","&lt;&gt;",$B$5)</f>
        <v>&lt;&gt;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customFormat="false" ht="15" hidden="false" customHeight="false" outlineLevel="0" collapsed="false">
      <c r="A6" s="3" t="s">
        <v>438</v>
      </c>
      <c r="B6" s="10" t="s">
        <v>377</v>
      </c>
      <c r="C6" s="9" t="str">
        <f aca="false">IF($B$6="Todos","&lt;&gt;",$B$6)</f>
        <v>&lt;&gt;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customFormat="false" ht="15" hidden="false" customHeight="false" outlineLevel="0" collapsed="false">
      <c r="A7" s="3" t="s">
        <v>439</v>
      </c>
      <c r="B7" s="11" t="n">
        <v>0.7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customFormat="false" ht="15" hidden="false" customHeight="false" outlineLevel="0" collapsed="false">
      <c r="A8" s="3" t="s">
        <v>440</v>
      </c>
      <c r="B8" s="10" t="n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customFormat="false" ht="15" hidden="false" customHeight="false" outlineLevel="0" collapsed="false">
      <c r="A10" s="12" t="s">
        <v>441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customFormat="false" ht="15" hidden="false" customHeight="false" outlineLevel="0" collapsed="false">
      <c r="A11" s="13" t="s">
        <v>442</v>
      </c>
      <c r="B11" s="14" t="n">
        <f aca="false">COUNTIFS(Datos_problemas!$F:$F,$C$4,Datos_problemas!$D:$D,$C$5,Datos_problemas!$E:$E,$C$6)</f>
        <v>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customFormat="false" ht="15" hidden="false" customHeight="false" outlineLevel="0" collapsed="false">
      <c r="A12" s="13" t="s">
        <v>443</v>
      </c>
      <c r="B12" s="14" t="n">
        <f aca="false">MAX(Datos_problemas!$AV:$AV)</f>
        <v>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customFormat="false" ht="15" hidden="false" customHeight="false" outlineLevel="0" collapsed="false">
      <c r="A13" s="13" t="s">
        <v>444</v>
      </c>
      <c r="B13" s="15" t="str">
        <f aca="false">IFERROR(AVERAGEIFS(Datos_problemas!$AE:$AE,Datos_problemas!$F:$F,$C$4,Datos_problemas!$D:$D,$C$5,Datos_problemas!$E:$E,$C$6),"")</f>
        <v/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customFormat="false" ht="15" hidden="false" customHeight="false" outlineLevel="0" collapsed="false">
      <c r="A14" s="13" t="s">
        <v>445</v>
      </c>
      <c r="B14" s="16" t="str">
        <f aca="false">IFERROR(COUNTIFS(Datos_problemas!$F:$F,$C$4,Datos_problemas!$D:$D,$C$5,Datos_problemas!$E:$E,$C$6,Datos_problemas!$AE:$AE,"&gt;="&amp;$B$8)/B11,"")</f>
        <v/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customFormat="false" ht="15" hidden="false" customHeight="false" outlineLevel="0" collapsed="false">
      <c r="A15" s="13" t="s">
        <v>446</v>
      </c>
      <c r="B15" s="15" t="str">
        <f aca="false">IFERROR(AVERAGEIFS(Datos_problemas!$Y:$Y,Datos_problemas!$F:$F,$C$4,Datos_problemas!$D:$D,$C$5,Datos_problemas!$E:$E,$C$6)/60,"")</f>
        <v/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customFormat="false" ht="15" hidden="false" customHeight="false" outlineLevel="0" collapsed="false">
      <c r="A16" s="13" t="s">
        <v>447</v>
      </c>
      <c r="B16" s="16" t="str">
        <f aca="false">IFERROR(AVERAGEIFS(Datos_problemas!$AC:$AC,Datos_problemas!$F:$F,$C$4,Datos_problemas!$D:$D,$C$5,Datos_problemas!$E:$E,$C$6)/100,"")</f>
        <v/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customFormat="false" ht="15" hidden="false" customHeight="false" outlineLevel="0" collapsed="false">
      <c r="A17" s="13" t="s">
        <v>448</v>
      </c>
      <c r="B17" s="16" t="str">
        <f aca="false">IFERROR(AVERAGEIFS(Datos_problemas!$AD:$AD,Datos_problemas!$F:$F,$C$4,Datos_problemas!$D:$D,$C$5,Datos_problemas!$E:$E,$C$6)/100,"")</f>
        <v/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customFormat="false" ht="15" hidden="false" customHeight="false" outlineLevel="0" collapsed="false">
      <c r="A18" s="13" t="s">
        <v>449</v>
      </c>
      <c r="B18" s="17" t="str">
        <f aca="false">IFERROR(AVERAGEIFS(Datos_problemas!$AJ:$AJ,Datos_problemas!$F:$F,$C$4,Datos_problemas!$D:$D,$C$5,Datos_problemas!$E:$E,$C$6),"")</f>
        <v/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customFormat="false" ht="15" hidden="false" customHeight="false" outlineLevel="0" collapsed="false">
      <c r="A19" s="13" t="s">
        <v>450</v>
      </c>
      <c r="B19" s="17" t="str">
        <f aca="false">IFERROR(AVERAGEIFS(Datos_problemas!$AK:$AK,Datos_problemas!$F:$F,$C$4,Datos_problemas!$D:$D,$C$5,Datos_problemas!$E:$E,$C$6),"")</f>
        <v/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customFormat="false" ht="15" hidden="false" customHeight="false" outlineLevel="0" collapsed="false">
      <c r="A21" s="12" t="s">
        <v>451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customFormat="false" ht="23.85" hidden="false" customHeight="false" outlineLevel="0" collapsed="false">
      <c r="A22" s="5" t="s">
        <v>304</v>
      </c>
      <c r="B22" s="5" t="s">
        <v>452</v>
      </c>
      <c r="C22" s="5" t="s">
        <v>332</v>
      </c>
      <c r="D22" s="5" t="s">
        <v>261</v>
      </c>
      <c r="E22" s="5" t="s">
        <v>340</v>
      </c>
      <c r="F22" s="5" t="s">
        <v>453</v>
      </c>
      <c r="G22" s="5" t="s">
        <v>454</v>
      </c>
      <c r="H22" s="5" t="s">
        <v>455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customFormat="false" ht="15" hidden="false" customHeight="false" outlineLevel="0" collapsed="false">
      <c r="A23" s="3" t="s">
        <v>306</v>
      </c>
      <c r="B23" s="13" t="s">
        <v>307</v>
      </c>
      <c r="C23" s="18" t="str">
        <f aca="false">IFERROR(SUMIFS(Datos_items!$Z:$Z,Datos_items!$O:$O,$A23,Datos_items!$N:$N,C$22,Datos_items!$E:$E,$C$4,Datos_items!$C:$C,$C$5,Datos_items!$D:$D,$C$6)/COUNTIFS(Datos_items!$O:$O,$A23,Datos_items!$N:$N,C$22,Datos_items!$E:$E,$C$4,Datos_items!$C:$C,$C$5,Datos_items!$D:$D,$C$6),"")</f>
        <v/>
      </c>
      <c r="D23" s="18" t="str">
        <f aca="false">IFERROR(SUMIFS(Datos_items!$Z:$Z,Datos_items!$O:$O,$A23,Datos_items!$N:$N,D$22,Datos_items!$E:$E,$C$4,Datos_items!$C:$C,$C$5,Datos_items!$D:$D,$C$6)/COUNTIFS(Datos_items!$O:$O,$A23,Datos_items!$N:$N,D$22,Datos_items!$E:$E,$C$4,Datos_items!$C:$C,$C$5,Datos_items!$D:$D,$C$6),"")</f>
        <v/>
      </c>
      <c r="E23" s="18" t="str">
        <f aca="false">IFERROR(SUMIFS(Datos_items!$Z:$Z,Datos_items!$O:$O,$A23,Datos_items!$N:$N,E$22,Datos_items!$E:$E,$C$4,Datos_items!$C:$C,$C$5,Datos_items!$D:$D,$C$6)/COUNTIFS(Datos_items!$O:$O,$A23,Datos_items!$N:$N,E$22,Datos_items!$E:$E,$C$4,Datos_items!$C:$C,$C$5,Datos_items!$D:$D,$C$6),"")</f>
        <v/>
      </c>
      <c r="F23" s="18" t="str">
        <f aca="false">IFERROR(SUMIFS(Datos_items!$Z:$Z,Datos_items!$O:$O,$A23,Datos_items!$E:$E,$C$4,Datos_items!$C:$C,$C$5,Datos_items!$D:$D,$C$6)/COUNTIFS(Datos_items!$O:$O,$A23,Datos_items!$E:$E,$C$4,Datos_items!$C:$C,$C$5,Datos_items!$D:$D,$C$6),"")</f>
        <v/>
      </c>
      <c r="G23" s="2" t="n">
        <f aca="false">COUNTIFS(Datos_items!$O:$O,$A23,Datos_items!$E:$E,$C$4,Datos_items!$C:$C,$C$5,Datos_items!$D:$D,$C$6)</f>
        <v>0</v>
      </c>
      <c r="H23" s="2" t="str">
        <f aca="false">IF(F23="","",IF(F23&gt;=$B$7,"Sí","No"))</f>
        <v/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customFormat="false" ht="15" hidden="false" customHeight="false" outlineLevel="0" collapsed="false">
      <c r="A24" s="3" t="s">
        <v>309</v>
      </c>
      <c r="B24" s="13" t="s">
        <v>310</v>
      </c>
      <c r="C24" s="18" t="str">
        <f aca="false">IFERROR(SUMIFS(Datos_items!$Z:$Z,Datos_items!$O:$O,$A24,Datos_items!$N:$N,C$22,Datos_items!$E:$E,$C$4,Datos_items!$C:$C,$C$5,Datos_items!$D:$D,$C$6)/COUNTIFS(Datos_items!$O:$O,$A24,Datos_items!$N:$N,C$22,Datos_items!$E:$E,$C$4,Datos_items!$C:$C,$C$5,Datos_items!$D:$D,$C$6),"")</f>
        <v/>
      </c>
      <c r="D24" s="18" t="str">
        <f aca="false">IFERROR(SUMIFS(Datos_items!$Z:$Z,Datos_items!$O:$O,$A24,Datos_items!$N:$N,D$22,Datos_items!$E:$E,$C$4,Datos_items!$C:$C,$C$5,Datos_items!$D:$D,$C$6)/COUNTIFS(Datos_items!$O:$O,$A24,Datos_items!$N:$N,D$22,Datos_items!$E:$E,$C$4,Datos_items!$C:$C,$C$5,Datos_items!$D:$D,$C$6),"")</f>
        <v/>
      </c>
      <c r="E24" s="18" t="str">
        <f aca="false">IFERROR(SUMIFS(Datos_items!$Z:$Z,Datos_items!$O:$O,$A24,Datos_items!$N:$N,E$22,Datos_items!$E:$E,$C$4,Datos_items!$C:$C,$C$5,Datos_items!$D:$D,$C$6)/COUNTIFS(Datos_items!$O:$O,$A24,Datos_items!$N:$N,E$22,Datos_items!$E:$E,$C$4,Datos_items!$C:$C,$C$5,Datos_items!$D:$D,$C$6),"")</f>
        <v/>
      </c>
      <c r="F24" s="18" t="str">
        <f aca="false">IFERROR(SUMIFS(Datos_items!$Z:$Z,Datos_items!$O:$O,$A24,Datos_items!$E:$E,$C$4,Datos_items!$C:$C,$C$5,Datos_items!$D:$D,$C$6)/COUNTIFS(Datos_items!$O:$O,$A24,Datos_items!$E:$E,$C$4,Datos_items!$C:$C,$C$5,Datos_items!$D:$D,$C$6),"")</f>
        <v/>
      </c>
      <c r="G24" s="2" t="n">
        <f aca="false">COUNTIFS(Datos_items!$O:$O,$A24,Datos_items!$E:$E,$C$4,Datos_items!$C:$C,$C$5,Datos_items!$D:$D,$C$6)</f>
        <v>0</v>
      </c>
      <c r="H24" s="2" t="str">
        <f aca="false">IF(F24="","",IF(F24&gt;=$B$7,"Sí","No"))</f>
        <v/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customFormat="false" ht="15" hidden="false" customHeight="false" outlineLevel="0" collapsed="false">
      <c r="A25" s="3" t="s">
        <v>312</v>
      </c>
      <c r="B25" s="13" t="s">
        <v>313</v>
      </c>
      <c r="C25" s="18" t="str">
        <f aca="false">IFERROR(SUMIFS(Datos_items!$Z:$Z,Datos_items!$O:$O,$A25,Datos_items!$N:$N,C$22,Datos_items!$E:$E,$C$4,Datos_items!$C:$C,$C$5,Datos_items!$D:$D,$C$6)/COUNTIFS(Datos_items!$O:$O,$A25,Datos_items!$N:$N,C$22,Datos_items!$E:$E,$C$4,Datos_items!$C:$C,$C$5,Datos_items!$D:$D,$C$6),"")</f>
        <v/>
      </c>
      <c r="D25" s="18" t="str">
        <f aca="false">IFERROR(SUMIFS(Datos_items!$Z:$Z,Datos_items!$O:$O,$A25,Datos_items!$N:$N,D$22,Datos_items!$E:$E,$C$4,Datos_items!$C:$C,$C$5,Datos_items!$D:$D,$C$6)/COUNTIFS(Datos_items!$O:$O,$A25,Datos_items!$N:$N,D$22,Datos_items!$E:$E,$C$4,Datos_items!$C:$C,$C$5,Datos_items!$D:$D,$C$6),"")</f>
        <v/>
      </c>
      <c r="E25" s="18" t="str">
        <f aca="false">IFERROR(SUMIFS(Datos_items!$Z:$Z,Datos_items!$O:$O,$A25,Datos_items!$N:$N,E$22,Datos_items!$E:$E,$C$4,Datos_items!$C:$C,$C$5,Datos_items!$D:$D,$C$6)/COUNTIFS(Datos_items!$O:$O,$A25,Datos_items!$N:$N,E$22,Datos_items!$E:$E,$C$4,Datos_items!$C:$C,$C$5,Datos_items!$D:$D,$C$6),"")</f>
        <v/>
      </c>
      <c r="F25" s="18" t="str">
        <f aca="false">IFERROR(SUMIFS(Datos_items!$Z:$Z,Datos_items!$O:$O,$A25,Datos_items!$E:$E,$C$4,Datos_items!$C:$C,$C$5,Datos_items!$D:$D,$C$6)/COUNTIFS(Datos_items!$O:$O,$A25,Datos_items!$E:$E,$C$4,Datos_items!$C:$C,$C$5,Datos_items!$D:$D,$C$6),"")</f>
        <v/>
      </c>
      <c r="G25" s="2" t="n">
        <f aca="false">COUNTIFS(Datos_items!$O:$O,$A25,Datos_items!$E:$E,$C$4,Datos_items!$C:$C,$C$5,Datos_items!$D:$D,$C$6)</f>
        <v>0</v>
      </c>
      <c r="H25" s="2" t="str">
        <f aca="false">IF(F25="","",IF(F25&gt;=$B$7,"Sí","No"))</f>
        <v/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customFormat="false" ht="15" hidden="false" customHeight="false" outlineLevel="0" collapsed="false">
      <c r="A26" s="3" t="s">
        <v>221</v>
      </c>
      <c r="B26" s="13" t="s">
        <v>266</v>
      </c>
      <c r="C26" s="18" t="str">
        <f aca="false">IFERROR(SUMIFS(Datos_items!$Z:$Z,Datos_items!$O:$O,$A26,Datos_items!$N:$N,C$22,Datos_items!$E:$E,$C$4,Datos_items!$C:$C,$C$5,Datos_items!$D:$D,$C$6)/COUNTIFS(Datos_items!$O:$O,$A26,Datos_items!$N:$N,C$22,Datos_items!$E:$E,$C$4,Datos_items!$C:$C,$C$5,Datos_items!$D:$D,$C$6),"")</f>
        <v/>
      </c>
      <c r="D26" s="18" t="str">
        <f aca="false">IFERROR(SUMIFS(Datos_items!$Z:$Z,Datos_items!$O:$O,$A26,Datos_items!$N:$N,D$22,Datos_items!$E:$E,$C$4,Datos_items!$C:$C,$C$5,Datos_items!$D:$D,$C$6)/COUNTIFS(Datos_items!$O:$O,$A26,Datos_items!$N:$N,D$22,Datos_items!$E:$E,$C$4,Datos_items!$C:$C,$C$5,Datos_items!$D:$D,$C$6),"")</f>
        <v/>
      </c>
      <c r="E26" s="18" t="str">
        <f aca="false">IFERROR(SUMIFS(Datos_items!$Z:$Z,Datos_items!$O:$O,$A26,Datos_items!$N:$N,E$22,Datos_items!$E:$E,$C$4,Datos_items!$C:$C,$C$5,Datos_items!$D:$D,$C$6)/COUNTIFS(Datos_items!$O:$O,$A26,Datos_items!$N:$N,E$22,Datos_items!$E:$E,$C$4,Datos_items!$C:$C,$C$5,Datos_items!$D:$D,$C$6),"")</f>
        <v/>
      </c>
      <c r="F26" s="18" t="str">
        <f aca="false">IFERROR(SUMIFS(Datos_items!$Z:$Z,Datos_items!$O:$O,$A26,Datos_items!$E:$E,$C$4,Datos_items!$C:$C,$C$5,Datos_items!$D:$D,$C$6)/COUNTIFS(Datos_items!$O:$O,$A26,Datos_items!$E:$E,$C$4,Datos_items!$C:$C,$C$5,Datos_items!$D:$D,$C$6),"")</f>
        <v/>
      </c>
      <c r="G26" s="2" t="n">
        <f aca="false">COUNTIFS(Datos_items!$O:$O,$A26,Datos_items!$E:$E,$C$4,Datos_items!$C:$C,$C$5,Datos_items!$D:$D,$C$6)</f>
        <v>0</v>
      </c>
      <c r="H26" s="2" t="str">
        <f aca="false">IF(F26="","",IF(F26&gt;=$B$7,"Sí","No"))</f>
        <v/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customFormat="false" ht="15" hidden="false" customHeight="false" outlineLevel="0" collapsed="false">
      <c r="A27" s="3" t="s">
        <v>316</v>
      </c>
      <c r="B27" s="13" t="s">
        <v>317</v>
      </c>
      <c r="C27" s="18" t="str">
        <f aca="false">IFERROR(SUMIFS(Datos_items!$Z:$Z,Datos_items!$O:$O,$A27,Datos_items!$N:$N,C$22,Datos_items!$E:$E,$C$4,Datos_items!$C:$C,$C$5,Datos_items!$D:$D,$C$6)/COUNTIFS(Datos_items!$O:$O,$A27,Datos_items!$N:$N,C$22,Datos_items!$E:$E,$C$4,Datos_items!$C:$C,$C$5,Datos_items!$D:$D,$C$6),"")</f>
        <v/>
      </c>
      <c r="D27" s="18" t="str">
        <f aca="false">IFERROR(SUMIFS(Datos_items!$Z:$Z,Datos_items!$O:$O,$A27,Datos_items!$N:$N,D$22,Datos_items!$E:$E,$C$4,Datos_items!$C:$C,$C$5,Datos_items!$D:$D,$C$6)/COUNTIFS(Datos_items!$O:$O,$A27,Datos_items!$N:$N,D$22,Datos_items!$E:$E,$C$4,Datos_items!$C:$C,$C$5,Datos_items!$D:$D,$C$6),"")</f>
        <v/>
      </c>
      <c r="E27" s="18" t="str">
        <f aca="false">IFERROR(SUMIFS(Datos_items!$Z:$Z,Datos_items!$O:$O,$A27,Datos_items!$N:$N,E$22,Datos_items!$E:$E,$C$4,Datos_items!$C:$C,$C$5,Datos_items!$D:$D,$C$6)/COUNTIFS(Datos_items!$O:$O,$A27,Datos_items!$N:$N,E$22,Datos_items!$E:$E,$C$4,Datos_items!$C:$C,$C$5,Datos_items!$D:$D,$C$6),"")</f>
        <v/>
      </c>
      <c r="F27" s="18" t="str">
        <f aca="false">IFERROR(SUMIFS(Datos_items!$Z:$Z,Datos_items!$O:$O,$A27,Datos_items!$E:$E,$C$4,Datos_items!$C:$C,$C$5,Datos_items!$D:$D,$C$6)/COUNTIFS(Datos_items!$O:$O,$A27,Datos_items!$E:$E,$C$4,Datos_items!$C:$C,$C$5,Datos_items!$D:$D,$C$6),"")</f>
        <v/>
      </c>
      <c r="G27" s="2" t="n">
        <f aca="false">COUNTIFS(Datos_items!$O:$O,$A27,Datos_items!$E:$E,$C$4,Datos_items!$C:$C,$C$5,Datos_items!$D:$D,$C$6)</f>
        <v>0</v>
      </c>
      <c r="H27" s="2" t="str">
        <f aca="false">IF(F27="","",IF(F27&gt;=$B$7,"Sí","No"))</f>
        <v/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customFormat="false" ht="15" hidden="false" customHeight="false" outlineLevel="0" collapsed="false">
      <c r="A28" s="3" t="s">
        <v>319</v>
      </c>
      <c r="B28" s="13" t="s">
        <v>320</v>
      </c>
      <c r="C28" s="18" t="str">
        <f aca="false">IFERROR(SUMIFS(Datos_items!$Z:$Z,Datos_items!$O:$O,$A28,Datos_items!$N:$N,C$22,Datos_items!$E:$E,$C$4,Datos_items!$C:$C,$C$5,Datos_items!$D:$D,$C$6)/COUNTIFS(Datos_items!$O:$O,$A28,Datos_items!$N:$N,C$22,Datos_items!$E:$E,$C$4,Datos_items!$C:$C,$C$5,Datos_items!$D:$D,$C$6),"")</f>
        <v/>
      </c>
      <c r="D28" s="18" t="str">
        <f aca="false">IFERROR(SUMIFS(Datos_items!$Z:$Z,Datos_items!$O:$O,$A28,Datos_items!$N:$N,D$22,Datos_items!$E:$E,$C$4,Datos_items!$C:$C,$C$5,Datos_items!$D:$D,$C$6)/COUNTIFS(Datos_items!$O:$O,$A28,Datos_items!$N:$N,D$22,Datos_items!$E:$E,$C$4,Datos_items!$C:$C,$C$5,Datos_items!$D:$D,$C$6),"")</f>
        <v/>
      </c>
      <c r="E28" s="18" t="str">
        <f aca="false">IFERROR(SUMIFS(Datos_items!$Z:$Z,Datos_items!$O:$O,$A28,Datos_items!$N:$N,E$22,Datos_items!$E:$E,$C$4,Datos_items!$C:$C,$C$5,Datos_items!$D:$D,$C$6)/COUNTIFS(Datos_items!$O:$O,$A28,Datos_items!$N:$N,E$22,Datos_items!$E:$E,$C$4,Datos_items!$C:$C,$C$5,Datos_items!$D:$D,$C$6),"")</f>
        <v/>
      </c>
      <c r="F28" s="18" t="str">
        <f aca="false">IFERROR(SUMIFS(Datos_items!$Z:$Z,Datos_items!$O:$O,$A28,Datos_items!$E:$E,$C$4,Datos_items!$C:$C,$C$5,Datos_items!$D:$D,$C$6)/COUNTIFS(Datos_items!$O:$O,$A28,Datos_items!$E:$E,$C$4,Datos_items!$C:$C,$C$5,Datos_items!$D:$D,$C$6),"")</f>
        <v/>
      </c>
      <c r="G28" s="2" t="n">
        <f aca="false">COUNTIFS(Datos_items!$O:$O,$A28,Datos_items!$E:$E,$C$4,Datos_items!$C:$C,$C$5,Datos_items!$D:$D,$C$6)</f>
        <v>0</v>
      </c>
      <c r="H28" s="2" t="str">
        <f aca="false">IF(F28="","",IF(F28&gt;=$B$7,"Sí","No"))</f>
        <v/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customFormat="false" ht="15" hidden="false" customHeight="false" outlineLevel="0" collapsed="false">
      <c r="A29" s="3" t="s">
        <v>322</v>
      </c>
      <c r="B29" s="13" t="s">
        <v>323</v>
      </c>
      <c r="C29" s="18" t="str">
        <f aca="false">IFERROR(SUMIFS(Datos_items!$Z:$Z,Datos_items!$O:$O,$A29,Datos_items!$N:$N,C$22,Datos_items!$E:$E,$C$4,Datos_items!$C:$C,$C$5,Datos_items!$D:$D,$C$6)/COUNTIFS(Datos_items!$O:$O,$A29,Datos_items!$N:$N,C$22,Datos_items!$E:$E,$C$4,Datos_items!$C:$C,$C$5,Datos_items!$D:$D,$C$6),"")</f>
        <v/>
      </c>
      <c r="D29" s="18" t="str">
        <f aca="false">IFERROR(SUMIFS(Datos_items!$Z:$Z,Datos_items!$O:$O,$A29,Datos_items!$N:$N,D$22,Datos_items!$E:$E,$C$4,Datos_items!$C:$C,$C$5,Datos_items!$D:$D,$C$6)/COUNTIFS(Datos_items!$O:$O,$A29,Datos_items!$N:$N,D$22,Datos_items!$E:$E,$C$4,Datos_items!$C:$C,$C$5,Datos_items!$D:$D,$C$6),"")</f>
        <v/>
      </c>
      <c r="E29" s="18" t="str">
        <f aca="false">IFERROR(SUMIFS(Datos_items!$Z:$Z,Datos_items!$O:$O,$A29,Datos_items!$N:$N,E$22,Datos_items!$E:$E,$C$4,Datos_items!$C:$C,$C$5,Datos_items!$D:$D,$C$6)/COUNTIFS(Datos_items!$O:$O,$A29,Datos_items!$N:$N,E$22,Datos_items!$E:$E,$C$4,Datos_items!$C:$C,$C$5,Datos_items!$D:$D,$C$6),"")</f>
        <v/>
      </c>
      <c r="F29" s="18" t="str">
        <f aca="false">IFERROR(SUMIFS(Datos_items!$Z:$Z,Datos_items!$O:$O,$A29,Datos_items!$E:$E,$C$4,Datos_items!$C:$C,$C$5,Datos_items!$D:$D,$C$6)/COUNTIFS(Datos_items!$O:$O,$A29,Datos_items!$E:$E,$C$4,Datos_items!$C:$C,$C$5,Datos_items!$D:$D,$C$6),"")</f>
        <v/>
      </c>
      <c r="G29" s="2" t="n">
        <f aca="false">COUNTIFS(Datos_items!$O:$O,$A29,Datos_items!$E:$E,$C$4,Datos_items!$C:$C,$C$5,Datos_items!$D:$D,$C$6)</f>
        <v>0</v>
      </c>
      <c r="H29" s="2" t="str">
        <f aca="false">IF(F29="","",IF(F29&gt;=$B$7,"Sí","No"))</f>
        <v/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customFormat="false" ht="15" hidden="false" customHeight="false" outlineLevel="0" collapsed="false">
      <c r="A30" s="3" t="s">
        <v>325</v>
      </c>
      <c r="B30" s="13" t="s">
        <v>326</v>
      </c>
      <c r="C30" s="18" t="str">
        <f aca="false">IFERROR(SUMIFS(Datos_items!$Z:$Z,Datos_items!$O:$O,$A30,Datos_items!$N:$N,C$22,Datos_items!$E:$E,$C$4,Datos_items!$C:$C,$C$5,Datos_items!$D:$D,$C$6)/COUNTIFS(Datos_items!$O:$O,$A30,Datos_items!$N:$N,C$22,Datos_items!$E:$E,$C$4,Datos_items!$C:$C,$C$5,Datos_items!$D:$D,$C$6),"")</f>
        <v/>
      </c>
      <c r="D30" s="18" t="str">
        <f aca="false">IFERROR(SUMIFS(Datos_items!$Z:$Z,Datos_items!$O:$O,$A30,Datos_items!$N:$N,D$22,Datos_items!$E:$E,$C$4,Datos_items!$C:$C,$C$5,Datos_items!$D:$D,$C$6)/COUNTIFS(Datos_items!$O:$O,$A30,Datos_items!$N:$N,D$22,Datos_items!$E:$E,$C$4,Datos_items!$C:$C,$C$5,Datos_items!$D:$D,$C$6),"")</f>
        <v/>
      </c>
      <c r="E30" s="18" t="str">
        <f aca="false">IFERROR(SUMIFS(Datos_items!$Z:$Z,Datos_items!$O:$O,$A30,Datos_items!$N:$N,E$22,Datos_items!$E:$E,$C$4,Datos_items!$C:$C,$C$5,Datos_items!$D:$D,$C$6)/COUNTIFS(Datos_items!$O:$O,$A30,Datos_items!$N:$N,E$22,Datos_items!$E:$E,$C$4,Datos_items!$C:$C,$C$5,Datos_items!$D:$D,$C$6),"")</f>
        <v/>
      </c>
      <c r="F30" s="18" t="str">
        <f aca="false">IFERROR(SUMIFS(Datos_items!$Z:$Z,Datos_items!$O:$O,$A30,Datos_items!$E:$E,$C$4,Datos_items!$C:$C,$C$5,Datos_items!$D:$D,$C$6)/COUNTIFS(Datos_items!$O:$O,$A30,Datos_items!$E:$E,$C$4,Datos_items!$C:$C,$C$5,Datos_items!$D:$D,$C$6),"")</f>
        <v/>
      </c>
      <c r="G30" s="2" t="n">
        <f aca="false">COUNTIFS(Datos_items!$O:$O,$A30,Datos_items!$E:$E,$C$4,Datos_items!$C:$C,$C$5,Datos_items!$D:$D,$C$6)</f>
        <v>0</v>
      </c>
      <c r="H30" s="2" t="str">
        <f aca="false">IF(F30="","",IF(F30&gt;=$B$7,"Sí","No"))</f>
        <v/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customFormat="false" ht="15" hidden="false" customHeight="false" outlineLevel="0" collapsed="false">
      <c r="A32" s="12" t="s">
        <v>456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customFormat="false" ht="23.85" hidden="false" customHeight="false" outlineLevel="0" collapsed="false">
      <c r="A33" s="5" t="s">
        <v>328</v>
      </c>
      <c r="B33" s="5" t="s">
        <v>304</v>
      </c>
      <c r="C33" s="5" t="s">
        <v>457</v>
      </c>
      <c r="D33" s="5" t="s">
        <v>458</v>
      </c>
      <c r="E33" s="5" t="s">
        <v>459</v>
      </c>
      <c r="F33" s="5" t="s">
        <v>359</v>
      </c>
      <c r="G33" s="5" t="s">
        <v>364</v>
      </c>
      <c r="H33" s="5" t="s">
        <v>369</v>
      </c>
      <c r="I33" s="5" t="s">
        <v>374</v>
      </c>
      <c r="J33" s="5" t="s">
        <v>379</v>
      </c>
      <c r="K33" s="5" t="s">
        <v>383</v>
      </c>
      <c r="L33" s="5" t="s">
        <v>388</v>
      </c>
      <c r="M33" s="5" t="s">
        <v>392</v>
      </c>
      <c r="N33" s="5" t="s">
        <v>396</v>
      </c>
      <c r="O33" s="5" t="s">
        <v>400</v>
      </c>
      <c r="P33" s="5" t="s">
        <v>296</v>
      </c>
      <c r="Q33" s="5" t="s">
        <v>406</v>
      </c>
      <c r="R33" s="5" t="s">
        <v>409</v>
      </c>
      <c r="S33" s="5" t="s">
        <v>413</v>
      </c>
      <c r="T33" s="5" t="s">
        <v>416</v>
      </c>
      <c r="U33" s="5" t="s">
        <v>419</v>
      </c>
      <c r="V33" s="5" t="s">
        <v>423</v>
      </c>
      <c r="W33" s="5" t="s">
        <v>426</v>
      </c>
      <c r="X33" s="5" t="s">
        <v>430</v>
      </c>
    </row>
    <row r="34" customFormat="false" ht="15" hidden="false" customHeight="false" outlineLevel="0" collapsed="false">
      <c r="A34" s="3" t="s">
        <v>331</v>
      </c>
      <c r="B34" s="13" t="s">
        <v>312</v>
      </c>
      <c r="C34" s="2" t="n">
        <f aca="false">COUNTIFS(Datos_items!$L:$L,$A34,Datos_items!$E:$E,$C$4,Datos_items!$C:$C,$C$5,Datos_items!$D:$D,$C$6)</f>
        <v>0</v>
      </c>
      <c r="D34" s="18" t="str">
        <f aca="false">IFERROR(SUMIFS(Datos_items!$Z:$Z,Datos_items!$L:$L,$A34,Datos_items!$E:$E,$C$4,Datos_items!$C:$C,$C$5,Datos_items!$D:$D,$C$6)/C34,"")</f>
        <v/>
      </c>
      <c r="E34" s="2" t="str">
        <f aca="false">IF(MAX(F34:X34)=0,"",INDEX($F$33:$X$33,MATCH(MAX(F34:X34),F34:X34,0)))</f>
        <v/>
      </c>
      <c r="F34" s="19" t="n">
        <f aca="false">COUNTIFS(Datos_items!$L:$L,$A34,Datos_items!$AA:$AA,F$33,Datos_items!$E:$E,$C$4,Datos_items!$C:$C,$C$5,Datos_items!$D:$D,$C$6)</f>
        <v>0</v>
      </c>
      <c r="G34" s="19" t="n">
        <f aca="false">COUNTIFS(Datos_items!$L:$L,$A34,Datos_items!$AA:$AA,G$33,Datos_items!$E:$E,$C$4,Datos_items!$C:$C,$C$5,Datos_items!$D:$D,$C$6)</f>
        <v>0</v>
      </c>
      <c r="H34" s="19" t="n">
        <f aca="false">COUNTIFS(Datos_items!$L:$L,$A34,Datos_items!$AA:$AA,H$33,Datos_items!$E:$E,$C$4,Datos_items!$C:$C,$C$5,Datos_items!$D:$D,$C$6)</f>
        <v>0</v>
      </c>
      <c r="I34" s="19" t="n">
        <f aca="false">COUNTIFS(Datos_items!$L:$L,$A34,Datos_items!$AA:$AA,I$33,Datos_items!$E:$E,$C$4,Datos_items!$C:$C,$C$5,Datos_items!$D:$D,$C$6)</f>
        <v>0</v>
      </c>
      <c r="J34" s="19" t="n">
        <f aca="false">COUNTIFS(Datos_items!$L:$L,$A34,Datos_items!$AA:$AA,J$33,Datos_items!$E:$E,$C$4,Datos_items!$C:$C,$C$5,Datos_items!$D:$D,$C$6)</f>
        <v>0</v>
      </c>
      <c r="K34" s="19" t="n">
        <f aca="false">COUNTIFS(Datos_items!$L:$L,$A34,Datos_items!$AA:$AA,K$33,Datos_items!$E:$E,$C$4,Datos_items!$C:$C,$C$5,Datos_items!$D:$D,$C$6)</f>
        <v>0</v>
      </c>
      <c r="L34" s="19" t="n">
        <f aca="false">COUNTIFS(Datos_items!$L:$L,$A34,Datos_items!$AA:$AA,L$33,Datos_items!$E:$E,$C$4,Datos_items!$C:$C,$C$5,Datos_items!$D:$D,$C$6)</f>
        <v>0</v>
      </c>
      <c r="M34" s="19" t="n">
        <f aca="false">COUNTIFS(Datos_items!$L:$L,$A34,Datos_items!$AA:$AA,M$33,Datos_items!$E:$E,$C$4,Datos_items!$C:$C,$C$5,Datos_items!$D:$D,$C$6)</f>
        <v>0</v>
      </c>
      <c r="N34" s="19" t="n">
        <f aca="false">COUNTIFS(Datos_items!$L:$L,$A34,Datos_items!$AA:$AA,N$33,Datos_items!$E:$E,$C$4,Datos_items!$C:$C,$C$5,Datos_items!$D:$D,$C$6)</f>
        <v>0</v>
      </c>
      <c r="O34" s="19" t="n">
        <f aca="false">COUNTIFS(Datos_items!$L:$L,$A34,Datos_items!$AA:$AA,O$33,Datos_items!$E:$E,$C$4,Datos_items!$C:$C,$C$5,Datos_items!$D:$D,$C$6)</f>
        <v>0</v>
      </c>
      <c r="P34" s="19" t="n">
        <f aca="false">COUNTIFS(Datos_items!$L:$L,$A34,Datos_items!$AA:$AA,P$33,Datos_items!$E:$E,$C$4,Datos_items!$C:$C,$C$5,Datos_items!$D:$D,$C$6)</f>
        <v>0</v>
      </c>
      <c r="Q34" s="19" t="n">
        <f aca="false">COUNTIFS(Datos_items!$L:$L,$A34,Datos_items!$AA:$AA,Q$33,Datos_items!$E:$E,$C$4,Datos_items!$C:$C,$C$5,Datos_items!$D:$D,$C$6)</f>
        <v>0</v>
      </c>
      <c r="R34" s="19" t="n">
        <f aca="false">COUNTIFS(Datos_items!$L:$L,$A34,Datos_items!$AA:$AA,R$33,Datos_items!$E:$E,$C$4,Datos_items!$C:$C,$C$5,Datos_items!$D:$D,$C$6)</f>
        <v>0</v>
      </c>
      <c r="S34" s="19" t="n">
        <f aca="false">COUNTIFS(Datos_items!$L:$L,$A34,Datos_items!$AA:$AA,S$33,Datos_items!$E:$E,$C$4,Datos_items!$C:$C,$C$5,Datos_items!$D:$D,$C$6)</f>
        <v>0</v>
      </c>
      <c r="T34" s="19" t="n">
        <f aca="false">COUNTIFS(Datos_items!$L:$L,$A34,Datos_items!$AA:$AA,T$33,Datos_items!$E:$E,$C$4,Datos_items!$C:$C,$C$5,Datos_items!$D:$D,$C$6)</f>
        <v>0</v>
      </c>
      <c r="U34" s="19" t="n">
        <f aca="false">COUNTIFS(Datos_items!$L:$L,$A34,Datos_items!$AA:$AA,U$33,Datos_items!$E:$E,$C$4,Datos_items!$C:$C,$C$5,Datos_items!$D:$D,$C$6)</f>
        <v>0</v>
      </c>
      <c r="V34" s="19" t="n">
        <f aca="false">COUNTIFS(Datos_items!$L:$L,$A34,Datos_items!$AA:$AA,V$33,Datos_items!$E:$E,$C$4,Datos_items!$C:$C,$C$5,Datos_items!$D:$D,$C$6)</f>
        <v>0</v>
      </c>
      <c r="W34" s="19" t="n">
        <f aca="false">COUNTIFS(Datos_items!$L:$L,$A34,Datos_items!$AA:$AA,W$33,Datos_items!$E:$E,$C$4,Datos_items!$C:$C,$C$5,Datos_items!$D:$D,$C$6)</f>
        <v>0</v>
      </c>
      <c r="X34" s="19" t="n">
        <f aca="false">COUNTIFS(Datos_items!$L:$L,$A34,Datos_items!$AA:$AA,X$33,Datos_items!$E:$E,$C$4,Datos_items!$C:$C,$C$5,Datos_items!$D:$D,$C$6)</f>
        <v>0</v>
      </c>
    </row>
    <row r="35" customFormat="false" ht="15" hidden="false" customHeight="false" outlineLevel="0" collapsed="false">
      <c r="A35" s="3" t="s">
        <v>334</v>
      </c>
      <c r="B35" s="13" t="s">
        <v>312</v>
      </c>
      <c r="C35" s="2" t="n">
        <f aca="false">COUNTIFS(Datos_items!$L:$L,$A35,Datos_items!$E:$E,$C$4,Datos_items!$C:$C,$C$5,Datos_items!$D:$D,$C$6)</f>
        <v>0</v>
      </c>
      <c r="D35" s="18" t="str">
        <f aca="false">IFERROR(SUMIFS(Datos_items!$Z:$Z,Datos_items!$L:$L,$A35,Datos_items!$E:$E,$C$4,Datos_items!$C:$C,$C$5,Datos_items!$D:$D,$C$6)/C35,"")</f>
        <v/>
      </c>
      <c r="E35" s="2" t="str">
        <f aca="false">IF(MAX(F35:X35)=0,"",INDEX($F$33:$X$33,MATCH(MAX(F35:X35),F35:X35,0)))</f>
        <v/>
      </c>
      <c r="F35" s="19" t="n">
        <f aca="false">COUNTIFS(Datos_items!$L:$L,$A35,Datos_items!$AA:$AA,F$33,Datos_items!$E:$E,$C$4,Datos_items!$C:$C,$C$5,Datos_items!$D:$D,$C$6)</f>
        <v>0</v>
      </c>
      <c r="G35" s="19" t="n">
        <f aca="false">COUNTIFS(Datos_items!$L:$L,$A35,Datos_items!$AA:$AA,G$33,Datos_items!$E:$E,$C$4,Datos_items!$C:$C,$C$5,Datos_items!$D:$D,$C$6)</f>
        <v>0</v>
      </c>
      <c r="H35" s="19" t="n">
        <f aca="false">COUNTIFS(Datos_items!$L:$L,$A35,Datos_items!$AA:$AA,H$33,Datos_items!$E:$E,$C$4,Datos_items!$C:$C,$C$5,Datos_items!$D:$D,$C$6)</f>
        <v>0</v>
      </c>
      <c r="I35" s="19" t="n">
        <f aca="false">COUNTIFS(Datos_items!$L:$L,$A35,Datos_items!$AA:$AA,I$33,Datos_items!$E:$E,$C$4,Datos_items!$C:$C,$C$5,Datos_items!$D:$D,$C$6)</f>
        <v>0</v>
      </c>
      <c r="J35" s="19" t="n">
        <f aca="false">COUNTIFS(Datos_items!$L:$L,$A35,Datos_items!$AA:$AA,J$33,Datos_items!$E:$E,$C$4,Datos_items!$C:$C,$C$5,Datos_items!$D:$D,$C$6)</f>
        <v>0</v>
      </c>
      <c r="K35" s="19" t="n">
        <f aca="false">COUNTIFS(Datos_items!$L:$L,$A35,Datos_items!$AA:$AA,K$33,Datos_items!$E:$E,$C$4,Datos_items!$C:$C,$C$5,Datos_items!$D:$D,$C$6)</f>
        <v>0</v>
      </c>
      <c r="L35" s="19" t="n">
        <f aca="false">COUNTIFS(Datos_items!$L:$L,$A35,Datos_items!$AA:$AA,L$33,Datos_items!$E:$E,$C$4,Datos_items!$C:$C,$C$5,Datos_items!$D:$D,$C$6)</f>
        <v>0</v>
      </c>
      <c r="M35" s="19" t="n">
        <f aca="false">COUNTIFS(Datos_items!$L:$L,$A35,Datos_items!$AA:$AA,M$33,Datos_items!$E:$E,$C$4,Datos_items!$C:$C,$C$5,Datos_items!$D:$D,$C$6)</f>
        <v>0</v>
      </c>
      <c r="N35" s="19" t="n">
        <f aca="false">COUNTIFS(Datos_items!$L:$L,$A35,Datos_items!$AA:$AA,N$33,Datos_items!$E:$E,$C$4,Datos_items!$C:$C,$C$5,Datos_items!$D:$D,$C$6)</f>
        <v>0</v>
      </c>
      <c r="O35" s="19" t="n">
        <f aca="false">COUNTIFS(Datos_items!$L:$L,$A35,Datos_items!$AA:$AA,O$33,Datos_items!$E:$E,$C$4,Datos_items!$C:$C,$C$5,Datos_items!$D:$D,$C$6)</f>
        <v>0</v>
      </c>
      <c r="P35" s="19" t="n">
        <f aca="false">COUNTIFS(Datos_items!$L:$L,$A35,Datos_items!$AA:$AA,P$33,Datos_items!$E:$E,$C$4,Datos_items!$C:$C,$C$5,Datos_items!$D:$D,$C$6)</f>
        <v>0</v>
      </c>
      <c r="Q35" s="19" t="n">
        <f aca="false">COUNTIFS(Datos_items!$L:$L,$A35,Datos_items!$AA:$AA,Q$33,Datos_items!$E:$E,$C$4,Datos_items!$C:$C,$C$5,Datos_items!$D:$D,$C$6)</f>
        <v>0</v>
      </c>
      <c r="R35" s="19" t="n">
        <f aca="false">COUNTIFS(Datos_items!$L:$L,$A35,Datos_items!$AA:$AA,R$33,Datos_items!$E:$E,$C$4,Datos_items!$C:$C,$C$5,Datos_items!$D:$D,$C$6)</f>
        <v>0</v>
      </c>
      <c r="S35" s="19" t="n">
        <f aca="false">COUNTIFS(Datos_items!$L:$L,$A35,Datos_items!$AA:$AA,S$33,Datos_items!$E:$E,$C$4,Datos_items!$C:$C,$C$5,Datos_items!$D:$D,$C$6)</f>
        <v>0</v>
      </c>
      <c r="T35" s="19" t="n">
        <f aca="false">COUNTIFS(Datos_items!$L:$L,$A35,Datos_items!$AA:$AA,T$33,Datos_items!$E:$E,$C$4,Datos_items!$C:$C,$C$5,Datos_items!$D:$D,$C$6)</f>
        <v>0</v>
      </c>
      <c r="U35" s="19" t="n">
        <f aca="false">COUNTIFS(Datos_items!$L:$L,$A35,Datos_items!$AA:$AA,U$33,Datos_items!$E:$E,$C$4,Datos_items!$C:$C,$C$5,Datos_items!$D:$D,$C$6)</f>
        <v>0</v>
      </c>
      <c r="V35" s="19" t="n">
        <f aca="false">COUNTIFS(Datos_items!$L:$L,$A35,Datos_items!$AA:$AA,V$33,Datos_items!$E:$E,$C$4,Datos_items!$C:$C,$C$5,Datos_items!$D:$D,$C$6)</f>
        <v>0</v>
      </c>
      <c r="W35" s="19" t="n">
        <f aca="false">COUNTIFS(Datos_items!$L:$L,$A35,Datos_items!$AA:$AA,W$33,Datos_items!$E:$E,$C$4,Datos_items!$C:$C,$C$5,Datos_items!$D:$D,$C$6)</f>
        <v>0</v>
      </c>
      <c r="X35" s="19" t="n">
        <f aca="false">COUNTIFS(Datos_items!$L:$L,$A35,Datos_items!$AA:$AA,X$33,Datos_items!$E:$E,$C$4,Datos_items!$C:$C,$C$5,Datos_items!$D:$D,$C$6)</f>
        <v>0</v>
      </c>
    </row>
    <row r="36" customFormat="false" ht="15" hidden="false" customHeight="false" outlineLevel="0" collapsed="false">
      <c r="A36" s="3" t="s">
        <v>336</v>
      </c>
      <c r="B36" s="13" t="s">
        <v>221</v>
      </c>
      <c r="C36" s="2" t="n">
        <f aca="false">COUNTIFS(Datos_items!$L:$L,$A36,Datos_items!$E:$E,$C$4,Datos_items!$C:$C,$C$5,Datos_items!$D:$D,$C$6)</f>
        <v>0</v>
      </c>
      <c r="D36" s="18" t="str">
        <f aca="false">IFERROR(SUMIFS(Datos_items!$Z:$Z,Datos_items!$L:$L,$A36,Datos_items!$E:$E,$C$4,Datos_items!$C:$C,$C$5,Datos_items!$D:$D,$C$6)/C36,"")</f>
        <v/>
      </c>
      <c r="E36" s="2" t="str">
        <f aca="false">IF(MAX(F36:X36)=0,"",INDEX($F$33:$X$33,MATCH(MAX(F36:X36),F36:X36,0)))</f>
        <v/>
      </c>
      <c r="F36" s="19" t="n">
        <f aca="false">COUNTIFS(Datos_items!$L:$L,$A36,Datos_items!$AA:$AA,F$33,Datos_items!$E:$E,$C$4,Datos_items!$C:$C,$C$5,Datos_items!$D:$D,$C$6)</f>
        <v>0</v>
      </c>
      <c r="G36" s="19" t="n">
        <f aca="false">COUNTIFS(Datos_items!$L:$L,$A36,Datos_items!$AA:$AA,G$33,Datos_items!$E:$E,$C$4,Datos_items!$C:$C,$C$5,Datos_items!$D:$D,$C$6)</f>
        <v>0</v>
      </c>
      <c r="H36" s="19" t="n">
        <f aca="false">COUNTIFS(Datos_items!$L:$L,$A36,Datos_items!$AA:$AA,H$33,Datos_items!$E:$E,$C$4,Datos_items!$C:$C,$C$5,Datos_items!$D:$D,$C$6)</f>
        <v>0</v>
      </c>
      <c r="I36" s="19" t="n">
        <f aca="false">COUNTIFS(Datos_items!$L:$L,$A36,Datos_items!$AA:$AA,I$33,Datos_items!$E:$E,$C$4,Datos_items!$C:$C,$C$5,Datos_items!$D:$D,$C$6)</f>
        <v>0</v>
      </c>
      <c r="J36" s="19" t="n">
        <f aca="false">COUNTIFS(Datos_items!$L:$L,$A36,Datos_items!$AA:$AA,J$33,Datos_items!$E:$E,$C$4,Datos_items!$C:$C,$C$5,Datos_items!$D:$D,$C$6)</f>
        <v>0</v>
      </c>
      <c r="K36" s="19" t="n">
        <f aca="false">COUNTIFS(Datos_items!$L:$L,$A36,Datos_items!$AA:$AA,K$33,Datos_items!$E:$E,$C$4,Datos_items!$C:$C,$C$5,Datos_items!$D:$D,$C$6)</f>
        <v>0</v>
      </c>
      <c r="L36" s="19" t="n">
        <f aca="false">COUNTIFS(Datos_items!$L:$L,$A36,Datos_items!$AA:$AA,L$33,Datos_items!$E:$E,$C$4,Datos_items!$C:$C,$C$5,Datos_items!$D:$D,$C$6)</f>
        <v>0</v>
      </c>
      <c r="M36" s="19" t="n">
        <f aca="false">COUNTIFS(Datos_items!$L:$L,$A36,Datos_items!$AA:$AA,M$33,Datos_items!$E:$E,$C$4,Datos_items!$C:$C,$C$5,Datos_items!$D:$D,$C$6)</f>
        <v>0</v>
      </c>
      <c r="N36" s="19" t="n">
        <f aca="false">COUNTIFS(Datos_items!$L:$L,$A36,Datos_items!$AA:$AA,N$33,Datos_items!$E:$E,$C$4,Datos_items!$C:$C,$C$5,Datos_items!$D:$D,$C$6)</f>
        <v>0</v>
      </c>
      <c r="O36" s="19" t="n">
        <f aca="false">COUNTIFS(Datos_items!$L:$L,$A36,Datos_items!$AA:$AA,O$33,Datos_items!$E:$E,$C$4,Datos_items!$C:$C,$C$5,Datos_items!$D:$D,$C$6)</f>
        <v>0</v>
      </c>
      <c r="P36" s="19" t="n">
        <f aca="false">COUNTIFS(Datos_items!$L:$L,$A36,Datos_items!$AA:$AA,P$33,Datos_items!$E:$E,$C$4,Datos_items!$C:$C,$C$5,Datos_items!$D:$D,$C$6)</f>
        <v>0</v>
      </c>
      <c r="Q36" s="19" t="n">
        <f aca="false">COUNTIFS(Datos_items!$L:$L,$A36,Datos_items!$AA:$AA,Q$33,Datos_items!$E:$E,$C$4,Datos_items!$C:$C,$C$5,Datos_items!$D:$D,$C$6)</f>
        <v>0</v>
      </c>
      <c r="R36" s="19" t="n">
        <f aca="false">COUNTIFS(Datos_items!$L:$L,$A36,Datos_items!$AA:$AA,R$33,Datos_items!$E:$E,$C$4,Datos_items!$C:$C,$C$5,Datos_items!$D:$D,$C$6)</f>
        <v>0</v>
      </c>
      <c r="S36" s="19" t="n">
        <f aca="false">COUNTIFS(Datos_items!$L:$L,$A36,Datos_items!$AA:$AA,S$33,Datos_items!$E:$E,$C$4,Datos_items!$C:$C,$C$5,Datos_items!$D:$D,$C$6)</f>
        <v>0</v>
      </c>
      <c r="T36" s="19" t="n">
        <f aca="false">COUNTIFS(Datos_items!$L:$L,$A36,Datos_items!$AA:$AA,T$33,Datos_items!$E:$E,$C$4,Datos_items!$C:$C,$C$5,Datos_items!$D:$D,$C$6)</f>
        <v>0</v>
      </c>
      <c r="U36" s="19" t="n">
        <f aca="false">COUNTIFS(Datos_items!$L:$L,$A36,Datos_items!$AA:$AA,U$33,Datos_items!$E:$E,$C$4,Datos_items!$C:$C,$C$5,Datos_items!$D:$D,$C$6)</f>
        <v>0</v>
      </c>
      <c r="V36" s="19" t="n">
        <f aca="false">COUNTIFS(Datos_items!$L:$L,$A36,Datos_items!$AA:$AA,V$33,Datos_items!$E:$E,$C$4,Datos_items!$C:$C,$C$5,Datos_items!$D:$D,$C$6)</f>
        <v>0</v>
      </c>
      <c r="W36" s="19" t="n">
        <f aca="false">COUNTIFS(Datos_items!$L:$L,$A36,Datos_items!$AA:$AA,W$33,Datos_items!$E:$E,$C$4,Datos_items!$C:$C,$C$5,Datos_items!$D:$D,$C$6)</f>
        <v>0</v>
      </c>
      <c r="X36" s="19" t="n">
        <f aca="false">COUNTIFS(Datos_items!$L:$L,$A36,Datos_items!$AA:$AA,X$33,Datos_items!$E:$E,$C$4,Datos_items!$C:$C,$C$5,Datos_items!$D:$D,$C$6)</f>
        <v>0</v>
      </c>
    </row>
    <row r="37" customFormat="false" ht="15" hidden="false" customHeight="false" outlineLevel="0" collapsed="false">
      <c r="A37" s="3" t="s">
        <v>337</v>
      </c>
      <c r="B37" s="13" t="s">
        <v>316</v>
      </c>
      <c r="C37" s="2" t="n">
        <f aca="false">COUNTIFS(Datos_items!$L:$L,$A37,Datos_items!$E:$E,$C$4,Datos_items!$C:$C,$C$5,Datos_items!$D:$D,$C$6)</f>
        <v>0</v>
      </c>
      <c r="D37" s="18" t="str">
        <f aca="false">IFERROR(SUMIFS(Datos_items!$Z:$Z,Datos_items!$L:$L,$A37,Datos_items!$E:$E,$C$4,Datos_items!$C:$C,$C$5,Datos_items!$D:$D,$C$6)/C37,"")</f>
        <v/>
      </c>
      <c r="E37" s="2" t="str">
        <f aca="false">IF(MAX(F37:X37)=0,"",INDEX($F$33:$X$33,MATCH(MAX(F37:X37),F37:X37,0)))</f>
        <v/>
      </c>
      <c r="F37" s="19" t="n">
        <f aca="false">COUNTIFS(Datos_items!$L:$L,$A37,Datos_items!$AA:$AA,F$33,Datos_items!$E:$E,$C$4,Datos_items!$C:$C,$C$5,Datos_items!$D:$D,$C$6)</f>
        <v>0</v>
      </c>
      <c r="G37" s="19" t="n">
        <f aca="false">COUNTIFS(Datos_items!$L:$L,$A37,Datos_items!$AA:$AA,G$33,Datos_items!$E:$E,$C$4,Datos_items!$C:$C,$C$5,Datos_items!$D:$D,$C$6)</f>
        <v>0</v>
      </c>
      <c r="H37" s="19" t="n">
        <f aca="false">COUNTIFS(Datos_items!$L:$L,$A37,Datos_items!$AA:$AA,H$33,Datos_items!$E:$E,$C$4,Datos_items!$C:$C,$C$5,Datos_items!$D:$D,$C$6)</f>
        <v>0</v>
      </c>
      <c r="I37" s="19" t="n">
        <f aca="false">COUNTIFS(Datos_items!$L:$L,$A37,Datos_items!$AA:$AA,I$33,Datos_items!$E:$E,$C$4,Datos_items!$C:$C,$C$5,Datos_items!$D:$D,$C$6)</f>
        <v>0</v>
      </c>
      <c r="J37" s="19" t="n">
        <f aca="false">COUNTIFS(Datos_items!$L:$L,$A37,Datos_items!$AA:$AA,J$33,Datos_items!$E:$E,$C$4,Datos_items!$C:$C,$C$5,Datos_items!$D:$D,$C$6)</f>
        <v>0</v>
      </c>
      <c r="K37" s="19" t="n">
        <f aca="false">COUNTIFS(Datos_items!$L:$L,$A37,Datos_items!$AA:$AA,K$33,Datos_items!$E:$E,$C$4,Datos_items!$C:$C,$C$5,Datos_items!$D:$D,$C$6)</f>
        <v>0</v>
      </c>
      <c r="L37" s="19" t="n">
        <f aca="false">COUNTIFS(Datos_items!$L:$L,$A37,Datos_items!$AA:$AA,L$33,Datos_items!$E:$E,$C$4,Datos_items!$C:$C,$C$5,Datos_items!$D:$D,$C$6)</f>
        <v>0</v>
      </c>
      <c r="M37" s="19" t="n">
        <f aca="false">COUNTIFS(Datos_items!$L:$L,$A37,Datos_items!$AA:$AA,M$33,Datos_items!$E:$E,$C$4,Datos_items!$C:$C,$C$5,Datos_items!$D:$D,$C$6)</f>
        <v>0</v>
      </c>
      <c r="N37" s="19" t="n">
        <f aca="false">COUNTIFS(Datos_items!$L:$L,$A37,Datos_items!$AA:$AA,N$33,Datos_items!$E:$E,$C$4,Datos_items!$C:$C,$C$5,Datos_items!$D:$D,$C$6)</f>
        <v>0</v>
      </c>
      <c r="O37" s="19" t="n">
        <f aca="false">COUNTIFS(Datos_items!$L:$L,$A37,Datos_items!$AA:$AA,O$33,Datos_items!$E:$E,$C$4,Datos_items!$C:$C,$C$5,Datos_items!$D:$D,$C$6)</f>
        <v>0</v>
      </c>
      <c r="P37" s="19" t="n">
        <f aca="false">COUNTIFS(Datos_items!$L:$L,$A37,Datos_items!$AA:$AA,P$33,Datos_items!$E:$E,$C$4,Datos_items!$C:$C,$C$5,Datos_items!$D:$D,$C$6)</f>
        <v>0</v>
      </c>
      <c r="Q37" s="19" t="n">
        <f aca="false">COUNTIFS(Datos_items!$L:$L,$A37,Datos_items!$AA:$AA,Q$33,Datos_items!$E:$E,$C$4,Datos_items!$C:$C,$C$5,Datos_items!$D:$D,$C$6)</f>
        <v>0</v>
      </c>
      <c r="R37" s="19" t="n">
        <f aca="false">COUNTIFS(Datos_items!$L:$L,$A37,Datos_items!$AA:$AA,R$33,Datos_items!$E:$E,$C$4,Datos_items!$C:$C,$C$5,Datos_items!$D:$D,$C$6)</f>
        <v>0</v>
      </c>
      <c r="S37" s="19" t="n">
        <f aca="false">COUNTIFS(Datos_items!$L:$L,$A37,Datos_items!$AA:$AA,S$33,Datos_items!$E:$E,$C$4,Datos_items!$C:$C,$C$5,Datos_items!$D:$D,$C$6)</f>
        <v>0</v>
      </c>
      <c r="T37" s="19" t="n">
        <f aca="false">COUNTIFS(Datos_items!$L:$L,$A37,Datos_items!$AA:$AA,T$33,Datos_items!$E:$E,$C$4,Datos_items!$C:$C,$C$5,Datos_items!$D:$D,$C$6)</f>
        <v>0</v>
      </c>
      <c r="U37" s="19" t="n">
        <f aca="false">COUNTIFS(Datos_items!$L:$L,$A37,Datos_items!$AA:$AA,U$33,Datos_items!$E:$E,$C$4,Datos_items!$C:$C,$C$5,Datos_items!$D:$D,$C$6)</f>
        <v>0</v>
      </c>
      <c r="V37" s="19" t="n">
        <f aca="false">COUNTIFS(Datos_items!$L:$L,$A37,Datos_items!$AA:$AA,V$33,Datos_items!$E:$E,$C$4,Datos_items!$C:$C,$C$5,Datos_items!$D:$D,$C$6)</f>
        <v>0</v>
      </c>
      <c r="W37" s="19" t="n">
        <f aca="false">COUNTIFS(Datos_items!$L:$L,$A37,Datos_items!$AA:$AA,W$33,Datos_items!$E:$E,$C$4,Datos_items!$C:$C,$C$5,Datos_items!$D:$D,$C$6)</f>
        <v>0</v>
      </c>
      <c r="X37" s="19" t="n">
        <f aca="false">COUNTIFS(Datos_items!$L:$L,$A37,Datos_items!$AA:$AA,X$33,Datos_items!$E:$E,$C$4,Datos_items!$C:$C,$C$5,Datos_items!$D:$D,$C$6)</f>
        <v>0</v>
      </c>
    </row>
    <row r="38" customFormat="false" ht="15" hidden="false" customHeight="false" outlineLevel="0" collapsed="false">
      <c r="A38" s="3" t="s">
        <v>338</v>
      </c>
      <c r="B38" s="13" t="s">
        <v>319</v>
      </c>
      <c r="C38" s="2" t="n">
        <f aca="false">COUNTIFS(Datos_items!$L:$L,$A38,Datos_items!$E:$E,$C$4,Datos_items!$C:$C,$C$5,Datos_items!$D:$D,$C$6)</f>
        <v>0</v>
      </c>
      <c r="D38" s="18" t="str">
        <f aca="false">IFERROR(SUMIFS(Datos_items!$Z:$Z,Datos_items!$L:$L,$A38,Datos_items!$E:$E,$C$4,Datos_items!$C:$C,$C$5,Datos_items!$D:$D,$C$6)/C38,"")</f>
        <v/>
      </c>
      <c r="E38" s="2" t="str">
        <f aca="false">IF(MAX(F38:X38)=0,"",INDEX($F$33:$X$33,MATCH(MAX(F38:X38),F38:X38,0)))</f>
        <v/>
      </c>
      <c r="F38" s="19" t="n">
        <f aca="false">COUNTIFS(Datos_items!$L:$L,$A38,Datos_items!$AA:$AA,F$33,Datos_items!$E:$E,$C$4,Datos_items!$C:$C,$C$5,Datos_items!$D:$D,$C$6)</f>
        <v>0</v>
      </c>
      <c r="G38" s="19" t="n">
        <f aca="false">COUNTIFS(Datos_items!$L:$L,$A38,Datos_items!$AA:$AA,G$33,Datos_items!$E:$E,$C$4,Datos_items!$C:$C,$C$5,Datos_items!$D:$D,$C$6)</f>
        <v>0</v>
      </c>
      <c r="H38" s="19" t="n">
        <f aca="false">COUNTIFS(Datos_items!$L:$L,$A38,Datos_items!$AA:$AA,H$33,Datos_items!$E:$E,$C$4,Datos_items!$C:$C,$C$5,Datos_items!$D:$D,$C$6)</f>
        <v>0</v>
      </c>
      <c r="I38" s="19" t="n">
        <f aca="false">COUNTIFS(Datos_items!$L:$L,$A38,Datos_items!$AA:$AA,I$33,Datos_items!$E:$E,$C$4,Datos_items!$C:$C,$C$5,Datos_items!$D:$D,$C$6)</f>
        <v>0</v>
      </c>
      <c r="J38" s="19" t="n">
        <f aca="false">COUNTIFS(Datos_items!$L:$L,$A38,Datos_items!$AA:$AA,J$33,Datos_items!$E:$E,$C$4,Datos_items!$C:$C,$C$5,Datos_items!$D:$D,$C$6)</f>
        <v>0</v>
      </c>
      <c r="K38" s="19" t="n">
        <f aca="false">COUNTIFS(Datos_items!$L:$L,$A38,Datos_items!$AA:$AA,K$33,Datos_items!$E:$E,$C$4,Datos_items!$C:$C,$C$5,Datos_items!$D:$D,$C$6)</f>
        <v>0</v>
      </c>
      <c r="L38" s="19" t="n">
        <f aca="false">COUNTIFS(Datos_items!$L:$L,$A38,Datos_items!$AA:$AA,L$33,Datos_items!$E:$E,$C$4,Datos_items!$C:$C,$C$5,Datos_items!$D:$D,$C$6)</f>
        <v>0</v>
      </c>
      <c r="M38" s="19" t="n">
        <f aca="false">COUNTIFS(Datos_items!$L:$L,$A38,Datos_items!$AA:$AA,M$33,Datos_items!$E:$E,$C$4,Datos_items!$C:$C,$C$5,Datos_items!$D:$D,$C$6)</f>
        <v>0</v>
      </c>
      <c r="N38" s="19" t="n">
        <f aca="false">COUNTIFS(Datos_items!$L:$L,$A38,Datos_items!$AA:$AA,N$33,Datos_items!$E:$E,$C$4,Datos_items!$C:$C,$C$5,Datos_items!$D:$D,$C$6)</f>
        <v>0</v>
      </c>
      <c r="O38" s="19" t="n">
        <f aca="false">COUNTIFS(Datos_items!$L:$L,$A38,Datos_items!$AA:$AA,O$33,Datos_items!$E:$E,$C$4,Datos_items!$C:$C,$C$5,Datos_items!$D:$D,$C$6)</f>
        <v>0</v>
      </c>
      <c r="P38" s="19" t="n">
        <f aca="false">COUNTIFS(Datos_items!$L:$L,$A38,Datos_items!$AA:$AA,P$33,Datos_items!$E:$E,$C$4,Datos_items!$C:$C,$C$5,Datos_items!$D:$D,$C$6)</f>
        <v>0</v>
      </c>
      <c r="Q38" s="19" t="n">
        <f aca="false">COUNTIFS(Datos_items!$L:$L,$A38,Datos_items!$AA:$AA,Q$33,Datos_items!$E:$E,$C$4,Datos_items!$C:$C,$C$5,Datos_items!$D:$D,$C$6)</f>
        <v>0</v>
      </c>
      <c r="R38" s="19" t="n">
        <f aca="false">COUNTIFS(Datos_items!$L:$L,$A38,Datos_items!$AA:$AA,R$33,Datos_items!$E:$E,$C$4,Datos_items!$C:$C,$C$5,Datos_items!$D:$D,$C$6)</f>
        <v>0</v>
      </c>
      <c r="S38" s="19" t="n">
        <f aca="false">COUNTIFS(Datos_items!$L:$L,$A38,Datos_items!$AA:$AA,S$33,Datos_items!$E:$E,$C$4,Datos_items!$C:$C,$C$5,Datos_items!$D:$D,$C$6)</f>
        <v>0</v>
      </c>
      <c r="T38" s="19" t="n">
        <f aca="false">COUNTIFS(Datos_items!$L:$L,$A38,Datos_items!$AA:$AA,T$33,Datos_items!$E:$E,$C$4,Datos_items!$C:$C,$C$5,Datos_items!$D:$D,$C$6)</f>
        <v>0</v>
      </c>
      <c r="U38" s="19" t="n">
        <f aca="false">COUNTIFS(Datos_items!$L:$L,$A38,Datos_items!$AA:$AA,U$33,Datos_items!$E:$E,$C$4,Datos_items!$C:$C,$C$5,Datos_items!$D:$D,$C$6)</f>
        <v>0</v>
      </c>
      <c r="V38" s="19" t="n">
        <f aca="false">COUNTIFS(Datos_items!$L:$L,$A38,Datos_items!$AA:$AA,V$33,Datos_items!$E:$E,$C$4,Datos_items!$C:$C,$C$5,Datos_items!$D:$D,$C$6)</f>
        <v>0</v>
      </c>
      <c r="W38" s="19" t="n">
        <f aca="false">COUNTIFS(Datos_items!$L:$L,$A38,Datos_items!$AA:$AA,W$33,Datos_items!$E:$E,$C$4,Datos_items!$C:$C,$C$5,Datos_items!$D:$D,$C$6)</f>
        <v>0</v>
      </c>
      <c r="X38" s="19" t="n">
        <f aca="false">COUNTIFS(Datos_items!$L:$L,$A38,Datos_items!$AA:$AA,X$33,Datos_items!$E:$E,$C$4,Datos_items!$C:$C,$C$5,Datos_items!$D:$D,$C$6)</f>
        <v>0</v>
      </c>
    </row>
    <row r="39" customFormat="false" ht="15" hidden="false" customHeight="false" outlineLevel="0" collapsed="false">
      <c r="A39" s="3" t="s">
        <v>339</v>
      </c>
      <c r="B39" s="13" t="s">
        <v>306</v>
      </c>
      <c r="C39" s="2" t="n">
        <f aca="false">COUNTIFS(Datos_items!$L:$L,$A39,Datos_items!$E:$E,$C$4,Datos_items!$C:$C,$C$5,Datos_items!$D:$D,$C$6)</f>
        <v>0</v>
      </c>
      <c r="D39" s="18" t="str">
        <f aca="false">IFERROR(SUMIFS(Datos_items!$Z:$Z,Datos_items!$L:$L,$A39,Datos_items!$E:$E,$C$4,Datos_items!$C:$C,$C$5,Datos_items!$D:$D,$C$6)/C39,"")</f>
        <v/>
      </c>
      <c r="E39" s="2" t="str">
        <f aca="false">IF(MAX(F39:X39)=0,"",INDEX($F$33:$X$33,MATCH(MAX(F39:X39),F39:X39,0)))</f>
        <v/>
      </c>
      <c r="F39" s="19" t="n">
        <f aca="false">COUNTIFS(Datos_items!$L:$L,$A39,Datos_items!$AA:$AA,F$33,Datos_items!$E:$E,$C$4,Datos_items!$C:$C,$C$5,Datos_items!$D:$D,$C$6)</f>
        <v>0</v>
      </c>
      <c r="G39" s="19" t="n">
        <f aca="false">COUNTIFS(Datos_items!$L:$L,$A39,Datos_items!$AA:$AA,G$33,Datos_items!$E:$E,$C$4,Datos_items!$C:$C,$C$5,Datos_items!$D:$D,$C$6)</f>
        <v>0</v>
      </c>
      <c r="H39" s="19" t="n">
        <f aca="false">COUNTIFS(Datos_items!$L:$L,$A39,Datos_items!$AA:$AA,H$33,Datos_items!$E:$E,$C$4,Datos_items!$C:$C,$C$5,Datos_items!$D:$D,$C$6)</f>
        <v>0</v>
      </c>
      <c r="I39" s="19" t="n">
        <f aca="false">COUNTIFS(Datos_items!$L:$L,$A39,Datos_items!$AA:$AA,I$33,Datos_items!$E:$E,$C$4,Datos_items!$C:$C,$C$5,Datos_items!$D:$D,$C$6)</f>
        <v>0</v>
      </c>
      <c r="J39" s="19" t="n">
        <f aca="false">COUNTIFS(Datos_items!$L:$L,$A39,Datos_items!$AA:$AA,J$33,Datos_items!$E:$E,$C$4,Datos_items!$C:$C,$C$5,Datos_items!$D:$D,$C$6)</f>
        <v>0</v>
      </c>
      <c r="K39" s="19" t="n">
        <f aca="false">COUNTIFS(Datos_items!$L:$L,$A39,Datos_items!$AA:$AA,K$33,Datos_items!$E:$E,$C$4,Datos_items!$C:$C,$C$5,Datos_items!$D:$D,$C$6)</f>
        <v>0</v>
      </c>
      <c r="L39" s="19" t="n">
        <f aca="false">COUNTIFS(Datos_items!$L:$L,$A39,Datos_items!$AA:$AA,L$33,Datos_items!$E:$E,$C$4,Datos_items!$C:$C,$C$5,Datos_items!$D:$D,$C$6)</f>
        <v>0</v>
      </c>
      <c r="M39" s="19" t="n">
        <f aca="false">COUNTIFS(Datos_items!$L:$L,$A39,Datos_items!$AA:$AA,M$33,Datos_items!$E:$E,$C$4,Datos_items!$C:$C,$C$5,Datos_items!$D:$D,$C$6)</f>
        <v>0</v>
      </c>
      <c r="N39" s="19" t="n">
        <f aca="false">COUNTIFS(Datos_items!$L:$L,$A39,Datos_items!$AA:$AA,N$33,Datos_items!$E:$E,$C$4,Datos_items!$C:$C,$C$5,Datos_items!$D:$D,$C$6)</f>
        <v>0</v>
      </c>
      <c r="O39" s="19" t="n">
        <f aca="false">COUNTIFS(Datos_items!$L:$L,$A39,Datos_items!$AA:$AA,O$33,Datos_items!$E:$E,$C$4,Datos_items!$C:$C,$C$5,Datos_items!$D:$D,$C$6)</f>
        <v>0</v>
      </c>
      <c r="P39" s="19" t="n">
        <f aca="false">COUNTIFS(Datos_items!$L:$L,$A39,Datos_items!$AA:$AA,P$33,Datos_items!$E:$E,$C$4,Datos_items!$C:$C,$C$5,Datos_items!$D:$D,$C$6)</f>
        <v>0</v>
      </c>
      <c r="Q39" s="19" t="n">
        <f aca="false">COUNTIFS(Datos_items!$L:$L,$A39,Datos_items!$AA:$AA,Q$33,Datos_items!$E:$E,$C$4,Datos_items!$C:$C,$C$5,Datos_items!$D:$D,$C$6)</f>
        <v>0</v>
      </c>
      <c r="R39" s="19" t="n">
        <f aca="false">COUNTIFS(Datos_items!$L:$L,$A39,Datos_items!$AA:$AA,R$33,Datos_items!$E:$E,$C$4,Datos_items!$C:$C,$C$5,Datos_items!$D:$D,$C$6)</f>
        <v>0</v>
      </c>
      <c r="S39" s="19" t="n">
        <f aca="false">COUNTIFS(Datos_items!$L:$L,$A39,Datos_items!$AA:$AA,S$33,Datos_items!$E:$E,$C$4,Datos_items!$C:$C,$C$5,Datos_items!$D:$D,$C$6)</f>
        <v>0</v>
      </c>
      <c r="T39" s="19" t="n">
        <f aca="false">COUNTIFS(Datos_items!$L:$L,$A39,Datos_items!$AA:$AA,T$33,Datos_items!$E:$E,$C$4,Datos_items!$C:$C,$C$5,Datos_items!$D:$D,$C$6)</f>
        <v>0</v>
      </c>
      <c r="U39" s="19" t="n">
        <f aca="false">COUNTIFS(Datos_items!$L:$L,$A39,Datos_items!$AA:$AA,U$33,Datos_items!$E:$E,$C$4,Datos_items!$C:$C,$C$5,Datos_items!$D:$D,$C$6)</f>
        <v>0</v>
      </c>
      <c r="V39" s="19" t="n">
        <f aca="false">COUNTIFS(Datos_items!$L:$L,$A39,Datos_items!$AA:$AA,V$33,Datos_items!$E:$E,$C$4,Datos_items!$C:$C,$C$5,Datos_items!$D:$D,$C$6)</f>
        <v>0</v>
      </c>
      <c r="W39" s="19" t="n">
        <f aca="false">COUNTIFS(Datos_items!$L:$L,$A39,Datos_items!$AA:$AA,W$33,Datos_items!$E:$E,$C$4,Datos_items!$C:$C,$C$5,Datos_items!$D:$D,$C$6)</f>
        <v>0</v>
      </c>
      <c r="X39" s="19" t="n">
        <f aca="false">COUNTIFS(Datos_items!$L:$L,$A39,Datos_items!$AA:$AA,X$33,Datos_items!$E:$E,$C$4,Datos_items!$C:$C,$C$5,Datos_items!$D:$D,$C$6)</f>
        <v>0</v>
      </c>
    </row>
    <row r="40" customFormat="false" ht="15" hidden="false" customHeight="false" outlineLevel="0" collapsed="false">
      <c r="A40" s="3" t="s">
        <v>341</v>
      </c>
      <c r="B40" s="13" t="s">
        <v>306</v>
      </c>
      <c r="C40" s="2" t="n">
        <f aca="false">COUNTIFS(Datos_items!$L:$L,$A40,Datos_items!$E:$E,$C$4,Datos_items!$C:$C,$C$5,Datos_items!$D:$D,$C$6)</f>
        <v>0</v>
      </c>
      <c r="D40" s="18" t="str">
        <f aca="false">IFERROR(SUMIFS(Datos_items!$Z:$Z,Datos_items!$L:$L,$A40,Datos_items!$E:$E,$C$4,Datos_items!$C:$C,$C$5,Datos_items!$D:$D,$C$6)/C40,"")</f>
        <v/>
      </c>
      <c r="E40" s="2" t="str">
        <f aca="false">IF(MAX(F40:X40)=0,"",INDEX($F$33:$X$33,MATCH(MAX(F40:X40),F40:X40,0)))</f>
        <v/>
      </c>
      <c r="F40" s="19" t="n">
        <f aca="false">COUNTIFS(Datos_items!$L:$L,$A40,Datos_items!$AA:$AA,F$33,Datos_items!$E:$E,$C$4,Datos_items!$C:$C,$C$5,Datos_items!$D:$D,$C$6)</f>
        <v>0</v>
      </c>
      <c r="G40" s="19" t="n">
        <f aca="false">COUNTIFS(Datos_items!$L:$L,$A40,Datos_items!$AA:$AA,G$33,Datos_items!$E:$E,$C$4,Datos_items!$C:$C,$C$5,Datos_items!$D:$D,$C$6)</f>
        <v>0</v>
      </c>
      <c r="H40" s="19" t="n">
        <f aca="false">COUNTIFS(Datos_items!$L:$L,$A40,Datos_items!$AA:$AA,H$33,Datos_items!$E:$E,$C$4,Datos_items!$C:$C,$C$5,Datos_items!$D:$D,$C$6)</f>
        <v>0</v>
      </c>
      <c r="I40" s="19" t="n">
        <f aca="false">COUNTIFS(Datos_items!$L:$L,$A40,Datos_items!$AA:$AA,I$33,Datos_items!$E:$E,$C$4,Datos_items!$C:$C,$C$5,Datos_items!$D:$D,$C$6)</f>
        <v>0</v>
      </c>
      <c r="J40" s="19" t="n">
        <f aca="false">COUNTIFS(Datos_items!$L:$L,$A40,Datos_items!$AA:$AA,J$33,Datos_items!$E:$E,$C$4,Datos_items!$C:$C,$C$5,Datos_items!$D:$D,$C$6)</f>
        <v>0</v>
      </c>
      <c r="K40" s="19" t="n">
        <f aca="false">COUNTIFS(Datos_items!$L:$L,$A40,Datos_items!$AA:$AA,K$33,Datos_items!$E:$E,$C$4,Datos_items!$C:$C,$C$5,Datos_items!$D:$D,$C$6)</f>
        <v>0</v>
      </c>
      <c r="L40" s="19" t="n">
        <f aca="false">COUNTIFS(Datos_items!$L:$L,$A40,Datos_items!$AA:$AA,L$33,Datos_items!$E:$E,$C$4,Datos_items!$C:$C,$C$5,Datos_items!$D:$D,$C$6)</f>
        <v>0</v>
      </c>
      <c r="M40" s="19" t="n">
        <f aca="false">COUNTIFS(Datos_items!$L:$L,$A40,Datos_items!$AA:$AA,M$33,Datos_items!$E:$E,$C$4,Datos_items!$C:$C,$C$5,Datos_items!$D:$D,$C$6)</f>
        <v>0</v>
      </c>
      <c r="N40" s="19" t="n">
        <f aca="false">COUNTIFS(Datos_items!$L:$L,$A40,Datos_items!$AA:$AA,N$33,Datos_items!$E:$E,$C$4,Datos_items!$C:$C,$C$5,Datos_items!$D:$D,$C$6)</f>
        <v>0</v>
      </c>
      <c r="O40" s="19" t="n">
        <f aca="false">COUNTIFS(Datos_items!$L:$L,$A40,Datos_items!$AA:$AA,O$33,Datos_items!$E:$E,$C$4,Datos_items!$C:$C,$C$5,Datos_items!$D:$D,$C$6)</f>
        <v>0</v>
      </c>
      <c r="P40" s="19" t="n">
        <f aca="false">COUNTIFS(Datos_items!$L:$L,$A40,Datos_items!$AA:$AA,P$33,Datos_items!$E:$E,$C$4,Datos_items!$C:$C,$C$5,Datos_items!$D:$D,$C$6)</f>
        <v>0</v>
      </c>
      <c r="Q40" s="19" t="n">
        <f aca="false">COUNTIFS(Datos_items!$L:$L,$A40,Datos_items!$AA:$AA,Q$33,Datos_items!$E:$E,$C$4,Datos_items!$C:$C,$C$5,Datos_items!$D:$D,$C$6)</f>
        <v>0</v>
      </c>
      <c r="R40" s="19" t="n">
        <f aca="false">COUNTIFS(Datos_items!$L:$L,$A40,Datos_items!$AA:$AA,R$33,Datos_items!$E:$E,$C$4,Datos_items!$C:$C,$C$5,Datos_items!$D:$D,$C$6)</f>
        <v>0</v>
      </c>
      <c r="S40" s="19" t="n">
        <f aca="false">COUNTIFS(Datos_items!$L:$L,$A40,Datos_items!$AA:$AA,S$33,Datos_items!$E:$E,$C$4,Datos_items!$C:$C,$C$5,Datos_items!$D:$D,$C$6)</f>
        <v>0</v>
      </c>
      <c r="T40" s="19" t="n">
        <f aca="false">COUNTIFS(Datos_items!$L:$L,$A40,Datos_items!$AA:$AA,T$33,Datos_items!$E:$E,$C$4,Datos_items!$C:$C,$C$5,Datos_items!$D:$D,$C$6)</f>
        <v>0</v>
      </c>
      <c r="U40" s="19" t="n">
        <f aca="false">COUNTIFS(Datos_items!$L:$L,$A40,Datos_items!$AA:$AA,U$33,Datos_items!$E:$E,$C$4,Datos_items!$C:$C,$C$5,Datos_items!$D:$D,$C$6)</f>
        <v>0</v>
      </c>
      <c r="V40" s="19" t="n">
        <f aca="false">COUNTIFS(Datos_items!$L:$L,$A40,Datos_items!$AA:$AA,V$33,Datos_items!$E:$E,$C$4,Datos_items!$C:$C,$C$5,Datos_items!$D:$D,$C$6)</f>
        <v>0</v>
      </c>
      <c r="W40" s="19" t="n">
        <f aca="false">COUNTIFS(Datos_items!$L:$L,$A40,Datos_items!$AA:$AA,W$33,Datos_items!$E:$E,$C$4,Datos_items!$C:$C,$C$5,Datos_items!$D:$D,$C$6)</f>
        <v>0</v>
      </c>
      <c r="X40" s="19" t="n">
        <f aca="false">COUNTIFS(Datos_items!$L:$L,$A40,Datos_items!$AA:$AA,X$33,Datos_items!$E:$E,$C$4,Datos_items!$C:$C,$C$5,Datos_items!$D:$D,$C$6)</f>
        <v>0</v>
      </c>
    </row>
    <row r="41" customFormat="false" ht="15" hidden="false" customHeight="false" outlineLevel="0" collapsed="false">
      <c r="A41" s="3" t="s">
        <v>342</v>
      </c>
      <c r="B41" s="13" t="s">
        <v>309</v>
      </c>
      <c r="C41" s="2" t="n">
        <f aca="false">COUNTIFS(Datos_items!$L:$L,$A41,Datos_items!$E:$E,$C$4,Datos_items!$C:$C,$C$5,Datos_items!$D:$D,$C$6)</f>
        <v>0</v>
      </c>
      <c r="D41" s="18" t="str">
        <f aca="false">IFERROR(SUMIFS(Datos_items!$Z:$Z,Datos_items!$L:$L,$A41,Datos_items!$E:$E,$C$4,Datos_items!$C:$C,$C$5,Datos_items!$D:$D,$C$6)/C41,"")</f>
        <v/>
      </c>
      <c r="E41" s="2" t="str">
        <f aca="false">IF(MAX(F41:X41)=0,"",INDEX($F$33:$X$33,MATCH(MAX(F41:X41),F41:X41,0)))</f>
        <v/>
      </c>
      <c r="F41" s="19" t="n">
        <f aca="false">COUNTIFS(Datos_items!$L:$L,$A41,Datos_items!$AA:$AA,F$33,Datos_items!$E:$E,$C$4,Datos_items!$C:$C,$C$5,Datos_items!$D:$D,$C$6)</f>
        <v>0</v>
      </c>
      <c r="G41" s="19" t="n">
        <f aca="false">COUNTIFS(Datos_items!$L:$L,$A41,Datos_items!$AA:$AA,G$33,Datos_items!$E:$E,$C$4,Datos_items!$C:$C,$C$5,Datos_items!$D:$D,$C$6)</f>
        <v>0</v>
      </c>
      <c r="H41" s="19" t="n">
        <f aca="false">COUNTIFS(Datos_items!$L:$L,$A41,Datos_items!$AA:$AA,H$33,Datos_items!$E:$E,$C$4,Datos_items!$C:$C,$C$5,Datos_items!$D:$D,$C$6)</f>
        <v>0</v>
      </c>
      <c r="I41" s="19" t="n">
        <f aca="false">COUNTIFS(Datos_items!$L:$L,$A41,Datos_items!$AA:$AA,I$33,Datos_items!$E:$E,$C$4,Datos_items!$C:$C,$C$5,Datos_items!$D:$D,$C$6)</f>
        <v>0</v>
      </c>
      <c r="J41" s="19" t="n">
        <f aca="false">COUNTIFS(Datos_items!$L:$L,$A41,Datos_items!$AA:$AA,J$33,Datos_items!$E:$E,$C$4,Datos_items!$C:$C,$C$5,Datos_items!$D:$D,$C$6)</f>
        <v>0</v>
      </c>
      <c r="K41" s="19" t="n">
        <f aca="false">COUNTIFS(Datos_items!$L:$L,$A41,Datos_items!$AA:$AA,K$33,Datos_items!$E:$E,$C$4,Datos_items!$C:$C,$C$5,Datos_items!$D:$D,$C$6)</f>
        <v>0</v>
      </c>
      <c r="L41" s="19" t="n">
        <f aca="false">COUNTIFS(Datos_items!$L:$L,$A41,Datos_items!$AA:$AA,L$33,Datos_items!$E:$E,$C$4,Datos_items!$C:$C,$C$5,Datos_items!$D:$D,$C$6)</f>
        <v>0</v>
      </c>
      <c r="M41" s="19" t="n">
        <f aca="false">COUNTIFS(Datos_items!$L:$L,$A41,Datos_items!$AA:$AA,M$33,Datos_items!$E:$E,$C$4,Datos_items!$C:$C,$C$5,Datos_items!$D:$D,$C$6)</f>
        <v>0</v>
      </c>
      <c r="N41" s="19" t="n">
        <f aca="false">COUNTIFS(Datos_items!$L:$L,$A41,Datos_items!$AA:$AA,N$33,Datos_items!$E:$E,$C$4,Datos_items!$C:$C,$C$5,Datos_items!$D:$D,$C$6)</f>
        <v>0</v>
      </c>
      <c r="O41" s="19" t="n">
        <f aca="false">COUNTIFS(Datos_items!$L:$L,$A41,Datos_items!$AA:$AA,O$33,Datos_items!$E:$E,$C$4,Datos_items!$C:$C,$C$5,Datos_items!$D:$D,$C$6)</f>
        <v>0</v>
      </c>
      <c r="P41" s="19" t="n">
        <f aca="false">COUNTIFS(Datos_items!$L:$L,$A41,Datos_items!$AA:$AA,P$33,Datos_items!$E:$E,$C$4,Datos_items!$C:$C,$C$5,Datos_items!$D:$D,$C$6)</f>
        <v>0</v>
      </c>
      <c r="Q41" s="19" t="n">
        <f aca="false">COUNTIFS(Datos_items!$L:$L,$A41,Datos_items!$AA:$AA,Q$33,Datos_items!$E:$E,$C$4,Datos_items!$C:$C,$C$5,Datos_items!$D:$D,$C$6)</f>
        <v>0</v>
      </c>
      <c r="R41" s="19" t="n">
        <f aca="false">COUNTIFS(Datos_items!$L:$L,$A41,Datos_items!$AA:$AA,R$33,Datos_items!$E:$E,$C$4,Datos_items!$C:$C,$C$5,Datos_items!$D:$D,$C$6)</f>
        <v>0</v>
      </c>
      <c r="S41" s="19" t="n">
        <f aca="false">COUNTIFS(Datos_items!$L:$L,$A41,Datos_items!$AA:$AA,S$33,Datos_items!$E:$E,$C$4,Datos_items!$C:$C,$C$5,Datos_items!$D:$D,$C$6)</f>
        <v>0</v>
      </c>
      <c r="T41" s="19" t="n">
        <f aca="false">COUNTIFS(Datos_items!$L:$L,$A41,Datos_items!$AA:$AA,T$33,Datos_items!$E:$E,$C$4,Datos_items!$C:$C,$C$5,Datos_items!$D:$D,$C$6)</f>
        <v>0</v>
      </c>
      <c r="U41" s="19" t="n">
        <f aca="false">COUNTIFS(Datos_items!$L:$L,$A41,Datos_items!$AA:$AA,U$33,Datos_items!$E:$E,$C$4,Datos_items!$C:$C,$C$5,Datos_items!$D:$D,$C$6)</f>
        <v>0</v>
      </c>
      <c r="V41" s="19" t="n">
        <f aca="false">COUNTIFS(Datos_items!$L:$L,$A41,Datos_items!$AA:$AA,V$33,Datos_items!$E:$E,$C$4,Datos_items!$C:$C,$C$5,Datos_items!$D:$D,$C$6)</f>
        <v>0</v>
      </c>
      <c r="W41" s="19" t="n">
        <f aca="false">COUNTIFS(Datos_items!$L:$L,$A41,Datos_items!$AA:$AA,W$33,Datos_items!$E:$E,$C$4,Datos_items!$C:$C,$C$5,Datos_items!$D:$D,$C$6)</f>
        <v>0</v>
      </c>
      <c r="X41" s="19" t="n">
        <f aca="false">COUNTIFS(Datos_items!$L:$L,$A41,Datos_items!$AA:$AA,X$33,Datos_items!$E:$E,$C$4,Datos_items!$C:$C,$C$5,Datos_items!$D:$D,$C$6)</f>
        <v>0</v>
      </c>
    </row>
    <row r="42" customFormat="false" ht="15" hidden="false" customHeight="false" outlineLevel="0" collapsed="false">
      <c r="A42" s="3" t="s">
        <v>343</v>
      </c>
      <c r="B42" s="13" t="s">
        <v>309</v>
      </c>
      <c r="C42" s="2" t="n">
        <f aca="false">COUNTIFS(Datos_items!$L:$L,$A42,Datos_items!$E:$E,$C$4,Datos_items!$C:$C,$C$5,Datos_items!$D:$D,$C$6)</f>
        <v>0</v>
      </c>
      <c r="D42" s="18" t="str">
        <f aca="false">IFERROR(SUMIFS(Datos_items!$Z:$Z,Datos_items!$L:$L,$A42,Datos_items!$E:$E,$C$4,Datos_items!$C:$C,$C$5,Datos_items!$D:$D,$C$6)/C42,"")</f>
        <v/>
      </c>
      <c r="E42" s="2" t="str">
        <f aca="false">IF(MAX(F42:X42)=0,"",INDEX($F$33:$X$33,MATCH(MAX(F42:X42),F42:X42,0)))</f>
        <v/>
      </c>
      <c r="F42" s="19" t="n">
        <f aca="false">COUNTIFS(Datos_items!$L:$L,$A42,Datos_items!$AA:$AA,F$33,Datos_items!$E:$E,$C$4,Datos_items!$C:$C,$C$5,Datos_items!$D:$D,$C$6)</f>
        <v>0</v>
      </c>
      <c r="G42" s="19" t="n">
        <f aca="false">COUNTIFS(Datos_items!$L:$L,$A42,Datos_items!$AA:$AA,G$33,Datos_items!$E:$E,$C$4,Datos_items!$C:$C,$C$5,Datos_items!$D:$D,$C$6)</f>
        <v>0</v>
      </c>
      <c r="H42" s="19" t="n">
        <f aca="false">COUNTIFS(Datos_items!$L:$L,$A42,Datos_items!$AA:$AA,H$33,Datos_items!$E:$E,$C$4,Datos_items!$C:$C,$C$5,Datos_items!$D:$D,$C$6)</f>
        <v>0</v>
      </c>
      <c r="I42" s="19" t="n">
        <f aca="false">COUNTIFS(Datos_items!$L:$L,$A42,Datos_items!$AA:$AA,I$33,Datos_items!$E:$E,$C$4,Datos_items!$C:$C,$C$5,Datos_items!$D:$D,$C$6)</f>
        <v>0</v>
      </c>
      <c r="J42" s="19" t="n">
        <f aca="false">COUNTIFS(Datos_items!$L:$L,$A42,Datos_items!$AA:$AA,J$33,Datos_items!$E:$E,$C$4,Datos_items!$C:$C,$C$5,Datos_items!$D:$D,$C$6)</f>
        <v>0</v>
      </c>
      <c r="K42" s="19" t="n">
        <f aca="false">COUNTIFS(Datos_items!$L:$L,$A42,Datos_items!$AA:$AA,K$33,Datos_items!$E:$E,$C$4,Datos_items!$C:$C,$C$5,Datos_items!$D:$D,$C$6)</f>
        <v>0</v>
      </c>
      <c r="L42" s="19" t="n">
        <f aca="false">COUNTIFS(Datos_items!$L:$L,$A42,Datos_items!$AA:$AA,L$33,Datos_items!$E:$E,$C$4,Datos_items!$C:$C,$C$5,Datos_items!$D:$D,$C$6)</f>
        <v>0</v>
      </c>
      <c r="M42" s="19" t="n">
        <f aca="false">COUNTIFS(Datos_items!$L:$L,$A42,Datos_items!$AA:$AA,M$33,Datos_items!$E:$E,$C$4,Datos_items!$C:$C,$C$5,Datos_items!$D:$D,$C$6)</f>
        <v>0</v>
      </c>
      <c r="N42" s="19" t="n">
        <f aca="false">COUNTIFS(Datos_items!$L:$L,$A42,Datos_items!$AA:$AA,N$33,Datos_items!$E:$E,$C$4,Datos_items!$C:$C,$C$5,Datos_items!$D:$D,$C$6)</f>
        <v>0</v>
      </c>
      <c r="O42" s="19" t="n">
        <f aca="false">COUNTIFS(Datos_items!$L:$L,$A42,Datos_items!$AA:$AA,O$33,Datos_items!$E:$E,$C$4,Datos_items!$C:$C,$C$5,Datos_items!$D:$D,$C$6)</f>
        <v>0</v>
      </c>
      <c r="P42" s="19" t="n">
        <f aca="false">COUNTIFS(Datos_items!$L:$L,$A42,Datos_items!$AA:$AA,P$33,Datos_items!$E:$E,$C$4,Datos_items!$C:$C,$C$5,Datos_items!$D:$D,$C$6)</f>
        <v>0</v>
      </c>
      <c r="Q42" s="19" t="n">
        <f aca="false">COUNTIFS(Datos_items!$L:$L,$A42,Datos_items!$AA:$AA,Q$33,Datos_items!$E:$E,$C$4,Datos_items!$C:$C,$C$5,Datos_items!$D:$D,$C$6)</f>
        <v>0</v>
      </c>
      <c r="R42" s="19" t="n">
        <f aca="false">COUNTIFS(Datos_items!$L:$L,$A42,Datos_items!$AA:$AA,R$33,Datos_items!$E:$E,$C$4,Datos_items!$C:$C,$C$5,Datos_items!$D:$D,$C$6)</f>
        <v>0</v>
      </c>
      <c r="S42" s="19" t="n">
        <f aca="false">COUNTIFS(Datos_items!$L:$L,$A42,Datos_items!$AA:$AA,S$33,Datos_items!$E:$E,$C$4,Datos_items!$C:$C,$C$5,Datos_items!$D:$D,$C$6)</f>
        <v>0</v>
      </c>
      <c r="T42" s="19" t="n">
        <f aca="false">COUNTIFS(Datos_items!$L:$L,$A42,Datos_items!$AA:$AA,T$33,Datos_items!$E:$E,$C$4,Datos_items!$C:$C,$C$5,Datos_items!$D:$D,$C$6)</f>
        <v>0</v>
      </c>
      <c r="U42" s="19" t="n">
        <f aca="false">COUNTIFS(Datos_items!$L:$L,$A42,Datos_items!$AA:$AA,U$33,Datos_items!$E:$E,$C$4,Datos_items!$C:$C,$C$5,Datos_items!$D:$D,$C$6)</f>
        <v>0</v>
      </c>
      <c r="V42" s="19" t="n">
        <f aca="false">COUNTIFS(Datos_items!$L:$L,$A42,Datos_items!$AA:$AA,V$33,Datos_items!$E:$E,$C$4,Datos_items!$C:$C,$C$5,Datos_items!$D:$D,$C$6)</f>
        <v>0</v>
      </c>
      <c r="W42" s="19" t="n">
        <f aca="false">COUNTIFS(Datos_items!$L:$L,$A42,Datos_items!$AA:$AA,W$33,Datos_items!$E:$E,$C$4,Datos_items!$C:$C,$C$5,Datos_items!$D:$D,$C$6)</f>
        <v>0</v>
      </c>
      <c r="X42" s="19" t="n">
        <f aca="false">COUNTIFS(Datos_items!$L:$L,$A42,Datos_items!$AA:$AA,X$33,Datos_items!$E:$E,$C$4,Datos_items!$C:$C,$C$5,Datos_items!$D:$D,$C$6)</f>
        <v>0</v>
      </c>
    </row>
    <row r="43" customFormat="false" ht="15" hidden="false" customHeight="false" outlineLevel="0" collapsed="false">
      <c r="A43" s="3" t="s">
        <v>344</v>
      </c>
      <c r="B43" s="13" t="s">
        <v>312</v>
      </c>
      <c r="C43" s="2" t="n">
        <f aca="false">COUNTIFS(Datos_items!$L:$L,$A43,Datos_items!$E:$E,$C$4,Datos_items!$C:$C,$C$5,Datos_items!$D:$D,$C$6)</f>
        <v>0</v>
      </c>
      <c r="D43" s="18" t="str">
        <f aca="false">IFERROR(SUMIFS(Datos_items!$Z:$Z,Datos_items!$L:$L,$A43,Datos_items!$E:$E,$C$4,Datos_items!$C:$C,$C$5,Datos_items!$D:$D,$C$6)/C43,"")</f>
        <v/>
      </c>
      <c r="E43" s="2" t="str">
        <f aca="false">IF(MAX(F43:X43)=0,"",INDEX($F$33:$X$33,MATCH(MAX(F43:X43),F43:X43,0)))</f>
        <v/>
      </c>
      <c r="F43" s="19" t="n">
        <f aca="false">COUNTIFS(Datos_items!$L:$L,$A43,Datos_items!$AA:$AA,F$33,Datos_items!$E:$E,$C$4,Datos_items!$C:$C,$C$5,Datos_items!$D:$D,$C$6)</f>
        <v>0</v>
      </c>
      <c r="G43" s="19" t="n">
        <f aca="false">COUNTIFS(Datos_items!$L:$L,$A43,Datos_items!$AA:$AA,G$33,Datos_items!$E:$E,$C$4,Datos_items!$C:$C,$C$5,Datos_items!$D:$D,$C$6)</f>
        <v>0</v>
      </c>
      <c r="H43" s="19" t="n">
        <f aca="false">COUNTIFS(Datos_items!$L:$L,$A43,Datos_items!$AA:$AA,H$33,Datos_items!$E:$E,$C$4,Datos_items!$C:$C,$C$5,Datos_items!$D:$D,$C$6)</f>
        <v>0</v>
      </c>
      <c r="I43" s="19" t="n">
        <f aca="false">COUNTIFS(Datos_items!$L:$L,$A43,Datos_items!$AA:$AA,I$33,Datos_items!$E:$E,$C$4,Datos_items!$C:$C,$C$5,Datos_items!$D:$D,$C$6)</f>
        <v>0</v>
      </c>
      <c r="J43" s="19" t="n">
        <f aca="false">COUNTIFS(Datos_items!$L:$L,$A43,Datos_items!$AA:$AA,J$33,Datos_items!$E:$E,$C$4,Datos_items!$C:$C,$C$5,Datos_items!$D:$D,$C$6)</f>
        <v>0</v>
      </c>
      <c r="K43" s="19" t="n">
        <f aca="false">COUNTIFS(Datos_items!$L:$L,$A43,Datos_items!$AA:$AA,K$33,Datos_items!$E:$E,$C$4,Datos_items!$C:$C,$C$5,Datos_items!$D:$D,$C$6)</f>
        <v>0</v>
      </c>
      <c r="L43" s="19" t="n">
        <f aca="false">COUNTIFS(Datos_items!$L:$L,$A43,Datos_items!$AA:$AA,L$33,Datos_items!$E:$E,$C$4,Datos_items!$C:$C,$C$5,Datos_items!$D:$D,$C$6)</f>
        <v>0</v>
      </c>
      <c r="M43" s="19" t="n">
        <f aca="false">COUNTIFS(Datos_items!$L:$L,$A43,Datos_items!$AA:$AA,M$33,Datos_items!$E:$E,$C$4,Datos_items!$C:$C,$C$5,Datos_items!$D:$D,$C$6)</f>
        <v>0</v>
      </c>
      <c r="N43" s="19" t="n">
        <f aca="false">COUNTIFS(Datos_items!$L:$L,$A43,Datos_items!$AA:$AA,N$33,Datos_items!$E:$E,$C$4,Datos_items!$C:$C,$C$5,Datos_items!$D:$D,$C$6)</f>
        <v>0</v>
      </c>
      <c r="O43" s="19" t="n">
        <f aca="false">COUNTIFS(Datos_items!$L:$L,$A43,Datos_items!$AA:$AA,O$33,Datos_items!$E:$E,$C$4,Datos_items!$C:$C,$C$5,Datos_items!$D:$D,$C$6)</f>
        <v>0</v>
      </c>
      <c r="P43" s="19" t="n">
        <f aca="false">COUNTIFS(Datos_items!$L:$L,$A43,Datos_items!$AA:$AA,P$33,Datos_items!$E:$E,$C$4,Datos_items!$C:$C,$C$5,Datos_items!$D:$D,$C$6)</f>
        <v>0</v>
      </c>
      <c r="Q43" s="19" t="n">
        <f aca="false">COUNTIFS(Datos_items!$L:$L,$A43,Datos_items!$AA:$AA,Q$33,Datos_items!$E:$E,$C$4,Datos_items!$C:$C,$C$5,Datos_items!$D:$D,$C$6)</f>
        <v>0</v>
      </c>
      <c r="R43" s="19" t="n">
        <f aca="false">COUNTIFS(Datos_items!$L:$L,$A43,Datos_items!$AA:$AA,R$33,Datos_items!$E:$E,$C$4,Datos_items!$C:$C,$C$5,Datos_items!$D:$D,$C$6)</f>
        <v>0</v>
      </c>
      <c r="S43" s="19" t="n">
        <f aca="false">COUNTIFS(Datos_items!$L:$L,$A43,Datos_items!$AA:$AA,S$33,Datos_items!$E:$E,$C$4,Datos_items!$C:$C,$C$5,Datos_items!$D:$D,$C$6)</f>
        <v>0</v>
      </c>
      <c r="T43" s="19" t="n">
        <f aca="false">COUNTIFS(Datos_items!$L:$L,$A43,Datos_items!$AA:$AA,T$33,Datos_items!$E:$E,$C$4,Datos_items!$C:$C,$C$5,Datos_items!$D:$D,$C$6)</f>
        <v>0</v>
      </c>
      <c r="U43" s="19" t="n">
        <f aca="false">COUNTIFS(Datos_items!$L:$L,$A43,Datos_items!$AA:$AA,U$33,Datos_items!$E:$E,$C$4,Datos_items!$C:$C,$C$5,Datos_items!$D:$D,$C$6)</f>
        <v>0</v>
      </c>
      <c r="V43" s="19" t="n">
        <f aca="false">COUNTIFS(Datos_items!$L:$L,$A43,Datos_items!$AA:$AA,V$33,Datos_items!$E:$E,$C$4,Datos_items!$C:$C,$C$5,Datos_items!$D:$D,$C$6)</f>
        <v>0</v>
      </c>
      <c r="W43" s="19" t="n">
        <f aca="false">COUNTIFS(Datos_items!$L:$L,$A43,Datos_items!$AA:$AA,W$33,Datos_items!$E:$E,$C$4,Datos_items!$C:$C,$C$5,Datos_items!$D:$D,$C$6)</f>
        <v>0</v>
      </c>
      <c r="X43" s="19" t="n">
        <f aca="false">COUNTIFS(Datos_items!$L:$L,$A43,Datos_items!$AA:$AA,X$33,Datos_items!$E:$E,$C$4,Datos_items!$C:$C,$C$5,Datos_items!$D:$D,$C$6)</f>
        <v>0</v>
      </c>
    </row>
    <row r="44" customFormat="false" ht="15" hidden="false" customHeight="false" outlineLevel="0" collapsed="false">
      <c r="A44" s="3" t="s">
        <v>345</v>
      </c>
      <c r="B44" s="13" t="s">
        <v>312</v>
      </c>
      <c r="C44" s="2" t="n">
        <f aca="false">COUNTIFS(Datos_items!$L:$L,$A44,Datos_items!$E:$E,$C$4,Datos_items!$C:$C,$C$5,Datos_items!$D:$D,$C$6)</f>
        <v>0</v>
      </c>
      <c r="D44" s="18" t="str">
        <f aca="false">IFERROR(SUMIFS(Datos_items!$Z:$Z,Datos_items!$L:$L,$A44,Datos_items!$E:$E,$C$4,Datos_items!$C:$C,$C$5,Datos_items!$D:$D,$C$6)/C44,"")</f>
        <v/>
      </c>
      <c r="E44" s="2" t="str">
        <f aca="false">IF(MAX(F44:X44)=0,"",INDEX($F$33:$X$33,MATCH(MAX(F44:X44),F44:X44,0)))</f>
        <v/>
      </c>
      <c r="F44" s="19" t="n">
        <f aca="false">COUNTIFS(Datos_items!$L:$L,$A44,Datos_items!$AA:$AA,F$33,Datos_items!$E:$E,$C$4,Datos_items!$C:$C,$C$5,Datos_items!$D:$D,$C$6)</f>
        <v>0</v>
      </c>
      <c r="G44" s="19" t="n">
        <f aca="false">COUNTIFS(Datos_items!$L:$L,$A44,Datos_items!$AA:$AA,G$33,Datos_items!$E:$E,$C$4,Datos_items!$C:$C,$C$5,Datos_items!$D:$D,$C$6)</f>
        <v>0</v>
      </c>
      <c r="H44" s="19" t="n">
        <f aca="false">COUNTIFS(Datos_items!$L:$L,$A44,Datos_items!$AA:$AA,H$33,Datos_items!$E:$E,$C$4,Datos_items!$C:$C,$C$5,Datos_items!$D:$D,$C$6)</f>
        <v>0</v>
      </c>
      <c r="I44" s="19" t="n">
        <f aca="false">COUNTIFS(Datos_items!$L:$L,$A44,Datos_items!$AA:$AA,I$33,Datos_items!$E:$E,$C$4,Datos_items!$C:$C,$C$5,Datos_items!$D:$D,$C$6)</f>
        <v>0</v>
      </c>
      <c r="J44" s="19" t="n">
        <f aca="false">COUNTIFS(Datos_items!$L:$L,$A44,Datos_items!$AA:$AA,J$33,Datos_items!$E:$E,$C$4,Datos_items!$C:$C,$C$5,Datos_items!$D:$D,$C$6)</f>
        <v>0</v>
      </c>
      <c r="K44" s="19" t="n">
        <f aca="false">COUNTIFS(Datos_items!$L:$L,$A44,Datos_items!$AA:$AA,K$33,Datos_items!$E:$E,$C$4,Datos_items!$C:$C,$C$5,Datos_items!$D:$D,$C$6)</f>
        <v>0</v>
      </c>
      <c r="L44" s="19" t="n">
        <f aca="false">COUNTIFS(Datos_items!$L:$L,$A44,Datos_items!$AA:$AA,L$33,Datos_items!$E:$E,$C$4,Datos_items!$C:$C,$C$5,Datos_items!$D:$D,$C$6)</f>
        <v>0</v>
      </c>
      <c r="M44" s="19" t="n">
        <f aca="false">COUNTIFS(Datos_items!$L:$L,$A44,Datos_items!$AA:$AA,M$33,Datos_items!$E:$E,$C$4,Datos_items!$C:$C,$C$5,Datos_items!$D:$D,$C$6)</f>
        <v>0</v>
      </c>
      <c r="N44" s="19" t="n">
        <f aca="false">COUNTIFS(Datos_items!$L:$L,$A44,Datos_items!$AA:$AA,N$33,Datos_items!$E:$E,$C$4,Datos_items!$C:$C,$C$5,Datos_items!$D:$D,$C$6)</f>
        <v>0</v>
      </c>
      <c r="O44" s="19" t="n">
        <f aca="false">COUNTIFS(Datos_items!$L:$L,$A44,Datos_items!$AA:$AA,O$33,Datos_items!$E:$E,$C$4,Datos_items!$C:$C,$C$5,Datos_items!$D:$D,$C$6)</f>
        <v>0</v>
      </c>
      <c r="P44" s="19" t="n">
        <f aca="false">COUNTIFS(Datos_items!$L:$L,$A44,Datos_items!$AA:$AA,P$33,Datos_items!$E:$E,$C$4,Datos_items!$C:$C,$C$5,Datos_items!$D:$D,$C$6)</f>
        <v>0</v>
      </c>
      <c r="Q44" s="19" t="n">
        <f aca="false">COUNTIFS(Datos_items!$L:$L,$A44,Datos_items!$AA:$AA,Q$33,Datos_items!$E:$E,$C$4,Datos_items!$C:$C,$C$5,Datos_items!$D:$D,$C$6)</f>
        <v>0</v>
      </c>
      <c r="R44" s="19" t="n">
        <f aca="false">COUNTIFS(Datos_items!$L:$L,$A44,Datos_items!$AA:$AA,R$33,Datos_items!$E:$E,$C$4,Datos_items!$C:$C,$C$5,Datos_items!$D:$D,$C$6)</f>
        <v>0</v>
      </c>
      <c r="S44" s="19" t="n">
        <f aca="false">COUNTIFS(Datos_items!$L:$L,$A44,Datos_items!$AA:$AA,S$33,Datos_items!$E:$E,$C$4,Datos_items!$C:$C,$C$5,Datos_items!$D:$D,$C$6)</f>
        <v>0</v>
      </c>
      <c r="T44" s="19" t="n">
        <f aca="false">COUNTIFS(Datos_items!$L:$L,$A44,Datos_items!$AA:$AA,T$33,Datos_items!$E:$E,$C$4,Datos_items!$C:$C,$C$5,Datos_items!$D:$D,$C$6)</f>
        <v>0</v>
      </c>
      <c r="U44" s="19" t="n">
        <f aca="false">COUNTIFS(Datos_items!$L:$L,$A44,Datos_items!$AA:$AA,U$33,Datos_items!$E:$E,$C$4,Datos_items!$C:$C,$C$5,Datos_items!$D:$D,$C$6)</f>
        <v>0</v>
      </c>
      <c r="V44" s="19" t="n">
        <f aca="false">COUNTIFS(Datos_items!$L:$L,$A44,Datos_items!$AA:$AA,V$33,Datos_items!$E:$E,$C$4,Datos_items!$C:$C,$C$5,Datos_items!$D:$D,$C$6)</f>
        <v>0</v>
      </c>
      <c r="W44" s="19" t="n">
        <f aca="false">COUNTIFS(Datos_items!$L:$L,$A44,Datos_items!$AA:$AA,W$33,Datos_items!$E:$E,$C$4,Datos_items!$C:$C,$C$5,Datos_items!$D:$D,$C$6)</f>
        <v>0</v>
      </c>
      <c r="X44" s="19" t="n">
        <f aca="false">COUNTIFS(Datos_items!$L:$L,$A44,Datos_items!$AA:$AA,X$33,Datos_items!$E:$E,$C$4,Datos_items!$C:$C,$C$5,Datos_items!$D:$D,$C$6)</f>
        <v>0</v>
      </c>
    </row>
    <row r="45" customFormat="false" ht="15" hidden="false" customHeight="false" outlineLevel="0" collapsed="false">
      <c r="A45" s="3" t="s">
        <v>255</v>
      </c>
      <c r="B45" s="13" t="s">
        <v>221</v>
      </c>
      <c r="C45" s="2" t="n">
        <f aca="false">COUNTIFS(Datos_items!$L:$L,$A45,Datos_items!$E:$E,$C$4,Datos_items!$C:$C,$C$5,Datos_items!$D:$D,$C$6)</f>
        <v>0</v>
      </c>
      <c r="D45" s="18" t="str">
        <f aca="false">IFERROR(SUMIFS(Datos_items!$Z:$Z,Datos_items!$L:$L,$A45,Datos_items!$E:$E,$C$4,Datos_items!$C:$C,$C$5,Datos_items!$D:$D,$C$6)/C45,"")</f>
        <v/>
      </c>
      <c r="E45" s="2" t="str">
        <f aca="false">IF(MAX(F45:X45)=0,"",INDEX($F$33:$X$33,MATCH(MAX(F45:X45),F45:X45,0)))</f>
        <v/>
      </c>
      <c r="F45" s="19" t="n">
        <f aca="false">COUNTIFS(Datos_items!$L:$L,$A45,Datos_items!$AA:$AA,F$33,Datos_items!$E:$E,$C$4,Datos_items!$C:$C,$C$5,Datos_items!$D:$D,$C$6)</f>
        <v>0</v>
      </c>
      <c r="G45" s="19" t="n">
        <f aca="false">COUNTIFS(Datos_items!$L:$L,$A45,Datos_items!$AA:$AA,G$33,Datos_items!$E:$E,$C$4,Datos_items!$C:$C,$C$5,Datos_items!$D:$D,$C$6)</f>
        <v>0</v>
      </c>
      <c r="H45" s="19" t="n">
        <f aca="false">COUNTIFS(Datos_items!$L:$L,$A45,Datos_items!$AA:$AA,H$33,Datos_items!$E:$E,$C$4,Datos_items!$C:$C,$C$5,Datos_items!$D:$D,$C$6)</f>
        <v>0</v>
      </c>
      <c r="I45" s="19" t="n">
        <f aca="false">COUNTIFS(Datos_items!$L:$L,$A45,Datos_items!$AA:$AA,I$33,Datos_items!$E:$E,$C$4,Datos_items!$C:$C,$C$5,Datos_items!$D:$D,$C$6)</f>
        <v>0</v>
      </c>
      <c r="J45" s="19" t="n">
        <f aca="false">COUNTIFS(Datos_items!$L:$L,$A45,Datos_items!$AA:$AA,J$33,Datos_items!$E:$E,$C$4,Datos_items!$C:$C,$C$5,Datos_items!$D:$D,$C$6)</f>
        <v>0</v>
      </c>
      <c r="K45" s="19" t="n">
        <f aca="false">COUNTIFS(Datos_items!$L:$L,$A45,Datos_items!$AA:$AA,K$33,Datos_items!$E:$E,$C$4,Datos_items!$C:$C,$C$5,Datos_items!$D:$D,$C$6)</f>
        <v>0</v>
      </c>
      <c r="L45" s="19" t="n">
        <f aca="false">COUNTIFS(Datos_items!$L:$L,$A45,Datos_items!$AA:$AA,L$33,Datos_items!$E:$E,$C$4,Datos_items!$C:$C,$C$5,Datos_items!$D:$D,$C$6)</f>
        <v>0</v>
      </c>
      <c r="M45" s="19" t="n">
        <f aca="false">COUNTIFS(Datos_items!$L:$L,$A45,Datos_items!$AA:$AA,M$33,Datos_items!$E:$E,$C$4,Datos_items!$C:$C,$C$5,Datos_items!$D:$D,$C$6)</f>
        <v>0</v>
      </c>
      <c r="N45" s="19" t="n">
        <f aca="false">COUNTIFS(Datos_items!$L:$L,$A45,Datos_items!$AA:$AA,N$33,Datos_items!$E:$E,$C$4,Datos_items!$C:$C,$C$5,Datos_items!$D:$D,$C$6)</f>
        <v>0</v>
      </c>
      <c r="O45" s="19" t="n">
        <f aca="false">COUNTIFS(Datos_items!$L:$L,$A45,Datos_items!$AA:$AA,O$33,Datos_items!$E:$E,$C$4,Datos_items!$C:$C,$C$5,Datos_items!$D:$D,$C$6)</f>
        <v>0</v>
      </c>
      <c r="P45" s="19" t="n">
        <f aca="false">COUNTIFS(Datos_items!$L:$L,$A45,Datos_items!$AA:$AA,P$33,Datos_items!$E:$E,$C$4,Datos_items!$C:$C,$C$5,Datos_items!$D:$D,$C$6)</f>
        <v>0</v>
      </c>
      <c r="Q45" s="19" t="n">
        <f aca="false">COUNTIFS(Datos_items!$L:$L,$A45,Datos_items!$AA:$AA,Q$33,Datos_items!$E:$E,$C$4,Datos_items!$C:$C,$C$5,Datos_items!$D:$D,$C$6)</f>
        <v>0</v>
      </c>
      <c r="R45" s="19" t="n">
        <f aca="false">COUNTIFS(Datos_items!$L:$L,$A45,Datos_items!$AA:$AA,R$33,Datos_items!$E:$E,$C$4,Datos_items!$C:$C,$C$5,Datos_items!$D:$D,$C$6)</f>
        <v>0</v>
      </c>
      <c r="S45" s="19" t="n">
        <f aca="false">COUNTIFS(Datos_items!$L:$L,$A45,Datos_items!$AA:$AA,S$33,Datos_items!$E:$E,$C$4,Datos_items!$C:$C,$C$5,Datos_items!$D:$D,$C$6)</f>
        <v>0</v>
      </c>
      <c r="T45" s="19" t="n">
        <f aca="false">COUNTIFS(Datos_items!$L:$L,$A45,Datos_items!$AA:$AA,T$33,Datos_items!$E:$E,$C$4,Datos_items!$C:$C,$C$5,Datos_items!$D:$D,$C$6)</f>
        <v>0</v>
      </c>
      <c r="U45" s="19" t="n">
        <f aca="false">COUNTIFS(Datos_items!$L:$L,$A45,Datos_items!$AA:$AA,U$33,Datos_items!$E:$E,$C$4,Datos_items!$C:$C,$C$5,Datos_items!$D:$D,$C$6)</f>
        <v>0</v>
      </c>
      <c r="V45" s="19" t="n">
        <f aca="false">COUNTIFS(Datos_items!$L:$L,$A45,Datos_items!$AA:$AA,V$33,Datos_items!$E:$E,$C$4,Datos_items!$C:$C,$C$5,Datos_items!$D:$D,$C$6)</f>
        <v>0</v>
      </c>
      <c r="W45" s="19" t="n">
        <f aca="false">COUNTIFS(Datos_items!$L:$L,$A45,Datos_items!$AA:$AA,W$33,Datos_items!$E:$E,$C$4,Datos_items!$C:$C,$C$5,Datos_items!$D:$D,$C$6)</f>
        <v>0</v>
      </c>
      <c r="X45" s="19" t="n">
        <f aca="false">COUNTIFS(Datos_items!$L:$L,$A45,Datos_items!$AA:$AA,X$33,Datos_items!$E:$E,$C$4,Datos_items!$C:$C,$C$5,Datos_items!$D:$D,$C$6)</f>
        <v>0</v>
      </c>
    </row>
    <row r="46" customFormat="false" ht="15" hidden="false" customHeight="false" outlineLevel="0" collapsed="false">
      <c r="A46" s="3" t="s">
        <v>346</v>
      </c>
      <c r="B46" s="13" t="s">
        <v>221</v>
      </c>
      <c r="C46" s="2" t="n">
        <f aca="false">COUNTIFS(Datos_items!$L:$L,$A46,Datos_items!$E:$E,$C$4,Datos_items!$C:$C,$C$5,Datos_items!$D:$D,$C$6)</f>
        <v>0</v>
      </c>
      <c r="D46" s="18" t="str">
        <f aca="false">IFERROR(SUMIFS(Datos_items!$Z:$Z,Datos_items!$L:$L,$A46,Datos_items!$E:$E,$C$4,Datos_items!$C:$C,$C$5,Datos_items!$D:$D,$C$6)/C46,"")</f>
        <v/>
      </c>
      <c r="E46" s="2" t="str">
        <f aca="false">IF(MAX(F46:X46)=0,"",INDEX($F$33:$X$33,MATCH(MAX(F46:X46),F46:X46,0)))</f>
        <v/>
      </c>
      <c r="F46" s="19" t="n">
        <f aca="false">COUNTIFS(Datos_items!$L:$L,$A46,Datos_items!$AA:$AA,F$33,Datos_items!$E:$E,$C$4,Datos_items!$C:$C,$C$5,Datos_items!$D:$D,$C$6)</f>
        <v>0</v>
      </c>
      <c r="G46" s="19" t="n">
        <f aca="false">COUNTIFS(Datos_items!$L:$L,$A46,Datos_items!$AA:$AA,G$33,Datos_items!$E:$E,$C$4,Datos_items!$C:$C,$C$5,Datos_items!$D:$D,$C$6)</f>
        <v>0</v>
      </c>
      <c r="H46" s="19" t="n">
        <f aca="false">COUNTIFS(Datos_items!$L:$L,$A46,Datos_items!$AA:$AA,H$33,Datos_items!$E:$E,$C$4,Datos_items!$C:$C,$C$5,Datos_items!$D:$D,$C$6)</f>
        <v>0</v>
      </c>
      <c r="I46" s="19" t="n">
        <f aca="false">COUNTIFS(Datos_items!$L:$L,$A46,Datos_items!$AA:$AA,I$33,Datos_items!$E:$E,$C$4,Datos_items!$C:$C,$C$5,Datos_items!$D:$D,$C$6)</f>
        <v>0</v>
      </c>
      <c r="J46" s="19" t="n">
        <f aca="false">COUNTIFS(Datos_items!$L:$L,$A46,Datos_items!$AA:$AA,J$33,Datos_items!$E:$E,$C$4,Datos_items!$C:$C,$C$5,Datos_items!$D:$D,$C$6)</f>
        <v>0</v>
      </c>
      <c r="K46" s="19" t="n">
        <f aca="false">COUNTIFS(Datos_items!$L:$L,$A46,Datos_items!$AA:$AA,K$33,Datos_items!$E:$E,$C$4,Datos_items!$C:$C,$C$5,Datos_items!$D:$D,$C$6)</f>
        <v>0</v>
      </c>
      <c r="L46" s="19" t="n">
        <f aca="false">COUNTIFS(Datos_items!$L:$L,$A46,Datos_items!$AA:$AA,L$33,Datos_items!$E:$E,$C$4,Datos_items!$C:$C,$C$5,Datos_items!$D:$D,$C$6)</f>
        <v>0</v>
      </c>
      <c r="M46" s="19" t="n">
        <f aca="false">COUNTIFS(Datos_items!$L:$L,$A46,Datos_items!$AA:$AA,M$33,Datos_items!$E:$E,$C$4,Datos_items!$C:$C,$C$5,Datos_items!$D:$D,$C$6)</f>
        <v>0</v>
      </c>
      <c r="N46" s="19" t="n">
        <f aca="false">COUNTIFS(Datos_items!$L:$L,$A46,Datos_items!$AA:$AA,N$33,Datos_items!$E:$E,$C$4,Datos_items!$C:$C,$C$5,Datos_items!$D:$D,$C$6)</f>
        <v>0</v>
      </c>
      <c r="O46" s="19" t="n">
        <f aca="false">COUNTIFS(Datos_items!$L:$L,$A46,Datos_items!$AA:$AA,O$33,Datos_items!$E:$E,$C$4,Datos_items!$C:$C,$C$5,Datos_items!$D:$D,$C$6)</f>
        <v>0</v>
      </c>
      <c r="P46" s="19" t="n">
        <f aca="false">COUNTIFS(Datos_items!$L:$L,$A46,Datos_items!$AA:$AA,P$33,Datos_items!$E:$E,$C$4,Datos_items!$C:$C,$C$5,Datos_items!$D:$D,$C$6)</f>
        <v>0</v>
      </c>
      <c r="Q46" s="19" t="n">
        <f aca="false">COUNTIFS(Datos_items!$L:$L,$A46,Datos_items!$AA:$AA,Q$33,Datos_items!$E:$E,$C$4,Datos_items!$C:$C,$C$5,Datos_items!$D:$D,$C$6)</f>
        <v>0</v>
      </c>
      <c r="R46" s="19" t="n">
        <f aca="false">COUNTIFS(Datos_items!$L:$L,$A46,Datos_items!$AA:$AA,R$33,Datos_items!$E:$E,$C$4,Datos_items!$C:$C,$C$5,Datos_items!$D:$D,$C$6)</f>
        <v>0</v>
      </c>
      <c r="S46" s="19" t="n">
        <f aca="false">COUNTIFS(Datos_items!$L:$L,$A46,Datos_items!$AA:$AA,S$33,Datos_items!$E:$E,$C$4,Datos_items!$C:$C,$C$5,Datos_items!$D:$D,$C$6)</f>
        <v>0</v>
      </c>
      <c r="T46" s="19" t="n">
        <f aca="false">COUNTIFS(Datos_items!$L:$L,$A46,Datos_items!$AA:$AA,T$33,Datos_items!$E:$E,$C$4,Datos_items!$C:$C,$C$5,Datos_items!$D:$D,$C$6)</f>
        <v>0</v>
      </c>
      <c r="U46" s="19" t="n">
        <f aca="false">COUNTIFS(Datos_items!$L:$L,$A46,Datos_items!$AA:$AA,U$33,Datos_items!$E:$E,$C$4,Datos_items!$C:$C,$C$5,Datos_items!$D:$D,$C$6)</f>
        <v>0</v>
      </c>
      <c r="V46" s="19" t="n">
        <f aca="false">COUNTIFS(Datos_items!$L:$L,$A46,Datos_items!$AA:$AA,V$33,Datos_items!$E:$E,$C$4,Datos_items!$C:$C,$C$5,Datos_items!$D:$D,$C$6)</f>
        <v>0</v>
      </c>
      <c r="W46" s="19" t="n">
        <f aca="false">COUNTIFS(Datos_items!$L:$L,$A46,Datos_items!$AA:$AA,W$33,Datos_items!$E:$E,$C$4,Datos_items!$C:$C,$C$5,Datos_items!$D:$D,$C$6)</f>
        <v>0</v>
      </c>
      <c r="X46" s="19" t="n">
        <f aca="false">COUNTIFS(Datos_items!$L:$L,$A46,Datos_items!$AA:$AA,X$33,Datos_items!$E:$E,$C$4,Datos_items!$C:$C,$C$5,Datos_items!$D:$D,$C$6)</f>
        <v>0</v>
      </c>
    </row>
    <row r="47" customFormat="false" ht="15" hidden="false" customHeight="false" outlineLevel="0" collapsed="false">
      <c r="A47" s="3" t="s">
        <v>347</v>
      </c>
      <c r="B47" s="13" t="s">
        <v>316</v>
      </c>
      <c r="C47" s="2" t="n">
        <f aca="false">COUNTIFS(Datos_items!$L:$L,$A47,Datos_items!$E:$E,$C$4,Datos_items!$C:$C,$C$5,Datos_items!$D:$D,$C$6)</f>
        <v>0</v>
      </c>
      <c r="D47" s="18" t="str">
        <f aca="false">IFERROR(SUMIFS(Datos_items!$Z:$Z,Datos_items!$L:$L,$A47,Datos_items!$E:$E,$C$4,Datos_items!$C:$C,$C$5,Datos_items!$D:$D,$C$6)/C47,"")</f>
        <v/>
      </c>
      <c r="E47" s="2" t="str">
        <f aca="false">IF(MAX(F47:X47)=0,"",INDEX($F$33:$X$33,MATCH(MAX(F47:X47),F47:X47,0)))</f>
        <v/>
      </c>
      <c r="F47" s="19" t="n">
        <f aca="false">COUNTIFS(Datos_items!$L:$L,$A47,Datos_items!$AA:$AA,F$33,Datos_items!$E:$E,$C$4,Datos_items!$C:$C,$C$5,Datos_items!$D:$D,$C$6)</f>
        <v>0</v>
      </c>
      <c r="G47" s="19" t="n">
        <f aca="false">COUNTIFS(Datos_items!$L:$L,$A47,Datos_items!$AA:$AA,G$33,Datos_items!$E:$E,$C$4,Datos_items!$C:$C,$C$5,Datos_items!$D:$D,$C$6)</f>
        <v>0</v>
      </c>
      <c r="H47" s="19" t="n">
        <f aca="false">COUNTIFS(Datos_items!$L:$L,$A47,Datos_items!$AA:$AA,H$33,Datos_items!$E:$E,$C$4,Datos_items!$C:$C,$C$5,Datos_items!$D:$D,$C$6)</f>
        <v>0</v>
      </c>
      <c r="I47" s="19" t="n">
        <f aca="false">COUNTIFS(Datos_items!$L:$L,$A47,Datos_items!$AA:$AA,I$33,Datos_items!$E:$E,$C$4,Datos_items!$C:$C,$C$5,Datos_items!$D:$D,$C$6)</f>
        <v>0</v>
      </c>
      <c r="J47" s="19" t="n">
        <f aca="false">COUNTIFS(Datos_items!$L:$L,$A47,Datos_items!$AA:$AA,J$33,Datos_items!$E:$E,$C$4,Datos_items!$C:$C,$C$5,Datos_items!$D:$D,$C$6)</f>
        <v>0</v>
      </c>
      <c r="K47" s="19" t="n">
        <f aca="false">COUNTIFS(Datos_items!$L:$L,$A47,Datos_items!$AA:$AA,K$33,Datos_items!$E:$E,$C$4,Datos_items!$C:$C,$C$5,Datos_items!$D:$D,$C$6)</f>
        <v>0</v>
      </c>
      <c r="L47" s="19" t="n">
        <f aca="false">COUNTIFS(Datos_items!$L:$L,$A47,Datos_items!$AA:$AA,L$33,Datos_items!$E:$E,$C$4,Datos_items!$C:$C,$C$5,Datos_items!$D:$D,$C$6)</f>
        <v>0</v>
      </c>
      <c r="M47" s="19" t="n">
        <f aca="false">COUNTIFS(Datos_items!$L:$L,$A47,Datos_items!$AA:$AA,M$33,Datos_items!$E:$E,$C$4,Datos_items!$C:$C,$C$5,Datos_items!$D:$D,$C$6)</f>
        <v>0</v>
      </c>
      <c r="N47" s="19" t="n">
        <f aca="false">COUNTIFS(Datos_items!$L:$L,$A47,Datos_items!$AA:$AA,N$33,Datos_items!$E:$E,$C$4,Datos_items!$C:$C,$C$5,Datos_items!$D:$D,$C$6)</f>
        <v>0</v>
      </c>
      <c r="O47" s="19" t="n">
        <f aca="false">COUNTIFS(Datos_items!$L:$L,$A47,Datos_items!$AA:$AA,O$33,Datos_items!$E:$E,$C$4,Datos_items!$C:$C,$C$5,Datos_items!$D:$D,$C$6)</f>
        <v>0</v>
      </c>
      <c r="P47" s="19" t="n">
        <f aca="false">COUNTIFS(Datos_items!$L:$L,$A47,Datos_items!$AA:$AA,P$33,Datos_items!$E:$E,$C$4,Datos_items!$C:$C,$C$5,Datos_items!$D:$D,$C$6)</f>
        <v>0</v>
      </c>
      <c r="Q47" s="19" t="n">
        <f aca="false">COUNTIFS(Datos_items!$L:$L,$A47,Datos_items!$AA:$AA,Q$33,Datos_items!$E:$E,$C$4,Datos_items!$C:$C,$C$5,Datos_items!$D:$D,$C$6)</f>
        <v>0</v>
      </c>
      <c r="R47" s="19" t="n">
        <f aca="false">COUNTIFS(Datos_items!$L:$L,$A47,Datos_items!$AA:$AA,R$33,Datos_items!$E:$E,$C$4,Datos_items!$C:$C,$C$5,Datos_items!$D:$D,$C$6)</f>
        <v>0</v>
      </c>
      <c r="S47" s="19" t="n">
        <f aca="false">COUNTIFS(Datos_items!$L:$L,$A47,Datos_items!$AA:$AA,S$33,Datos_items!$E:$E,$C$4,Datos_items!$C:$C,$C$5,Datos_items!$D:$D,$C$6)</f>
        <v>0</v>
      </c>
      <c r="T47" s="19" t="n">
        <f aca="false">COUNTIFS(Datos_items!$L:$L,$A47,Datos_items!$AA:$AA,T$33,Datos_items!$E:$E,$C$4,Datos_items!$C:$C,$C$5,Datos_items!$D:$D,$C$6)</f>
        <v>0</v>
      </c>
      <c r="U47" s="19" t="n">
        <f aca="false">COUNTIFS(Datos_items!$L:$L,$A47,Datos_items!$AA:$AA,U$33,Datos_items!$E:$E,$C$4,Datos_items!$C:$C,$C$5,Datos_items!$D:$D,$C$6)</f>
        <v>0</v>
      </c>
      <c r="V47" s="19" t="n">
        <f aca="false">COUNTIFS(Datos_items!$L:$L,$A47,Datos_items!$AA:$AA,V$33,Datos_items!$E:$E,$C$4,Datos_items!$C:$C,$C$5,Datos_items!$D:$D,$C$6)</f>
        <v>0</v>
      </c>
      <c r="W47" s="19" t="n">
        <f aca="false">COUNTIFS(Datos_items!$L:$L,$A47,Datos_items!$AA:$AA,W$33,Datos_items!$E:$E,$C$4,Datos_items!$C:$C,$C$5,Datos_items!$D:$D,$C$6)</f>
        <v>0</v>
      </c>
      <c r="X47" s="19" t="n">
        <f aca="false">COUNTIFS(Datos_items!$L:$L,$A47,Datos_items!$AA:$AA,X$33,Datos_items!$E:$E,$C$4,Datos_items!$C:$C,$C$5,Datos_items!$D:$D,$C$6)</f>
        <v>0</v>
      </c>
    </row>
    <row r="48" customFormat="false" ht="15" hidden="false" customHeight="false" outlineLevel="0" collapsed="false">
      <c r="A48" s="3" t="s">
        <v>348</v>
      </c>
      <c r="B48" s="13" t="s">
        <v>322</v>
      </c>
      <c r="C48" s="2" t="n">
        <f aca="false">COUNTIFS(Datos_items!$L:$L,$A48,Datos_items!$E:$E,$C$4,Datos_items!$C:$C,$C$5,Datos_items!$D:$D,$C$6)</f>
        <v>0</v>
      </c>
      <c r="D48" s="18" t="str">
        <f aca="false">IFERROR(SUMIFS(Datos_items!$Z:$Z,Datos_items!$L:$L,$A48,Datos_items!$E:$E,$C$4,Datos_items!$C:$C,$C$5,Datos_items!$D:$D,$C$6)/C48,"")</f>
        <v/>
      </c>
      <c r="E48" s="2" t="str">
        <f aca="false">IF(MAX(F48:X48)=0,"",INDEX($F$33:$X$33,MATCH(MAX(F48:X48),F48:X48,0)))</f>
        <v/>
      </c>
      <c r="F48" s="19" t="n">
        <f aca="false">COUNTIFS(Datos_items!$L:$L,$A48,Datos_items!$AA:$AA,F$33,Datos_items!$E:$E,$C$4,Datos_items!$C:$C,$C$5,Datos_items!$D:$D,$C$6)</f>
        <v>0</v>
      </c>
      <c r="G48" s="19" t="n">
        <f aca="false">COUNTIFS(Datos_items!$L:$L,$A48,Datos_items!$AA:$AA,G$33,Datos_items!$E:$E,$C$4,Datos_items!$C:$C,$C$5,Datos_items!$D:$D,$C$6)</f>
        <v>0</v>
      </c>
      <c r="H48" s="19" t="n">
        <f aca="false">COUNTIFS(Datos_items!$L:$L,$A48,Datos_items!$AA:$AA,H$33,Datos_items!$E:$E,$C$4,Datos_items!$C:$C,$C$5,Datos_items!$D:$D,$C$6)</f>
        <v>0</v>
      </c>
      <c r="I48" s="19" t="n">
        <f aca="false">COUNTIFS(Datos_items!$L:$L,$A48,Datos_items!$AA:$AA,I$33,Datos_items!$E:$E,$C$4,Datos_items!$C:$C,$C$5,Datos_items!$D:$D,$C$6)</f>
        <v>0</v>
      </c>
      <c r="J48" s="19" t="n">
        <f aca="false">COUNTIFS(Datos_items!$L:$L,$A48,Datos_items!$AA:$AA,J$33,Datos_items!$E:$E,$C$4,Datos_items!$C:$C,$C$5,Datos_items!$D:$D,$C$6)</f>
        <v>0</v>
      </c>
      <c r="K48" s="19" t="n">
        <f aca="false">COUNTIFS(Datos_items!$L:$L,$A48,Datos_items!$AA:$AA,K$33,Datos_items!$E:$E,$C$4,Datos_items!$C:$C,$C$5,Datos_items!$D:$D,$C$6)</f>
        <v>0</v>
      </c>
      <c r="L48" s="19" t="n">
        <f aca="false">COUNTIFS(Datos_items!$L:$L,$A48,Datos_items!$AA:$AA,L$33,Datos_items!$E:$E,$C$4,Datos_items!$C:$C,$C$5,Datos_items!$D:$D,$C$6)</f>
        <v>0</v>
      </c>
      <c r="M48" s="19" t="n">
        <f aca="false">COUNTIFS(Datos_items!$L:$L,$A48,Datos_items!$AA:$AA,M$33,Datos_items!$E:$E,$C$4,Datos_items!$C:$C,$C$5,Datos_items!$D:$D,$C$6)</f>
        <v>0</v>
      </c>
      <c r="N48" s="19" t="n">
        <f aca="false">COUNTIFS(Datos_items!$L:$L,$A48,Datos_items!$AA:$AA,N$33,Datos_items!$E:$E,$C$4,Datos_items!$C:$C,$C$5,Datos_items!$D:$D,$C$6)</f>
        <v>0</v>
      </c>
      <c r="O48" s="19" t="n">
        <f aca="false">COUNTIFS(Datos_items!$L:$L,$A48,Datos_items!$AA:$AA,O$33,Datos_items!$E:$E,$C$4,Datos_items!$C:$C,$C$5,Datos_items!$D:$D,$C$6)</f>
        <v>0</v>
      </c>
      <c r="P48" s="19" t="n">
        <f aca="false">COUNTIFS(Datos_items!$L:$L,$A48,Datos_items!$AA:$AA,P$33,Datos_items!$E:$E,$C$4,Datos_items!$C:$C,$C$5,Datos_items!$D:$D,$C$6)</f>
        <v>0</v>
      </c>
      <c r="Q48" s="19" t="n">
        <f aca="false">COUNTIFS(Datos_items!$L:$L,$A48,Datos_items!$AA:$AA,Q$33,Datos_items!$E:$E,$C$4,Datos_items!$C:$C,$C$5,Datos_items!$D:$D,$C$6)</f>
        <v>0</v>
      </c>
      <c r="R48" s="19" t="n">
        <f aca="false">COUNTIFS(Datos_items!$L:$L,$A48,Datos_items!$AA:$AA,R$33,Datos_items!$E:$E,$C$4,Datos_items!$C:$C,$C$5,Datos_items!$D:$D,$C$6)</f>
        <v>0</v>
      </c>
      <c r="S48" s="19" t="n">
        <f aca="false">COUNTIFS(Datos_items!$L:$L,$A48,Datos_items!$AA:$AA,S$33,Datos_items!$E:$E,$C$4,Datos_items!$C:$C,$C$5,Datos_items!$D:$D,$C$6)</f>
        <v>0</v>
      </c>
      <c r="T48" s="19" t="n">
        <f aca="false">COUNTIFS(Datos_items!$L:$L,$A48,Datos_items!$AA:$AA,T$33,Datos_items!$E:$E,$C$4,Datos_items!$C:$C,$C$5,Datos_items!$D:$D,$C$6)</f>
        <v>0</v>
      </c>
      <c r="U48" s="19" t="n">
        <f aca="false">COUNTIFS(Datos_items!$L:$L,$A48,Datos_items!$AA:$AA,U$33,Datos_items!$E:$E,$C$4,Datos_items!$C:$C,$C$5,Datos_items!$D:$D,$C$6)</f>
        <v>0</v>
      </c>
      <c r="V48" s="19" t="n">
        <f aca="false">COUNTIFS(Datos_items!$L:$L,$A48,Datos_items!$AA:$AA,V$33,Datos_items!$E:$E,$C$4,Datos_items!$C:$C,$C$5,Datos_items!$D:$D,$C$6)</f>
        <v>0</v>
      </c>
      <c r="W48" s="19" t="n">
        <f aca="false">COUNTIFS(Datos_items!$L:$L,$A48,Datos_items!$AA:$AA,W$33,Datos_items!$E:$E,$C$4,Datos_items!$C:$C,$C$5,Datos_items!$D:$D,$C$6)</f>
        <v>0</v>
      </c>
      <c r="X48" s="19" t="n">
        <f aca="false">COUNTIFS(Datos_items!$L:$L,$A48,Datos_items!$AA:$AA,X$33,Datos_items!$E:$E,$C$4,Datos_items!$C:$C,$C$5,Datos_items!$D:$D,$C$6)</f>
        <v>0</v>
      </c>
    </row>
    <row r="49" customFormat="false" ht="15" hidden="false" customHeight="false" outlineLevel="0" collapsed="false">
      <c r="A49" s="3" t="s">
        <v>349</v>
      </c>
      <c r="B49" s="13" t="s">
        <v>322</v>
      </c>
      <c r="C49" s="2" t="n">
        <f aca="false">COUNTIFS(Datos_items!$L:$L,$A49,Datos_items!$E:$E,$C$4,Datos_items!$C:$C,$C$5,Datos_items!$D:$D,$C$6)</f>
        <v>0</v>
      </c>
      <c r="D49" s="18" t="str">
        <f aca="false">IFERROR(SUMIFS(Datos_items!$Z:$Z,Datos_items!$L:$L,$A49,Datos_items!$E:$E,$C$4,Datos_items!$C:$C,$C$5,Datos_items!$D:$D,$C$6)/C49,"")</f>
        <v/>
      </c>
      <c r="E49" s="2" t="str">
        <f aca="false">IF(MAX(F49:X49)=0,"",INDEX($F$33:$X$33,MATCH(MAX(F49:X49),F49:X49,0)))</f>
        <v/>
      </c>
      <c r="F49" s="19" t="n">
        <f aca="false">COUNTIFS(Datos_items!$L:$L,$A49,Datos_items!$AA:$AA,F$33,Datos_items!$E:$E,$C$4,Datos_items!$C:$C,$C$5,Datos_items!$D:$D,$C$6)</f>
        <v>0</v>
      </c>
      <c r="G49" s="19" t="n">
        <f aca="false">COUNTIFS(Datos_items!$L:$L,$A49,Datos_items!$AA:$AA,G$33,Datos_items!$E:$E,$C$4,Datos_items!$C:$C,$C$5,Datos_items!$D:$D,$C$6)</f>
        <v>0</v>
      </c>
      <c r="H49" s="19" t="n">
        <f aca="false">COUNTIFS(Datos_items!$L:$L,$A49,Datos_items!$AA:$AA,H$33,Datos_items!$E:$E,$C$4,Datos_items!$C:$C,$C$5,Datos_items!$D:$D,$C$6)</f>
        <v>0</v>
      </c>
      <c r="I49" s="19" t="n">
        <f aca="false">COUNTIFS(Datos_items!$L:$L,$A49,Datos_items!$AA:$AA,I$33,Datos_items!$E:$E,$C$4,Datos_items!$C:$C,$C$5,Datos_items!$D:$D,$C$6)</f>
        <v>0</v>
      </c>
      <c r="J49" s="19" t="n">
        <f aca="false">COUNTIFS(Datos_items!$L:$L,$A49,Datos_items!$AA:$AA,J$33,Datos_items!$E:$E,$C$4,Datos_items!$C:$C,$C$5,Datos_items!$D:$D,$C$6)</f>
        <v>0</v>
      </c>
      <c r="K49" s="19" t="n">
        <f aca="false">COUNTIFS(Datos_items!$L:$L,$A49,Datos_items!$AA:$AA,K$33,Datos_items!$E:$E,$C$4,Datos_items!$C:$C,$C$5,Datos_items!$D:$D,$C$6)</f>
        <v>0</v>
      </c>
      <c r="L49" s="19" t="n">
        <f aca="false">COUNTIFS(Datos_items!$L:$L,$A49,Datos_items!$AA:$AA,L$33,Datos_items!$E:$E,$C$4,Datos_items!$C:$C,$C$5,Datos_items!$D:$D,$C$6)</f>
        <v>0</v>
      </c>
      <c r="M49" s="19" t="n">
        <f aca="false">COUNTIFS(Datos_items!$L:$L,$A49,Datos_items!$AA:$AA,M$33,Datos_items!$E:$E,$C$4,Datos_items!$C:$C,$C$5,Datos_items!$D:$D,$C$6)</f>
        <v>0</v>
      </c>
      <c r="N49" s="19" t="n">
        <f aca="false">COUNTIFS(Datos_items!$L:$L,$A49,Datos_items!$AA:$AA,N$33,Datos_items!$E:$E,$C$4,Datos_items!$C:$C,$C$5,Datos_items!$D:$D,$C$6)</f>
        <v>0</v>
      </c>
      <c r="O49" s="19" t="n">
        <f aca="false">COUNTIFS(Datos_items!$L:$L,$A49,Datos_items!$AA:$AA,O$33,Datos_items!$E:$E,$C$4,Datos_items!$C:$C,$C$5,Datos_items!$D:$D,$C$6)</f>
        <v>0</v>
      </c>
      <c r="P49" s="19" t="n">
        <f aca="false">COUNTIFS(Datos_items!$L:$L,$A49,Datos_items!$AA:$AA,P$33,Datos_items!$E:$E,$C$4,Datos_items!$C:$C,$C$5,Datos_items!$D:$D,$C$6)</f>
        <v>0</v>
      </c>
      <c r="Q49" s="19" t="n">
        <f aca="false">COUNTIFS(Datos_items!$L:$L,$A49,Datos_items!$AA:$AA,Q$33,Datos_items!$E:$E,$C$4,Datos_items!$C:$C,$C$5,Datos_items!$D:$D,$C$6)</f>
        <v>0</v>
      </c>
      <c r="R49" s="19" t="n">
        <f aca="false">COUNTIFS(Datos_items!$L:$L,$A49,Datos_items!$AA:$AA,R$33,Datos_items!$E:$E,$C$4,Datos_items!$C:$C,$C$5,Datos_items!$D:$D,$C$6)</f>
        <v>0</v>
      </c>
      <c r="S49" s="19" t="n">
        <f aca="false">COUNTIFS(Datos_items!$L:$L,$A49,Datos_items!$AA:$AA,S$33,Datos_items!$E:$E,$C$4,Datos_items!$C:$C,$C$5,Datos_items!$D:$D,$C$6)</f>
        <v>0</v>
      </c>
      <c r="T49" s="19" t="n">
        <f aca="false">COUNTIFS(Datos_items!$L:$L,$A49,Datos_items!$AA:$AA,T$33,Datos_items!$E:$E,$C$4,Datos_items!$C:$C,$C$5,Datos_items!$D:$D,$C$6)</f>
        <v>0</v>
      </c>
      <c r="U49" s="19" t="n">
        <f aca="false">COUNTIFS(Datos_items!$L:$L,$A49,Datos_items!$AA:$AA,U$33,Datos_items!$E:$E,$C$4,Datos_items!$C:$C,$C$5,Datos_items!$D:$D,$C$6)</f>
        <v>0</v>
      </c>
      <c r="V49" s="19" t="n">
        <f aca="false">COUNTIFS(Datos_items!$L:$L,$A49,Datos_items!$AA:$AA,V$33,Datos_items!$E:$E,$C$4,Datos_items!$C:$C,$C$5,Datos_items!$D:$D,$C$6)</f>
        <v>0</v>
      </c>
      <c r="W49" s="19" t="n">
        <f aca="false">COUNTIFS(Datos_items!$L:$L,$A49,Datos_items!$AA:$AA,W$33,Datos_items!$E:$E,$C$4,Datos_items!$C:$C,$C$5,Datos_items!$D:$D,$C$6)</f>
        <v>0</v>
      </c>
      <c r="X49" s="19" t="n">
        <f aca="false">COUNTIFS(Datos_items!$L:$L,$A49,Datos_items!$AA:$AA,X$33,Datos_items!$E:$E,$C$4,Datos_items!$C:$C,$C$5,Datos_items!$D:$D,$C$6)</f>
        <v>0</v>
      </c>
    </row>
    <row r="50" customFormat="false" ht="15" hidden="false" customHeight="false" outlineLevel="0" collapsed="false">
      <c r="A50" s="3" t="s">
        <v>350</v>
      </c>
      <c r="B50" s="13" t="s">
        <v>322</v>
      </c>
      <c r="C50" s="2" t="n">
        <f aca="false">COUNTIFS(Datos_items!$L:$L,$A50,Datos_items!$E:$E,$C$4,Datos_items!$C:$C,$C$5,Datos_items!$D:$D,$C$6)</f>
        <v>0</v>
      </c>
      <c r="D50" s="18" t="str">
        <f aca="false">IFERROR(SUMIFS(Datos_items!$Z:$Z,Datos_items!$L:$L,$A50,Datos_items!$E:$E,$C$4,Datos_items!$C:$C,$C$5,Datos_items!$D:$D,$C$6)/C50,"")</f>
        <v/>
      </c>
      <c r="E50" s="2" t="str">
        <f aca="false">IF(MAX(F50:X50)=0,"",INDEX($F$33:$X$33,MATCH(MAX(F50:X50),F50:X50,0)))</f>
        <v/>
      </c>
      <c r="F50" s="19" t="n">
        <f aca="false">COUNTIFS(Datos_items!$L:$L,$A50,Datos_items!$AA:$AA,F$33,Datos_items!$E:$E,$C$4,Datos_items!$C:$C,$C$5,Datos_items!$D:$D,$C$6)</f>
        <v>0</v>
      </c>
      <c r="G50" s="19" t="n">
        <f aca="false">COUNTIFS(Datos_items!$L:$L,$A50,Datos_items!$AA:$AA,G$33,Datos_items!$E:$E,$C$4,Datos_items!$C:$C,$C$5,Datos_items!$D:$D,$C$6)</f>
        <v>0</v>
      </c>
      <c r="H50" s="19" t="n">
        <f aca="false">COUNTIFS(Datos_items!$L:$L,$A50,Datos_items!$AA:$AA,H$33,Datos_items!$E:$E,$C$4,Datos_items!$C:$C,$C$5,Datos_items!$D:$D,$C$6)</f>
        <v>0</v>
      </c>
      <c r="I50" s="19" t="n">
        <f aca="false">COUNTIFS(Datos_items!$L:$L,$A50,Datos_items!$AA:$AA,I$33,Datos_items!$E:$E,$C$4,Datos_items!$C:$C,$C$5,Datos_items!$D:$D,$C$6)</f>
        <v>0</v>
      </c>
      <c r="J50" s="19" t="n">
        <f aca="false">COUNTIFS(Datos_items!$L:$L,$A50,Datos_items!$AA:$AA,J$33,Datos_items!$E:$E,$C$4,Datos_items!$C:$C,$C$5,Datos_items!$D:$D,$C$6)</f>
        <v>0</v>
      </c>
      <c r="K50" s="19" t="n">
        <f aca="false">COUNTIFS(Datos_items!$L:$L,$A50,Datos_items!$AA:$AA,K$33,Datos_items!$E:$E,$C$4,Datos_items!$C:$C,$C$5,Datos_items!$D:$D,$C$6)</f>
        <v>0</v>
      </c>
      <c r="L50" s="19" t="n">
        <f aca="false">COUNTIFS(Datos_items!$L:$L,$A50,Datos_items!$AA:$AA,L$33,Datos_items!$E:$E,$C$4,Datos_items!$C:$C,$C$5,Datos_items!$D:$D,$C$6)</f>
        <v>0</v>
      </c>
      <c r="M50" s="19" t="n">
        <f aca="false">COUNTIFS(Datos_items!$L:$L,$A50,Datos_items!$AA:$AA,M$33,Datos_items!$E:$E,$C$4,Datos_items!$C:$C,$C$5,Datos_items!$D:$D,$C$6)</f>
        <v>0</v>
      </c>
      <c r="N50" s="19" t="n">
        <f aca="false">COUNTIFS(Datos_items!$L:$L,$A50,Datos_items!$AA:$AA,N$33,Datos_items!$E:$E,$C$4,Datos_items!$C:$C,$C$5,Datos_items!$D:$D,$C$6)</f>
        <v>0</v>
      </c>
      <c r="O50" s="19" t="n">
        <f aca="false">COUNTIFS(Datos_items!$L:$L,$A50,Datos_items!$AA:$AA,O$33,Datos_items!$E:$E,$C$4,Datos_items!$C:$C,$C$5,Datos_items!$D:$D,$C$6)</f>
        <v>0</v>
      </c>
      <c r="P50" s="19" t="n">
        <f aca="false">COUNTIFS(Datos_items!$L:$L,$A50,Datos_items!$AA:$AA,P$33,Datos_items!$E:$E,$C$4,Datos_items!$C:$C,$C$5,Datos_items!$D:$D,$C$6)</f>
        <v>0</v>
      </c>
      <c r="Q50" s="19" t="n">
        <f aca="false">COUNTIFS(Datos_items!$L:$L,$A50,Datos_items!$AA:$AA,Q$33,Datos_items!$E:$E,$C$4,Datos_items!$C:$C,$C$5,Datos_items!$D:$D,$C$6)</f>
        <v>0</v>
      </c>
      <c r="R50" s="19" t="n">
        <f aca="false">COUNTIFS(Datos_items!$L:$L,$A50,Datos_items!$AA:$AA,R$33,Datos_items!$E:$E,$C$4,Datos_items!$C:$C,$C$5,Datos_items!$D:$D,$C$6)</f>
        <v>0</v>
      </c>
      <c r="S50" s="19" t="n">
        <f aca="false">COUNTIFS(Datos_items!$L:$L,$A50,Datos_items!$AA:$AA,S$33,Datos_items!$E:$E,$C$4,Datos_items!$C:$C,$C$5,Datos_items!$D:$D,$C$6)</f>
        <v>0</v>
      </c>
      <c r="T50" s="19" t="n">
        <f aca="false">COUNTIFS(Datos_items!$L:$L,$A50,Datos_items!$AA:$AA,T$33,Datos_items!$E:$E,$C$4,Datos_items!$C:$C,$C$5,Datos_items!$D:$D,$C$6)</f>
        <v>0</v>
      </c>
      <c r="U50" s="19" t="n">
        <f aca="false">COUNTIFS(Datos_items!$L:$L,$A50,Datos_items!$AA:$AA,U$33,Datos_items!$E:$E,$C$4,Datos_items!$C:$C,$C$5,Datos_items!$D:$D,$C$6)</f>
        <v>0</v>
      </c>
      <c r="V50" s="19" t="n">
        <f aca="false">COUNTIFS(Datos_items!$L:$L,$A50,Datos_items!$AA:$AA,V$33,Datos_items!$E:$E,$C$4,Datos_items!$C:$C,$C$5,Datos_items!$D:$D,$C$6)</f>
        <v>0</v>
      </c>
      <c r="W50" s="19" t="n">
        <f aca="false">COUNTIFS(Datos_items!$L:$L,$A50,Datos_items!$AA:$AA,W$33,Datos_items!$E:$E,$C$4,Datos_items!$C:$C,$C$5,Datos_items!$D:$D,$C$6)</f>
        <v>0</v>
      </c>
      <c r="X50" s="19" t="n">
        <f aca="false">COUNTIFS(Datos_items!$L:$L,$A50,Datos_items!$AA:$AA,X$33,Datos_items!$E:$E,$C$4,Datos_items!$C:$C,$C$5,Datos_items!$D:$D,$C$6)</f>
        <v>0</v>
      </c>
    </row>
    <row r="51" customFormat="false" ht="15" hidden="false" customHeight="false" outlineLevel="0" collapsed="false">
      <c r="A51" s="3" t="s">
        <v>351</v>
      </c>
      <c r="B51" s="13" t="s">
        <v>325</v>
      </c>
      <c r="C51" s="2" t="n">
        <f aca="false">COUNTIFS(Datos_items!$L:$L,$A51,Datos_items!$E:$E,$C$4,Datos_items!$C:$C,$C$5,Datos_items!$D:$D,$C$6)</f>
        <v>0</v>
      </c>
      <c r="D51" s="18" t="str">
        <f aca="false">IFERROR(SUMIFS(Datos_items!$Z:$Z,Datos_items!$L:$L,$A51,Datos_items!$E:$E,$C$4,Datos_items!$C:$C,$C$5,Datos_items!$D:$D,$C$6)/C51,"")</f>
        <v/>
      </c>
      <c r="E51" s="2" t="str">
        <f aca="false">IF(MAX(F51:X51)=0,"",INDEX($F$33:$X$33,MATCH(MAX(F51:X51),F51:X51,0)))</f>
        <v/>
      </c>
      <c r="F51" s="19" t="n">
        <f aca="false">COUNTIFS(Datos_items!$L:$L,$A51,Datos_items!$AA:$AA,F$33,Datos_items!$E:$E,$C$4,Datos_items!$C:$C,$C$5,Datos_items!$D:$D,$C$6)</f>
        <v>0</v>
      </c>
      <c r="G51" s="19" t="n">
        <f aca="false">COUNTIFS(Datos_items!$L:$L,$A51,Datos_items!$AA:$AA,G$33,Datos_items!$E:$E,$C$4,Datos_items!$C:$C,$C$5,Datos_items!$D:$D,$C$6)</f>
        <v>0</v>
      </c>
      <c r="H51" s="19" t="n">
        <f aca="false">COUNTIFS(Datos_items!$L:$L,$A51,Datos_items!$AA:$AA,H$33,Datos_items!$E:$E,$C$4,Datos_items!$C:$C,$C$5,Datos_items!$D:$D,$C$6)</f>
        <v>0</v>
      </c>
      <c r="I51" s="19" t="n">
        <f aca="false">COUNTIFS(Datos_items!$L:$L,$A51,Datos_items!$AA:$AA,I$33,Datos_items!$E:$E,$C$4,Datos_items!$C:$C,$C$5,Datos_items!$D:$D,$C$6)</f>
        <v>0</v>
      </c>
      <c r="J51" s="19" t="n">
        <f aca="false">COUNTIFS(Datos_items!$L:$L,$A51,Datos_items!$AA:$AA,J$33,Datos_items!$E:$E,$C$4,Datos_items!$C:$C,$C$5,Datos_items!$D:$D,$C$6)</f>
        <v>0</v>
      </c>
      <c r="K51" s="19" t="n">
        <f aca="false">COUNTIFS(Datos_items!$L:$L,$A51,Datos_items!$AA:$AA,K$33,Datos_items!$E:$E,$C$4,Datos_items!$C:$C,$C$5,Datos_items!$D:$D,$C$6)</f>
        <v>0</v>
      </c>
      <c r="L51" s="19" t="n">
        <f aca="false">COUNTIFS(Datos_items!$L:$L,$A51,Datos_items!$AA:$AA,L$33,Datos_items!$E:$E,$C$4,Datos_items!$C:$C,$C$5,Datos_items!$D:$D,$C$6)</f>
        <v>0</v>
      </c>
      <c r="M51" s="19" t="n">
        <f aca="false">COUNTIFS(Datos_items!$L:$L,$A51,Datos_items!$AA:$AA,M$33,Datos_items!$E:$E,$C$4,Datos_items!$C:$C,$C$5,Datos_items!$D:$D,$C$6)</f>
        <v>0</v>
      </c>
      <c r="N51" s="19" t="n">
        <f aca="false">COUNTIFS(Datos_items!$L:$L,$A51,Datos_items!$AA:$AA,N$33,Datos_items!$E:$E,$C$4,Datos_items!$C:$C,$C$5,Datos_items!$D:$D,$C$6)</f>
        <v>0</v>
      </c>
      <c r="O51" s="19" t="n">
        <f aca="false">COUNTIFS(Datos_items!$L:$L,$A51,Datos_items!$AA:$AA,O$33,Datos_items!$E:$E,$C$4,Datos_items!$C:$C,$C$5,Datos_items!$D:$D,$C$6)</f>
        <v>0</v>
      </c>
      <c r="P51" s="19" t="n">
        <f aca="false">COUNTIFS(Datos_items!$L:$L,$A51,Datos_items!$AA:$AA,P$33,Datos_items!$E:$E,$C$4,Datos_items!$C:$C,$C$5,Datos_items!$D:$D,$C$6)</f>
        <v>0</v>
      </c>
      <c r="Q51" s="19" t="n">
        <f aca="false">COUNTIFS(Datos_items!$L:$L,$A51,Datos_items!$AA:$AA,Q$33,Datos_items!$E:$E,$C$4,Datos_items!$C:$C,$C$5,Datos_items!$D:$D,$C$6)</f>
        <v>0</v>
      </c>
      <c r="R51" s="19" t="n">
        <f aca="false">COUNTIFS(Datos_items!$L:$L,$A51,Datos_items!$AA:$AA,R$33,Datos_items!$E:$E,$C$4,Datos_items!$C:$C,$C$5,Datos_items!$D:$D,$C$6)</f>
        <v>0</v>
      </c>
      <c r="S51" s="19" t="n">
        <f aca="false">COUNTIFS(Datos_items!$L:$L,$A51,Datos_items!$AA:$AA,S$33,Datos_items!$E:$E,$C$4,Datos_items!$C:$C,$C$5,Datos_items!$D:$D,$C$6)</f>
        <v>0</v>
      </c>
      <c r="T51" s="19" t="n">
        <f aca="false">COUNTIFS(Datos_items!$L:$L,$A51,Datos_items!$AA:$AA,T$33,Datos_items!$E:$E,$C$4,Datos_items!$C:$C,$C$5,Datos_items!$D:$D,$C$6)</f>
        <v>0</v>
      </c>
      <c r="U51" s="19" t="n">
        <f aca="false">COUNTIFS(Datos_items!$L:$L,$A51,Datos_items!$AA:$AA,U$33,Datos_items!$E:$E,$C$4,Datos_items!$C:$C,$C$5,Datos_items!$D:$D,$C$6)</f>
        <v>0</v>
      </c>
      <c r="V51" s="19" t="n">
        <f aca="false">COUNTIFS(Datos_items!$L:$L,$A51,Datos_items!$AA:$AA,V$33,Datos_items!$E:$E,$C$4,Datos_items!$C:$C,$C$5,Datos_items!$D:$D,$C$6)</f>
        <v>0</v>
      </c>
      <c r="W51" s="19" t="n">
        <f aca="false">COUNTIFS(Datos_items!$L:$L,$A51,Datos_items!$AA:$AA,W$33,Datos_items!$E:$E,$C$4,Datos_items!$C:$C,$C$5,Datos_items!$D:$D,$C$6)</f>
        <v>0</v>
      </c>
      <c r="X51" s="19" t="n">
        <f aca="false">COUNTIFS(Datos_items!$L:$L,$A51,Datos_items!$AA:$AA,X$33,Datos_items!$E:$E,$C$4,Datos_items!$C:$C,$C$5,Datos_items!$D:$D,$C$6)</f>
        <v>0</v>
      </c>
    </row>
    <row r="52" customFormat="false" ht="15" hidden="false" customHeight="false" outlineLevel="0" collapsed="false">
      <c r="A52" s="3" t="s">
        <v>352</v>
      </c>
      <c r="B52" s="13" t="s">
        <v>325</v>
      </c>
      <c r="C52" s="2" t="n">
        <f aca="false">COUNTIFS(Datos_items!$L:$L,$A52,Datos_items!$E:$E,$C$4,Datos_items!$C:$C,$C$5,Datos_items!$D:$D,$C$6)</f>
        <v>0</v>
      </c>
      <c r="D52" s="18" t="str">
        <f aca="false">IFERROR(SUMIFS(Datos_items!$Z:$Z,Datos_items!$L:$L,$A52,Datos_items!$E:$E,$C$4,Datos_items!$C:$C,$C$5,Datos_items!$D:$D,$C$6)/C52,"")</f>
        <v/>
      </c>
      <c r="E52" s="2" t="str">
        <f aca="false">IF(MAX(F52:X52)=0,"",INDEX($F$33:$X$33,MATCH(MAX(F52:X52),F52:X52,0)))</f>
        <v/>
      </c>
      <c r="F52" s="19" t="n">
        <f aca="false">COUNTIFS(Datos_items!$L:$L,$A52,Datos_items!$AA:$AA,F$33,Datos_items!$E:$E,$C$4,Datos_items!$C:$C,$C$5,Datos_items!$D:$D,$C$6)</f>
        <v>0</v>
      </c>
      <c r="G52" s="19" t="n">
        <f aca="false">COUNTIFS(Datos_items!$L:$L,$A52,Datos_items!$AA:$AA,G$33,Datos_items!$E:$E,$C$4,Datos_items!$C:$C,$C$5,Datos_items!$D:$D,$C$6)</f>
        <v>0</v>
      </c>
      <c r="H52" s="19" t="n">
        <f aca="false">COUNTIFS(Datos_items!$L:$L,$A52,Datos_items!$AA:$AA,H$33,Datos_items!$E:$E,$C$4,Datos_items!$C:$C,$C$5,Datos_items!$D:$D,$C$6)</f>
        <v>0</v>
      </c>
      <c r="I52" s="19" t="n">
        <f aca="false">COUNTIFS(Datos_items!$L:$L,$A52,Datos_items!$AA:$AA,I$33,Datos_items!$E:$E,$C$4,Datos_items!$C:$C,$C$5,Datos_items!$D:$D,$C$6)</f>
        <v>0</v>
      </c>
      <c r="J52" s="19" t="n">
        <f aca="false">COUNTIFS(Datos_items!$L:$L,$A52,Datos_items!$AA:$AA,J$33,Datos_items!$E:$E,$C$4,Datos_items!$C:$C,$C$5,Datos_items!$D:$D,$C$6)</f>
        <v>0</v>
      </c>
      <c r="K52" s="19" t="n">
        <f aca="false">COUNTIFS(Datos_items!$L:$L,$A52,Datos_items!$AA:$AA,K$33,Datos_items!$E:$E,$C$4,Datos_items!$C:$C,$C$5,Datos_items!$D:$D,$C$6)</f>
        <v>0</v>
      </c>
      <c r="L52" s="19" t="n">
        <f aca="false">COUNTIFS(Datos_items!$L:$L,$A52,Datos_items!$AA:$AA,L$33,Datos_items!$E:$E,$C$4,Datos_items!$C:$C,$C$5,Datos_items!$D:$D,$C$6)</f>
        <v>0</v>
      </c>
      <c r="M52" s="19" t="n">
        <f aca="false">COUNTIFS(Datos_items!$L:$L,$A52,Datos_items!$AA:$AA,M$33,Datos_items!$E:$E,$C$4,Datos_items!$C:$C,$C$5,Datos_items!$D:$D,$C$6)</f>
        <v>0</v>
      </c>
      <c r="N52" s="19" t="n">
        <f aca="false">COUNTIFS(Datos_items!$L:$L,$A52,Datos_items!$AA:$AA,N$33,Datos_items!$E:$E,$C$4,Datos_items!$C:$C,$C$5,Datos_items!$D:$D,$C$6)</f>
        <v>0</v>
      </c>
      <c r="O52" s="19" t="n">
        <f aca="false">COUNTIFS(Datos_items!$L:$L,$A52,Datos_items!$AA:$AA,O$33,Datos_items!$E:$E,$C$4,Datos_items!$C:$C,$C$5,Datos_items!$D:$D,$C$6)</f>
        <v>0</v>
      </c>
      <c r="P52" s="19" t="n">
        <f aca="false">COUNTIFS(Datos_items!$L:$L,$A52,Datos_items!$AA:$AA,P$33,Datos_items!$E:$E,$C$4,Datos_items!$C:$C,$C$5,Datos_items!$D:$D,$C$6)</f>
        <v>0</v>
      </c>
      <c r="Q52" s="19" t="n">
        <f aca="false">COUNTIFS(Datos_items!$L:$L,$A52,Datos_items!$AA:$AA,Q$33,Datos_items!$E:$E,$C$4,Datos_items!$C:$C,$C$5,Datos_items!$D:$D,$C$6)</f>
        <v>0</v>
      </c>
      <c r="R52" s="19" t="n">
        <f aca="false">COUNTIFS(Datos_items!$L:$L,$A52,Datos_items!$AA:$AA,R$33,Datos_items!$E:$E,$C$4,Datos_items!$C:$C,$C$5,Datos_items!$D:$D,$C$6)</f>
        <v>0</v>
      </c>
      <c r="S52" s="19" t="n">
        <f aca="false">COUNTIFS(Datos_items!$L:$L,$A52,Datos_items!$AA:$AA,S$33,Datos_items!$E:$E,$C$4,Datos_items!$C:$C,$C$5,Datos_items!$D:$D,$C$6)</f>
        <v>0</v>
      </c>
      <c r="T52" s="19" t="n">
        <f aca="false">COUNTIFS(Datos_items!$L:$L,$A52,Datos_items!$AA:$AA,T$33,Datos_items!$E:$E,$C$4,Datos_items!$C:$C,$C$5,Datos_items!$D:$D,$C$6)</f>
        <v>0</v>
      </c>
      <c r="U52" s="19" t="n">
        <f aca="false">COUNTIFS(Datos_items!$L:$L,$A52,Datos_items!$AA:$AA,U$33,Datos_items!$E:$E,$C$4,Datos_items!$C:$C,$C$5,Datos_items!$D:$D,$C$6)</f>
        <v>0</v>
      </c>
      <c r="V52" s="19" t="n">
        <f aca="false">COUNTIFS(Datos_items!$L:$L,$A52,Datos_items!$AA:$AA,V$33,Datos_items!$E:$E,$C$4,Datos_items!$C:$C,$C$5,Datos_items!$D:$D,$C$6)</f>
        <v>0</v>
      </c>
      <c r="W52" s="19" t="n">
        <f aca="false">COUNTIFS(Datos_items!$L:$L,$A52,Datos_items!$AA:$AA,W$33,Datos_items!$E:$E,$C$4,Datos_items!$C:$C,$C$5,Datos_items!$D:$D,$C$6)</f>
        <v>0</v>
      </c>
      <c r="X52" s="19" t="n">
        <f aca="false">COUNTIFS(Datos_items!$L:$L,$A52,Datos_items!$AA:$AA,X$33,Datos_items!$E:$E,$C$4,Datos_items!$C:$C,$C$5,Datos_items!$D:$D,$C$6)</f>
        <v>0</v>
      </c>
    </row>
    <row r="53" customFormat="false" ht="15" hidden="false" customHeight="false" outlineLevel="0" collapsed="false">
      <c r="A53" s="3" t="s">
        <v>353</v>
      </c>
      <c r="B53" s="13" t="s">
        <v>325</v>
      </c>
      <c r="C53" s="2" t="n">
        <f aca="false">COUNTIFS(Datos_items!$L:$L,$A53,Datos_items!$E:$E,$C$4,Datos_items!$C:$C,$C$5,Datos_items!$D:$D,$C$6)</f>
        <v>0</v>
      </c>
      <c r="D53" s="18" t="str">
        <f aca="false">IFERROR(SUMIFS(Datos_items!$Z:$Z,Datos_items!$L:$L,$A53,Datos_items!$E:$E,$C$4,Datos_items!$C:$C,$C$5,Datos_items!$D:$D,$C$6)/C53,"")</f>
        <v/>
      </c>
      <c r="E53" s="2" t="str">
        <f aca="false">IF(MAX(F53:X53)=0,"",INDEX($F$33:$X$33,MATCH(MAX(F53:X53),F53:X53,0)))</f>
        <v/>
      </c>
      <c r="F53" s="19" t="n">
        <f aca="false">COUNTIFS(Datos_items!$L:$L,$A53,Datos_items!$AA:$AA,F$33,Datos_items!$E:$E,$C$4,Datos_items!$C:$C,$C$5,Datos_items!$D:$D,$C$6)</f>
        <v>0</v>
      </c>
      <c r="G53" s="19" t="n">
        <f aca="false">COUNTIFS(Datos_items!$L:$L,$A53,Datos_items!$AA:$AA,G$33,Datos_items!$E:$E,$C$4,Datos_items!$C:$C,$C$5,Datos_items!$D:$D,$C$6)</f>
        <v>0</v>
      </c>
      <c r="H53" s="19" t="n">
        <f aca="false">COUNTIFS(Datos_items!$L:$L,$A53,Datos_items!$AA:$AA,H$33,Datos_items!$E:$E,$C$4,Datos_items!$C:$C,$C$5,Datos_items!$D:$D,$C$6)</f>
        <v>0</v>
      </c>
      <c r="I53" s="19" t="n">
        <f aca="false">COUNTIFS(Datos_items!$L:$L,$A53,Datos_items!$AA:$AA,I$33,Datos_items!$E:$E,$C$4,Datos_items!$C:$C,$C$5,Datos_items!$D:$D,$C$6)</f>
        <v>0</v>
      </c>
      <c r="J53" s="19" t="n">
        <f aca="false">COUNTIFS(Datos_items!$L:$L,$A53,Datos_items!$AA:$AA,J$33,Datos_items!$E:$E,$C$4,Datos_items!$C:$C,$C$5,Datos_items!$D:$D,$C$6)</f>
        <v>0</v>
      </c>
      <c r="K53" s="19" t="n">
        <f aca="false">COUNTIFS(Datos_items!$L:$L,$A53,Datos_items!$AA:$AA,K$33,Datos_items!$E:$E,$C$4,Datos_items!$C:$C,$C$5,Datos_items!$D:$D,$C$6)</f>
        <v>0</v>
      </c>
      <c r="L53" s="19" t="n">
        <f aca="false">COUNTIFS(Datos_items!$L:$L,$A53,Datos_items!$AA:$AA,L$33,Datos_items!$E:$E,$C$4,Datos_items!$C:$C,$C$5,Datos_items!$D:$D,$C$6)</f>
        <v>0</v>
      </c>
      <c r="M53" s="19" t="n">
        <f aca="false">COUNTIFS(Datos_items!$L:$L,$A53,Datos_items!$AA:$AA,M$33,Datos_items!$E:$E,$C$4,Datos_items!$C:$C,$C$5,Datos_items!$D:$D,$C$6)</f>
        <v>0</v>
      </c>
      <c r="N53" s="19" t="n">
        <f aca="false">COUNTIFS(Datos_items!$L:$L,$A53,Datos_items!$AA:$AA,N$33,Datos_items!$E:$E,$C$4,Datos_items!$C:$C,$C$5,Datos_items!$D:$D,$C$6)</f>
        <v>0</v>
      </c>
      <c r="O53" s="19" t="n">
        <f aca="false">COUNTIFS(Datos_items!$L:$L,$A53,Datos_items!$AA:$AA,O$33,Datos_items!$E:$E,$C$4,Datos_items!$C:$C,$C$5,Datos_items!$D:$D,$C$6)</f>
        <v>0</v>
      </c>
      <c r="P53" s="19" t="n">
        <f aca="false">COUNTIFS(Datos_items!$L:$L,$A53,Datos_items!$AA:$AA,P$33,Datos_items!$E:$E,$C$4,Datos_items!$C:$C,$C$5,Datos_items!$D:$D,$C$6)</f>
        <v>0</v>
      </c>
      <c r="Q53" s="19" t="n">
        <f aca="false">COUNTIFS(Datos_items!$L:$L,$A53,Datos_items!$AA:$AA,Q$33,Datos_items!$E:$E,$C$4,Datos_items!$C:$C,$C$5,Datos_items!$D:$D,$C$6)</f>
        <v>0</v>
      </c>
      <c r="R53" s="19" t="n">
        <f aca="false">COUNTIFS(Datos_items!$L:$L,$A53,Datos_items!$AA:$AA,R$33,Datos_items!$E:$E,$C$4,Datos_items!$C:$C,$C$5,Datos_items!$D:$D,$C$6)</f>
        <v>0</v>
      </c>
      <c r="S53" s="19" t="n">
        <f aca="false">COUNTIFS(Datos_items!$L:$L,$A53,Datos_items!$AA:$AA,S$33,Datos_items!$E:$E,$C$4,Datos_items!$C:$C,$C$5,Datos_items!$D:$D,$C$6)</f>
        <v>0</v>
      </c>
      <c r="T53" s="19" t="n">
        <f aca="false">COUNTIFS(Datos_items!$L:$L,$A53,Datos_items!$AA:$AA,T$33,Datos_items!$E:$E,$C$4,Datos_items!$C:$C,$C$5,Datos_items!$D:$D,$C$6)</f>
        <v>0</v>
      </c>
      <c r="U53" s="19" t="n">
        <f aca="false">COUNTIFS(Datos_items!$L:$L,$A53,Datos_items!$AA:$AA,U$33,Datos_items!$E:$E,$C$4,Datos_items!$C:$C,$C$5,Datos_items!$D:$D,$C$6)</f>
        <v>0</v>
      </c>
      <c r="V53" s="19" t="n">
        <f aca="false">COUNTIFS(Datos_items!$L:$L,$A53,Datos_items!$AA:$AA,V$33,Datos_items!$E:$E,$C$4,Datos_items!$C:$C,$C$5,Datos_items!$D:$D,$C$6)</f>
        <v>0</v>
      </c>
      <c r="W53" s="19" t="n">
        <f aca="false">COUNTIFS(Datos_items!$L:$L,$A53,Datos_items!$AA:$AA,W$33,Datos_items!$E:$E,$C$4,Datos_items!$C:$C,$C$5,Datos_items!$D:$D,$C$6)</f>
        <v>0</v>
      </c>
      <c r="X53" s="19" t="n">
        <f aca="false">COUNTIFS(Datos_items!$L:$L,$A53,Datos_items!$AA:$AA,X$33,Datos_items!$E:$E,$C$4,Datos_items!$C:$C,$C$5,Datos_items!$D:$D,$C$6)</f>
        <v>0</v>
      </c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customFormat="false" ht="15" hidden="false" customHeight="false" outlineLevel="0" collapsed="false">
      <c r="A55" s="12" t="s">
        <v>460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customFormat="false" ht="23.85" hidden="false" customHeight="false" outlineLevel="0" collapsed="false">
      <c r="A56" s="5" t="s">
        <v>303</v>
      </c>
      <c r="B56" s="5" t="s">
        <v>95</v>
      </c>
      <c r="C56" s="5" t="s">
        <v>356</v>
      </c>
      <c r="D56" s="5" t="s">
        <v>461</v>
      </c>
      <c r="E56" s="5" t="s">
        <v>462</v>
      </c>
      <c r="F56" s="5" t="s">
        <v>463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customFormat="false" ht="15" hidden="false" customHeight="false" outlineLevel="0" collapsed="false">
      <c r="A57" s="3" t="s">
        <v>359</v>
      </c>
      <c r="B57" s="13" t="s">
        <v>360</v>
      </c>
      <c r="C57" s="13" t="s">
        <v>361</v>
      </c>
      <c r="D57" s="2" t="n">
        <f aca="false">COUNTIFS(Datos_items!$AA:$AA,$A57,Datos_items!$E:$E,$C$4,Datos_items!$C:$C,$C$5,Datos_items!$D:$D,$C$6)</f>
        <v>0</v>
      </c>
      <c r="E57" s="18" t="str">
        <f aca="false">IFERROR(D57/SUM($D$57:$D$75),"")</f>
        <v/>
      </c>
      <c r="F57" s="2" t="n">
        <f aca="false">COUNTIFS(Datos_problemas!$AM:$AM,"*"&amp;$A57&amp;"*",Datos_problemas!$F:$F,$C$4,Datos_problemas!$D:$D,$C$5,Datos_problemas!$E:$E,$C$6)</f>
        <v>0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customFormat="false" ht="15" hidden="false" customHeight="false" outlineLevel="0" collapsed="false">
      <c r="A58" s="3" t="s">
        <v>364</v>
      </c>
      <c r="B58" s="13" t="s">
        <v>365</v>
      </c>
      <c r="C58" s="13" t="s">
        <v>366</v>
      </c>
      <c r="D58" s="2" t="n">
        <f aca="false">COUNTIFS(Datos_items!$AA:$AA,$A58,Datos_items!$E:$E,$C$4,Datos_items!$C:$C,$C$5,Datos_items!$D:$D,$C$6)</f>
        <v>0</v>
      </c>
      <c r="E58" s="18" t="str">
        <f aca="false">IFERROR(D58/SUM($D$57:$D$75),"")</f>
        <v/>
      </c>
      <c r="F58" s="2" t="n">
        <f aca="false">COUNTIFS(Datos_problemas!$AM:$AM,"*"&amp;$A58&amp;"*",Datos_problemas!$F:$F,$C$4,Datos_problemas!$D:$D,$C$5,Datos_problemas!$E:$E,$C$6)</f>
        <v>0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customFormat="false" ht="15" hidden="false" customHeight="false" outlineLevel="0" collapsed="false">
      <c r="A59" s="3" t="s">
        <v>369</v>
      </c>
      <c r="B59" s="13" t="s">
        <v>370</v>
      </c>
      <c r="C59" s="13" t="s">
        <v>371</v>
      </c>
      <c r="D59" s="2" t="n">
        <f aca="false">COUNTIFS(Datos_items!$AA:$AA,$A59,Datos_items!$E:$E,$C$4,Datos_items!$C:$C,$C$5,Datos_items!$D:$D,$C$6)</f>
        <v>0</v>
      </c>
      <c r="E59" s="18" t="str">
        <f aca="false">IFERROR(D59/SUM($D$57:$D$75),"")</f>
        <v/>
      </c>
      <c r="F59" s="2" t="n">
        <f aca="false">COUNTIFS(Datos_problemas!$AM:$AM,"*"&amp;$A59&amp;"*",Datos_problemas!$F:$F,$C$4,Datos_problemas!$D:$D,$C$5,Datos_problemas!$E:$E,$C$6)</f>
        <v>0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customFormat="false" ht="15" hidden="false" customHeight="false" outlineLevel="0" collapsed="false">
      <c r="A60" s="3" t="s">
        <v>374</v>
      </c>
      <c r="B60" s="13" t="s">
        <v>375</v>
      </c>
      <c r="C60" s="13" t="s">
        <v>376</v>
      </c>
      <c r="D60" s="2" t="n">
        <f aca="false">COUNTIFS(Datos_items!$AA:$AA,$A60,Datos_items!$E:$E,$C$4,Datos_items!$C:$C,$C$5,Datos_items!$D:$D,$C$6)</f>
        <v>0</v>
      </c>
      <c r="E60" s="18" t="str">
        <f aca="false">IFERROR(D60/SUM($D$57:$D$75),"")</f>
        <v/>
      </c>
      <c r="F60" s="2" t="n">
        <f aca="false">COUNTIFS(Datos_problemas!$AM:$AM,"*"&amp;$A60&amp;"*",Datos_problemas!$F:$F,$C$4,Datos_problemas!$D:$D,$C$5,Datos_problemas!$E:$E,$C$6)</f>
        <v>0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customFormat="false" ht="15" hidden="false" customHeight="false" outlineLevel="0" collapsed="false">
      <c r="A61" s="3" t="s">
        <v>379</v>
      </c>
      <c r="B61" s="13" t="s">
        <v>380</v>
      </c>
      <c r="C61" s="13" t="s">
        <v>381</v>
      </c>
      <c r="D61" s="2" t="n">
        <f aca="false">COUNTIFS(Datos_items!$AA:$AA,$A61,Datos_items!$E:$E,$C$4,Datos_items!$C:$C,$C$5,Datos_items!$D:$D,$C$6)</f>
        <v>0</v>
      </c>
      <c r="E61" s="18" t="str">
        <f aca="false">IFERROR(D61/SUM($D$57:$D$75),"")</f>
        <v/>
      </c>
      <c r="F61" s="2" t="n">
        <f aca="false">COUNTIFS(Datos_problemas!$AM:$AM,"*"&amp;$A61&amp;"*",Datos_problemas!$F:$F,$C$4,Datos_problemas!$D:$D,$C$5,Datos_problemas!$E:$E,$C$6)</f>
        <v>0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customFormat="false" ht="15" hidden="false" customHeight="false" outlineLevel="0" collapsed="false">
      <c r="A62" s="3" t="s">
        <v>383</v>
      </c>
      <c r="B62" s="13" t="s">
        <v>384</v>
      </c>
      <c r="C62" s="13" t="s">
        <v>385</v>
      </c>
      <c r="D62" s="2" t="n">
        <f aca="false">COUNTIFS(Datos_items!$AA:$AA,$A62,Datos_items!$E:$E,$C$4,Datos_items!$C:$C,$C$5,Datos_items!$D:$D,$C$6)</f>
        <v>0</v>
      </c>
      <c r="E62" s="18" t="str">
        <f aca="false">IFERROR(D62/SUM($D$57:$D$75),"")</f>
        <v/>
      </c>
      <c r="F62" s="2" t="n">
        <f aca="false">COUNTIFS(Datos_problemas!$AM:$AM,"*"&amp;$A62&amp;"*",Datos_problemas!$F:$F,$C$4,Datos_problemas!$D:$D,$C$5,Datos_problemas!$E:$E,$C$6)</f>
        <v>0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customFormat="false" ht="15" hidden="false" customHeight="false" outlineLevel="0" collapsed="false">
      <c r="A63" s="3" t="s">
        <v>388</v>
      </c>
      <c r="B63" s="13" t="s">
        <v>389</v>
      </c>
      <c r="C63" s="13" t="s">
        <v>385</v>
      </c>
      <c r="D63" s="2" t="n">
        <f aca="false">COUNTIFS(Datos_items!$AA:$AA,$A63,Datos_items!$E:$E,$C$4,Datos_items!$C:$C,$C$5,Datos_items!$D:$D,$C$6)</f>
        <v>0</v>
      </c>
      <c r="E63" s="18" t="str">
        <f aca="false">IFERROR(D63/SUM($D$57:$D$75),"")</f>
        <v/>
      </c>
      <c r="F63" s="2" t="n">
        <f aca="false">COUNTIFS(Datos_problemas!$AM:$AM,"*"&amp;$A63&amp;"*",Datos_problemas!$F:$F,$C$4,Datos_problemas!$D:$D,$C$5,Datos_problemas!$E:$E,$C$6)</f>
        <v>0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customFormat="false" ht="15" hidden="false" customHeight="false" outlineLevel="0" collapsed="false">
      <c r="A64" s="3" t="s">
        <v>392</v>
      </c>
      <c r="B64" s="13" t="s">
        <v>393</v>
      </c>
      <c r="C64" s="13" t="s">
        <v>385</v>
      </c>
      <c r="D64" s="2" t="n">
        <f aca="false">COUNTIFS(Datos_items!$AA:$AA,$A64,Datos_items!$E:$E,$C$4,Datos_items!$C:$C,$C$5,Datos_items!$D:$D,$C$6)</f>
        <v>0</v>
      </c>
      <c r="E64" s="18" t="str">
        <f aca="false">IFERROR(D64/SUM($D$57:$D$75),"")</f>
        <v/>
      </c>
      <c r="F64" s="2" t="n">
        <f aca="false">COUNTIFS(Datos_problemas!$AM:$AM,"*"&amp;$A64&amp;"*",Datos_problemas!$F:$F,$C$4,Datos_problemas!$D:$D,$C$5,Datos_problemas!$E:$E,$C$6)</f>
        <v>0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customFormat="false" ht="15" hidden="false" customHeight="false" outlineLevel="0" collapsed="false">
      <c r="A65" s="3" t="s">
        <v>396</v>
      </c>
      <c r="B65" s="13" t="s">
        <v>397</v>
      </c>
      <c r="C65" s="13" t="s">
        <v>385</v>
      </c>
      <c r="D65" s="2" t="n">
        <f aca="false">COUNTIFS(Datos_items!$AA:$AA,$A65,Datos_items!$E:$E,$C$4,Datos_items!$C:$C,$C$5,Datos_items!$D:$D,$C$6)</f>
        <v>0</v>
      </c>
      <c r="E65" s="18" t="str">
        <f aca="false">IFERROR(D65/SUM($D$57:$D$75),"")</f>
        <v/>
      </c>
      <c r="F65" s="2" t="n">
        <f aca="false">COUNTIFS(Datos_problemas!$AM:$AM,"*"&amp;$A65&amp;"*",Datos_problemas!$F:$F,$C$4,Datos_problemas!$D:$D,$C$5,Datos_problemas!$E:$E,$C$6)</f>
        <v>0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customFormat="false" ht="15" hidden="false" customHeight="false" outlineLevel="0" collapsed="false">
      <c r="A66" s="3" t="s">
        <v>400</v>
      </c>
      <c r="B66" s="13" t="s">
        <v>401</v>
      </c>
      <c r="C66" s="13" t="s">
        <v>385</v>
      </c>
      <c r="D66" s="2" t="n">
        <f aca="false">COUNTIFS(Datos_items!$AA:$AA,$A66,Datos_items!$E:$E,$C$4,Datos_items!$C:$C,$C$5,Datos_items!$D:$D,$C$6)</f>
        <v>0</v>
      </c>
      <c r="E66" s="18" t="str">
        <f aca="false">IFERROR(D66/SUM($D$57:$D$75),"")</f>
        <v/>
      </c>
      <c r="F66" s="2" t="n">
        <f aca="false">COUNTIFS(Datos_problemas!$AM:$AM,"*"&amp;$A66&amp;"*",Datos_problemas!$F:$F,$C$4,Datos_problemas!$D:$D,$C$5,Datos_problemas!$E:$E,$C$6)</f>
        <v>0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customFormat="false" ht="15" hidden="false" customHeight="false" outlineLevel="0" collapsed="false">
      <c r="A67" s="3" t="s">
        <v>296</v>
      </c>
      <c r="B67" s="13" t="s">
        <v>299</v>
      </c>
      <c r="C67" s="13" t="s">
        <v>385</v>
      </c>
      <c r="D67" s="2" t="n">
        <f aca="false">COUNTIFS(Datos_items!$AA:$AA,$A67,Datos_items!$E:$E,$C$4,Datos_items!$C:$C,$C$5,Datos_items!$D:$D,$C$6)</f>
        <v>0</v>
      </c>
      <c r="E67" s="18" t="str">
        <f aca="false">IFERROR(D67/SUM($D$57:$D$75),"")</f>
        <v/>
      </c>
      <c r="F67" s="2" t="n">
        <f aca="false">COUNTIFS(Datos_problemas!$AM:$AM,"*"&amp;$A67&amp;"*",Datos_problemas!$F:$F,$C$4,Datos_problemas!$D:$D,$C$5,Datos_problemas!$E:$E,$C$6)</f>
        <v>0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customFormat="false" ht="15" hidden="false" customHeight="false" outlineLevel="0" collapsed="false">
      <c r="A68" s="3" t="s">
        <v>406</v>
      </c>
      <c r="B68" s="13" t="s">
        <v>407</v>
      </c>
      <c r="C68" s="13" t="s">
        <v>385</v>
      </c>
      <c r="D68" s="2" t="n">
        <f aca="false">COUNTIFS(Datos_items!$AA:$AA,$A68,Datos_items!$E:$E,$C$4,Datos_items!$C:$C,$C$5,Datos_items!$D:$D,$C$6)</f>
        <v>0</v>
      </c>
      <c r="E68" s="18" t="str">
        <f aca="false">IFERROR(D68/SUM($D$57:$D$75),"")</f>
        <v/>
      </c>
      <c r="F68" s="2" t="n">
        <f aca="false">COUNTIFS(Datos_problemas!$AM:$AM,"*"&amp;$A68&amp;"*",Datos_problemas!$F:$F,$C$4,Datos_problemas!$D:$D,$C$5,Datos_problemas!$E:$E,$C$6)</f>
        <v>0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customFormat="false" ht="15" hidden="false" customHeight="false" outlineLevel="0" collapsed="false">
      <c r="A69" s="3" t="s">
        <v>409</v>
      </c>
      <c r="B69" s="13" t="s">
        <v>410</v>
      </c>
      <c r="C69" s="13" t="s">
        <v>385</v>
      </c>
      <c r="D69" s="2" t="n">
        <f aca="false">COUNTIFS(Datos_items!$AA:$AA,$A69,Datos_items!$E:$E,$C$4,Datos_items!$C:$C,$C$5,Datos_items!$D:$D,$C$6)</f>
        <v>0</v>
      </c>
      <c r="E69" s="18" t="str">
        <f aca="false">IFERROR(D69/SUM($D$57:$D$75),"")</f>
        <v/>
      </c>
      <c r="F69" s="2" t="n">
        <f aca="false">COUNTIFS(Datos_problemas!$AM:$AM,"*"&amp;$A69&amp;"*",Datos_problemas!$F:$F,$C$4,Datos_problemas!$D:$D,$C$5,Datos_problemas!$E:$E,$C$6)</f>
        <v>0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customFormat="false" ht="15" hidden="false" customHeight="false" outlineLevel="0" collapsed="false">
      <c r="A70" s="3" t="s">
        <v>413</v>
      </c>
      <c r="B70" s="13" t="s">
        <v>414</v>
      </c>
      <c r="C70" s="13" t="s">
        <v>385</v>
      </c>
      <c r="D70" s="2" t="n">
        <f aca="false">COUNTIFS(Datos_items!$AA:$AA,$A70,Datos_items!$E:$E,$C$4,Datos_items!$C:$C,$C$5,Datos_items!$D:$D,$C$6)</f>
        <v>0</v>
      </c>
      <c r="E70" s="18" t="str">
        <f aca="false">IFERROR(D70/SUM($D$57:$D$75),"")</f>
        <v/>
      </c>
      <c r="F70" s="2" t="n">
        <f aca="false">COUNTIFS(Datos_problemas!$AM:$AM,"*"&amp;$A70&amp;"*",Datos_problemas!$F:$F,$C$4,Datos_problemas!$D:$D,$C$5,Datos_problemas!$E:$E,$C$6)</f>
        <v>0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customFormat="false" ht="15" hidden="false" customHeight="false" outlineLevel="0" collapsed="false">
      <c r="A71" s="3" t="s">
        <v>416</v>
      </c>
      <c r="B71" s="13" t="s">
        <v>417</v>
      </c>
      <c r="C71" s="13" t="s">
        <v>385</v>
      </c>
      <c r="D71" s="2" t="n">
        <f aca="false">COUNTIFS(Datos_items!$AA:$AA,$A71,Datos_items!$E:$E,$C$4,Datos_items!$C:$C,$C$5,Datos_items!$D:$D,$C$6)</f>
        <v>0</v>
      </c>
      <c r="E71" s="18" t="str">
        <f aca="false">IFERROR(D71/SUM($D$57:$D$75),"")</f>
        <v/>
      </c>
      <c r="F71" s="2" t="n">
        <f aca="false">COUNTIFS(Datos_problemas!$AM:$AM,"*"&amp;$A71&amp;"*",Datos_problemas!$F:$F,$C$4,Datos_problemas!$D:$D,$C$5,Datos_problemas!$E:$E,$C$6)</f>
        <v>0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customFormat="false" ht="15" hidden="false" customHeight="false" outlineLevel="0" collapsed="false">
      <c r="A72" s="3" t="s">
        <v>419</v>
      </c>
      <c r="B72" s="13" t="s">
        <v>420</v>
      </c>
      <c r="C72" s="13" t="s">
        <v>385</v>
      </c>
      <c r="D72" s="2" t="n">
        <f aca="false">COUNTIFS(Datos_items!$AA:$AA,$A72,Datos_items!$E:$E,$C$4,Datos_items!$C:$C,$C$5,Datos_items!$D:$D,$C$6)</f>
        <v>0</v>
      </c>
      <c r="E72" s="18" t="str">
        <f aca="false">IFERROR(D72/SUM($D$57:$D$75),"")</f>
        <v/>
      </c>
      <c r="F72" s="2" t="n">
        <f aca="false">COUNTIFS(Datos_problemas!$AM:$AM,"*"&amp;$A72&amp;"*",Datos_problemas!$F:$F,$C$4,Datos_problemas!$D:$D,$C$5,Datos_problemas!$E:$E,$C$6)</f>
        <v>0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customFormat="false" ht="15" hidden="false" customHeight="false" outlineLevel="0" collapsed="false">
      <c r="A73" s="3" t="s">
        <v>423</v>
      </c>
      <c r="B73" s="13" t="s">
        <v>424</v>
      </c>
      <c r="C73" s="13" t="s">
        <v>385</v>
      </c>
      <c r="D73" s="2" t="n">
        <f aca="false">COUNTIFS(Datos_items!$AA:$AA,$A73,Datos_items!$E:$E,$C$4,Datos_items!$C:$C,$C$5,Datos_items!$D:$D,$C$6)</f>
        <v>0</v>
      </c>
      <c r="E73" s="18" t="str">
        <f aca="false">IFERROR(D73/SUM($D$57:$D$75),"")</f>
        <v/>
      </c>
      <c r="F73" s="2" t="n">
        <f aca="false">COUNTIFS(Datos_problemas!$AM:$AM,"*"&amp;$A73&amp;"*",Datos_problemas!$F:$F,$C$4,Datos_problemas!$D:$D,$C$5,Datos_problemas!$E:$E,$C$6)</f>
        <v>0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customFormat="false" ht="15" hidden="false" customHeight="false" outlineLevel="0" collapsed="false">
      <c r="A74" s="3" t="s">
        <v>426</v>
      </c>
      <c r="B74" s="13" t="s">
        <v>427</v>
      </c>
      <c r="C74" s="13" t="s">
        <v>385</v>
      </c>
      <c r="D74" s="2" t="n">
        <f aca="false">COUNTIFS(Datos_items!$AA:$AA,$A74,Datos_items!$E:$E,$C$4,Datos_items!$C:$C,$C$5,Datos_items!$D:$D,$C$6)</f>
        <v>0</v>
      </c>
      <c r="E74" s="18" t="str">
        <f aca="false">IFERROR(D74/SUM($D$57:$D$75),"")</f>
        <v/>
      </c>
      <c r="F74" s="2" t="n">
        <f aca="false">COUNTIFS(Datos_problemas!$AM:$AM,"*"&amp;$A74&amp;"*",Datos_problemas!$F:$F,$C$4,Datos_problemas!$D:$D,$C$5,Datos_problemas!$E:$E,$C$6)</f>
        <v>0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customFormat="false" ht="15" hidden="false" customHeight="false" outlineLevel="0" collapsed="false">
      <c r="A75" s="3" t="s">
        <v>430</v>
      </c>
      <c r="B75" s="13" t="s">
        <v>431</v>
      </c>
      <c r="C75" s="13" t="s">
        <v>385</v>
      </c>
      <c r="D75" s="2" t="n">
        <f aca="false">COUNTIFS(Datos_items!$AA:$AA,$A75,Datos_items!$E:$E,$C$4,Datos_items!$C:$C,$C$5,Datos_items!$D:$D,$C$6)</f>
        <v>0</v>
      </c>
      <c r="E75" s="18" t="str">
        <f aca="false">IFERROR(D75/SUM($D$57:$D$75),"")</f>
        <v/>
      </c>
      <c r="F75" s="2" t="n">
        <f aca="false">COUNTIFS(Datos_problemas!$AM:$AM,"*"&amp;$A75&amp;"*",Datos_problemas!$F:$F,$C$4,Datos_problemas!$D:$D,$C$5,Datos_problemas!$E:$E,$C$6)</f>
        <v>0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customFormat="false" ht="15" hidden="false" customHeight="false" outlineLevel="0" collapsed="false">
      <c r="A77" s="12" t="s">
        <v>464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customFormat="false" ht="35.05" hidden="false" customHeight="false" outlineLevel="0" collapsed="false">
      <c r="A78" s="5" t="s">
        <v>465</v>
      </c>
      <c r="B78" s="5" t="s">
        <v>466</v>
      </c>
      <c r="C78" s="5" t="s">
        <v>444</v>
      </c>
      <c r="D78" s="5" t="s">
        <v>467</v>
      </c>
      <c r="E78" s="5" t="s">
        <v>468</v>
      </c>
      <c r="F78" s="5" t="s">
        <v>469</v>
      </c>
      <c r="G78" s="5" t="s">
        <v>449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customFormat="false" ht="15" hidden="false" customHeight="false" outlineLevel="0" collapsed="false">
      <c r="A79" s="3" t="s">
        <v>470</v>
      </c>
      <c r="B79" s="2" t="n">
        <f aca="false">COUNTIFS(Datos_problemas!$P:$P,$A79,Datos_problemas!$F:$F,$C$4,Datos_problemas!$D:$D,$C$5,Datos_problemas!$E:$E,$C$6)</f>
        <v>0</v>
      </c>
      <c r="C79" s="20" t="str">
        <f aca="false">IFERROR(AVERAGEIFS(Datos_problemas!$AE:$AE,Datos_problemas!$P:$P,$A79,Datos_problemas!$F:$F,$C$4,Datos_problemas!$D:$D,$C$5,Datos_problemas!$E:$E,$C$6),"")</f>
        <v/>
      </c>
      <c r="D79" s="18" t="str">
        <f aca="false">IFERROR(SUMIFS(Datos_items!$Z:$Z,Datos_items!$I:$I,$A79,Datos_items!$N:$N,"Colocación en diagrama",Datos_items!$E:$E,$C$4,Datos_items!$C:$C,$C$5,Datos_items!$D:$D,$C$6)/COUNTIFS(Datos_items!$I:$I,$A79,Datos_items!$N:$N,"Colocación en diagrama",Datos_items!$E:$E,$C$4,Datos_items!$C:$C,$C$5,Datos_items!$D:$D,$C$6),"")</f>
        <v/>
      </c>
      <c r="E79" s="18" t="str">
        <f aca="false">IFERROR(SUMIFS(Datos_items!$Z:$Z,Datos_items!$I:$I,$A79,Datos_items!$N:$N,"Lectura del diagrama",Datos_items!$E:$E,$C$4,Datos_items!$C:$C,$C$5,Datos_items!$D:$D,$C$6)/COUNTIFS(Datos_items!$I:$I,$A79,Datos_items!$N:$N,"Lectura del diagrama",Datos_items!$E:$E,$C$4,Datos_items!$C:$C,$C$5,Datos_items!$D:$D,$C$6),"")</f>
        <v/>
      </c>
      <c r="F79" s="18" t="str">
        <f aca="false">IFERROR(SUMIFS(Datos_items!$Z:$Z,Datos_items!$I:$I,$A79,Datos_items!$N:$N,"Cálculo",Datos_items!$E:$E,$C$4,Datos_items!$C:$C,$C$5,Datos_items!$D:$D,$C$6)/COUNTIFS(Datos_items!$I:$I,$A79,Datos_items!$N:$N,"Cálculo",Datos_items!$E:$E,$C$4,Datos_items!$C:$C,$C$5,Datos_items!$D:$D,$C$6),"")</f>
        <v/>
      </c>
      <c r="G79" s="21" t="str">
        <f aca="false">IFERROR(AVERAGEIFS(Datos_problemas!$AJ:$AJ,Datos_problemas!$P:$P,$A79,Datos_problemas!$F:$F,$C$4,Datos_problemas!$D:$D,$C$5,Datos_problemas!$E:$E,$C$6),"")</f>
        <v/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customFormat="false" ht="15" hidden="false" customHeight="false" outlineLevel="0" collapsed="false">
      <c r="A80" s="3" t="s">
        <v>471</v>
      </c>
      <c r="B80" s="2" t="n">
        <f aca="false">COUNTIFS(Datos_problemas!$P:$P,$A80,Datos_problemas!$F:$F,$C$4,Datos_problemas!$D:$D,$C$5,Datos_problemas!$E:$E,$C$6)</f>
        <v>0</v>
      </c>
      <c r="C80" s="20" t="str">
        <f aca="false">IFERROR(AVERAGEIFS(Datos_problemas!$AE:$AE,Datos_problemas!$P:$P,$A80,Datos_problemas!$F:$F,$C$4,Datos_problemas!$D:$D,$C$5,Datos_problemas!$E:$E,$C$6),"")</f>
        <v/>
      </c>
      <c r="D80" s="18" t="str">
        <f aca="false">IFERROR(SUMIFS(Datos_items!$Z:$Z,Datos_items!$I:$I,$A80,Datos_items!$N:$N,"Colocación en diagrama",Datos_items!$E:$E,$C$4,Datos_items!$C:$C,$C$5,Datos_items!$D:$D,$C$6)/COUNTIFS(Datos_items!$I:$I,$A80,Datos_items!$N:$N,"Colocación en diagrama",Datos_items!$E:$E,$C$4,Datos_items!$C:$C,$C$5,Datos_items!$D:$D,$C$6),"")</f>
        <v/>
      </c>
      <c r="E80" s="18" t="str">
        <f aca="false">IFERROR(SUMIFS(Datos_items!$Z:$Z,Datos_items!$I:$I,$A80,Datos_items!$N:$N,"Lectura del diagrama",Datos_items!$E:$E,$C$4,Datos_items!$C:$C,$C$5,Datos_items!$D:$D,$C$6)/COUNTIFS(Datos_items!$I:$I,$A80,Datos_items!$N:$N,"Lectura del diagrama",Datos_items!$E:$E,$C$4,Datos_items!$C:$C,$C$5,Datos_items!$D:$D,$C$6),"")</f>
        <v/>
      </c>
      <c r="F80" s="18" t="str">
        <f aca="false">IFERROR(SUMIFS(Datos_items!$Z:$Z,Datos_items!$I:$I,$A80,Datos_items!$N:$N,"Cálculo",Datos_items!$E:$E,$C$4,Datos_items!$C:$C,$C$5,Datos_items!$D:$D,$C$6)/COUNTIFS(Datos_items!$I:$I,$A80,Datos_items!$N:$N,"Cálculo",Datos_items!$E:$E,$C$4,Datos_items!$C:$C,$C$5,Datos_items!$D:$D,$C$6),"")</f>
        <v/>
      </c>
      <c r="G80" s="21" t="str">
        <f aca="false">IFERROR(AVERAGEIFS(Datos_problemas!$AJ:$AJ,Datos_problemas!$P:$P,$A80,Datos_problemas!$F:$F,$C$4,Datos_problemas!$D:$D,$C$5,Datos_problemas!$E:$E,$C$6),"")</f>
        <v/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customFormat="false" ht="15" hidden="false" customHeight="false" outlineLevel="0" collapsed="false">
      <c r="A81" s="3" t="s">
        <v>472</v>
      </c>
      <c r="B81" s="2" t="n">
        <f aca="false">COUNTIFS(Datos_problemas!$P:$P,$A81,Datos_problemas!$F:$F,$C$4,Datos_problemas!$D:$D,$C$5,Datos_problemas!$E:$E,$C$6)</f>
        <v>0</v>
      </c>
      <c r="C81" s="20" t="str">
        <f aca="false">IFERROR(AVERAGEIFS(Datos_problemas!$AE:$AE,Datos_problemas!$P:$P,$A81,Datos_problemas!$F:$F,$C$4,Datos_problemas!$D:$D,$C$5,Datos_problemas!$E:$E,$C$6),"")</f>
        <v/>
      </c>
      <c r="D81" s="18" t="str">
        <f aca="false">IFERROR(SUMIFS(Datos_items!$Z:$Z,Datos_items!$I:$I,$A81,Datos_items!$N:$N,"Colocación en diagrama",Datos_items!$E:$E,$C$4,Datos_items!$C:$C,$C$5,Datos_items!$D:$D,$C$6)/COUNTIFS(Datos_items!$I:$I,$A81,Datos_items!$N:$N,"Colocación en diagrama",Datos_items!$E:$E,$C$4,Datos_items!$C:$C,$C$5,Datos_items!$D:$D,$C$6),"")</f>
        <v/>
      </c>
      <c r="E81" s="18" t="str">
        <f aca="false">IFERROR(SUMIFS(Datos_items!$Z:$Z,Datos_items!$I:$I,$A81,Datos_items!$N:$N,"Lectura del diagrama",Datos_items!$E:$E,$C$4,Datos_items!$C:$C,$C$5,Datos_items!$D:$D,$C$6)/COUNTIFS(Datos_items!$I:$I,$A81,Datos_items!$N:$N,"Lectura del diagrama",Datos_items!$E:$E,$C$4,Datos_items!$C:$C,$C$5,Datos_items!$D:$D,$C$6),"")</f>
        <v/>
      </c>
      <c r="F81" s="18" t="str">
        <f aca="false">IFERROR(SUMIFS(Datos_items!$Z:$Z,Datos_items!$I:$I,$A81,Datos_items!$N:$N,"Cálculo",Datos_items!$E:$E,$C$4,Datos_items!$C:$C,$C$5,Datos_items!$D:$D,$C$6)/COUNTIFS(Datos_items!$I:$I,$A81,Datos_items!$N:$N,"Cálculo",Datos_items!$E:$E,$C$4,Datos_items!$C:$C,$C$5,Datos_items!$D:$D,$C$6),"")</f>
        <v/>
      </c>
      <c r="G81" s="21" t="str">
        <f aca="false">IFERROR(AVERAGEIFS(Datos_problemas!$AJ:$AJ,Datos_problemas!$P:$P,$A81,Datos_problemas!$F:$F,$C$4,Datos_problemas!$D:$D,$C$5,Datos_problemas!$E:$E,$C$6),"")</f>
        <v/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customFormat="false" ht="15" hidden="false" customHeight="false" outlineLevel="0" collapsed="false">
      <c r="A82" s="3" t="s">
        <v>151</v>
      </c>
      <c r="B82" s="2" t="n">
        <f aca="false">COUNTIFS(Datos_problemas!$P:$P,$A82,Datos_problemas!$F:$F,$C$4,Datos_problemas!$D:$D,$C$5,Datos_problemas!$E:$E,$C$6)</f>
        <v>0</v>
      </c>
      <c r="C82" s="20" t="str">
        <f aca="false">IFERROR(AVERAGEIFS(Datos_problemas!$AE:$AE,Datos_problemas!$P:$P,$A82,Datos_problemas!$F:$F,$C$4,Datos_problemas!$D:$D,$C$5,Datos_problemas!$E:$E,$C$6),"")</f>
        <v/>
      </c>
      <c r="D82" s="18" t="str">
        <f aca="false">IFERROR(SUMIFS(Datos_items!$Z:$Z,Datos_items!$I:$I,$A82,Datos_items!$N:$N,"Colocación en diagrama",Datos_items!$E:$E,$C$4,Datos_items!$C:$C,$C$5,Datos_items!$D:$D,$C$6)/COUNTIFS(Datos_items!$I:$I,$A82,Datos_items!$N:$N,"Colocación en diagrama",Datos_items!$E:$E,$C$4,Datos_items!$C:$C,$C$5,Datos_items!$D:$D,$C$6),"")</f>
        <v/>
      </c>
      <c r="E82" s="18" t="str">
        <f aca="false">IFERROR(SUMIFS(Datos_items!$Z:$Z,Datos_items!$I:$I,$A82,Datos_items!$N:$N,"Lectura del diagrama",Datos_items!$E:$E,$C$4,Datos_items!$C:$C,$C$5,Datos_items!$D:$D,$C$6)/COUNTIFS(Datos_items!$I:$I,$A82,Datos_items!$N:$N,"Lectura del diagrama",Datos_items!$E:$E,$C$4,Datos_items!$C:$C,$C$5,Datos_items!$D:$D,$C$6),"")</f>
        <v/>
      </c>
      <c r="F82" s="18" t="str">
        <f aca="false">IFERROR(SUMIFS(Datos_items!$Z:$Z,Datos_items!$I:$I,$A82,Datos_items!$N:$N,"Cálculo",Datos_items!$E:$E,$C$4,Datos_items!$C:$C,$C$5,Datos_items!$D:$D,$C$6)/COUNTIFS(Datos_items!$I:$I,$A82,Datos_items!$N:$N,"Cálculo",Datos_items!$E:$E,$C$4,Datos_items!$C:$C,$C$5,Datos_items!$D:$D,$C$6),"")</f>
        <v/>
      </c>
      <c r="G82" s="21" t="str">
        <f aca="false">IFERROR(AVERAGEIFS(Datos_problemas!$AJ:$AJ,Datos_problemas!$P:$P,$A82,Datos_problemas!$F:$F,$C$4,Datos_problemas!$D:$D,$C$5,Datos_problemas!$E:$E,$C$6),"")</f>
        <v/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customFormat="false" ht="15" hidden="false" customHeight="false" outlineLevel="0" collapsed="false">
      <c r="A83" s="3" t="s">
        <v>473</v>
      </c>
      <c r="B83" s="2" t="n">
        <f aca="false">COUNTIFS(Datos_problemas!$P:$P,$A83,Datos_problemas!$F:$F,$C$4,Datos_problemas!$D:$D,$C$5,Datos_problemas!$E:$E,$C$6)</f>
        <v>0</v>
      </c>
      <c r="C83" s="20" t="str">
        <f aca="false">IFERROR(AVERAGEIFS(Datos_problemas!$AE:$AE,Datos_problemas!$P:$P,$A83,Datos_problemas!$F:$F,$C$4,Datos_problemas!$D:$D,$C$5,Datos_problemas!$E:$E,$C$6),"")</f>
        <v/>
      </c>
      <c r="D83" s="18" t="str">
        <f aca="false">IFERROR(SUMIFS(Datos_items!$Z:$Z,Datos_items!$I:$I,$A83,Datos_items!$N:$N,"Colocación en diagrama",Datos_items!$E:$E,$C$4,Datos_items!$C:$C,$C$5,Datos_items!$D:$D,$C$6)/COUNTIFS(Datos_items!$I:$I,$A83,Datos_items!$N:$N,"Colocación en diagrama",Datos_items!$E:$E,$C$4,Datos_items!$C:$C,$C$5,Datos_items!$D:$D,$C$6),"")</f>
        <v/>
      </c>
      <c r="E83" s="18" t="str">
        <f aca="false">IFERROR(SUMIFS(Datos_items!$Z:$Z,Datos_items!$I:$I,$A83,Datos_items!$N:$N,"Lectura del diagrama",Datos_items!$E:$E,$C$4,Datos_items!$C:$C,$C$5,Datos_items!$D:$D,$C$6)/COUNTIFS(Datos_items!$I:$I,$A83,Datos_items!$N:$N,"Lectura del diagrama",Datos_items!$E:$E,$C$4,Datos_items!$C:$C,$C$5,Datos_items!$D:$D,$C$6),"")</f>
        <v/>
      </c>
      <c r="F83" s="18" t="str">
        <f aca="false">IFERROR(SUMIFS(Datos_items!$Z:$Z,Datos_items!$I:$I,$A83,Datos_items!$N:$N,"Cálculo",Datos_items!$E:$E,$C$4,Datos_items!$C:$C,$C$5,Datos_items!$D:$D,$C$6)/COUNTIFS(Datos_items!$I:$I,$A83,Datos_items!$N:$N,"Cálculo",Datos_items!$E:$E,$C$4,Datos_items!$C:$C,$C$5,Datos_items!$D:$D,$C$6),"")</f>
        <v/>
      </c>
      <c r="G83" s="21" t="str">
        <f aca="false">IFERROR(AVERAGEIFS(Datos_problemas!$AJ:$AJ,Datos_problemas!$P:$P,$A83,Datos_problemas!$F:$F,$C$4,Datos_problemas!$D:$D,$C$5,Datos_problemas!$E:$E,$C$6),"")</f>
        <v/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customFormat="false" ht="15" hidden="false" customHeight="false" outlineLevel="0" collapsed="false">
      <c r="A84" s="3" t="s">
        <v>474</v>
      </c>
      <c r="B84" s="2" t="n">
        <f aca="false">COUNTIFS(Datos_problemas!$P:$P,$A84,Datos_problemas!$F:$F,$C$4,Datos_problemas!$D:$D,$C$5,Datos_problemas!$E:$E,$C$6)</f>
        <v>0</v>
      </c>
      <c r="C84" s="20" t="str">
        <f aca="false">IFERROR(AVERAGEIFS(Datos_problemas!$AE:$AE,Datos_problemas!$P:$P,$A84,Datos_problemas!$F:$F,$C$4,Datos_problemas!$D:$D,$C$5,Datos_problemas!$E:$E,$C$6),"")</f>
        <v/>
      </c>
      <c r="D84" s="18" t="str">
        <f aca="false">IFERROR(SUMIFS(Datos_items!$Z:$Z,Datos_items!$I:$I,$A84,Datos_items!$N:$N,"Colocación en diagrama",Datos_items!$E:$E,$C$4,Datos_items!$C:$C,$C$5,Datos_items!$D:$D,$C$6)/COUNTIFS(Datos_items!$I:$I,$A84,Datos_items!$N:$N,"Colocación en diagrama",Datos_items!$E:$E,$C$4,Datos_items!$C:$C,$C$5,Datos_items!$D:$D,$C$6),"")</f>
        <v/>
      </c>
      <c r="E84" s="18" t="str">
        <f aca="false">IFERROR(SUMIFS(Datos_items!$Z:$Z,Datos_items!$I:$I,$A84,Datos_items!$N:$N,"Lectura del diagrama",Datos_items!$E:$E,$C$4,Datos_items!$C:$C,$C$5,Datos_items!$D:$D,$C$6)/COUNTIFS(Datos_items!$I:$I,$A84,Datos_items!$N:$N,"Lectura del diagrama",Datos_items!$E:$E,$C$4,Datos_items!$C:$C,$C$5,Datos_items!$D:$D,$C$6),"")</f>
        <v/>
      </c>
      <c r="F84" s="18" t="str">
        <f aca="false">IFERROR(SUMIFS(Datos_items!$Z:$Z,Datos_items!$I:$I,$A84,Datos_items!$N:$N,"Cálculo",Datos_items!$E:$E,$C$4,Datos_items!$C:$C,$C$5,Datos_items!$D:$D,$C$6)/COUNTIFS(Datos_items!$I:$I,$A84,Datos_items!$N:$N,"Cálculo",Datos_items!$E:$E,$C$4,Datos_items!$C:$C,$C$5,Datos_items!$D:$D,$C$6),"")</f>
        <v/>
      </c>
      <c r="G84" s="21" t="str">
        <f aca="false">IFERROR(AVERAGEIFS(Datos_problemas!$AJ:$AJ,Datos_problemas!$P:$P,$A84,Datos_problemas!$F:$F,$C$4,Datos_problemas!$D:$D,$C$5,Datos_problemas!$E:$E,$C$6),"")</f>
        <v/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customFormat="false" ht="15" hidden="false" customHeight="false" outlineLevel="0" collapsed="false">
      <c r="A85" s="3" t="s">
        <v>475</v>
      </c>
      <c r="B85" s="2" t="n">
        <f aca="false">COUNTIFS(Datos_problemas!$P:$P,$A85,Datos_problemas!$F:$F,$C$4,Datos_problemas!$D:$D,$C$5,Datos_problemas!$E:$E,$C$6)</f>
        <v>0</v>
      </c>
      <c r="C85" s="20" t="str">
        <f aca="false">IFERROR(AVERAGEIFS(Datos_problemas!$AE:$AE,Datos_problemas!$P:$P,$A85,Datos_problemas!$F:$F,$C$4,Datos_problemas!$D:$D,$C$5,Datos_problemas!$E:$E,$C$6),"")</f>
        <v/>
      </c>
      <c r="D85" s="18" t="str">
        <f aca="false">IFERROR(SUMIFS(Datos_items!$Z:$Z,Datos_items!$I:$I,$A85,Datos_items!$N:$N,"Colocación en diagrama",Datos_items!$E:$E,$C$4,Datos_items!$C:$C,$C$5,Datos_items!$D:$D,$C$6)/COUNTIFS(Datos_items!$I:$I,$A85,Datos_items!$N:$N,"Colocación en diagrama",Datos_items!$E:$E,$C$4,Datos_items!$C:$C,$C$5,Datos_items!$D:$D,$C$6),"")</f>
        <v/>
      </c>
      <c r="E85" s="18" t="str">
        <f aca="false">IFERROR(SUMIFS(Datos_items!$Z:$Z,Datos_items!$I:$I,$A85,Datos_items!$N:$N,"Lectura del diagrama",Datos_items!$E:$E,$C$4,Datos_items!$C:$C,$C$5,Datos_items!$D:$D,$C$6)/COUNTIFS(Datos_items!$I:$I,$A85,Datos_items!$N:$N,"Lectura del diagrama",Datos_items!$E:$E,$C$4,Datos_items!$C:$C,$C$5,Datos_items!$D:$D,$C$6),"")</f>
        <v/>
      </c>
      <c r="F85" s="18" t="str">
        <f aca="false">IFERROR(SUMIFS(Datos_items!$Z:$Z,Datos_items!$I:$I,$A85,Datos_items!$N:$N,"Cálculo",Datos_items!$E:$E,$C$4,Datos_items!$C:$C,$C$5,Datos_items!$D:$D,$C$6)/COUNTIFS(Datos_items!$I:$I,$A85,Datos_items!$N:$N,"Cálculo",Datos_items!$E:$E,$C$4,Datos_items!$C:$C,$C$5,Datos_items!$D:$D,$C$6),"")</f>
        <v/>
      </c>
      <c r="G85" s="21" t="str">
        <f aca="false">IFERROR(AVERAGEIFS(Datos_problemas!$AJ:$AJ,Datos_problemas!$P:$P,$A85,Datos_problemas!$F:$F,$C$4,Datos_problemas!$D:$D,$C$5,Datos_problemas!$E:$E,$C$6),"")</f>
        <v/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customFormat="false" ht="15" hidden="false" customHeight="false" outlineLevel="0" collapsed="false">
      <c r="A86" s="3" t="s">
        <v>476</v>
      </c>
      <c r="B86" s="2" t="n">
        <f aca="false">COUNTIFS(Datos_problemas!$P:$P,$A86,Datos_problemas!$F:$F,$C$4,Datos_problemas!$D:$D,$C$5,Datos_problemas!$E:$E,$C$6)</f>
        <v>0</v>
      </c>
      <c r="C86" s="20" t="str">
        <f aca="false">IFERROR(AVERAGEIFS(Datos_problemas!$AE:$AE,Datos_problemas!$P:$P,$A86,Datos_problemas!$F:$F,$C$4,Datos_problemas!$D:$D,$C$5,Datos_problemas!$E:$E,$C$6),"")</f>
        <v/>
      </c>
      <c r="D86" s="18" t="str">
        <f aca="false">IFERROR(SUMIFS(Datos_items!$Z:$Z,Datos_items!$I:$I,$A86,Datos_items!$N:$N,"Colocación en diagrama",Datos_items!$E:$E,$C$4,Datos_items!$C:$C,$C$5,Datos_items!$D:$D,$C$6)/COUNTIFS(Datos_items!$I:$I,$A86,Datos_items!$N:$N,"Colocación en diagrama",Datos_items!$E:$E,$C$4,Datos_items!$C:$C,$C$5,Datos_items!$D:$D,$C$6),"")</f>
        <v/>
      </c>
      <c r="E86" s="18" t="str">
        <f aca="false">IFERROR(SUMIFS(Datos_items!$Z:$Z,Datos_items!$I:$I,$A86,Datos_items!$N:$N,"Lectura del diagrama",Datos_items!$E:$E,$C$4,Datos_items!$C:$C,$C$5,Datos_items!$D:$D,$C$6)/COUNTIFS(Datos_items!$I:$I,$A86,Datos_items!$N:$N,"Lectura del diagrama",Datos_items!$E:$E,$C$4,Datos_items!$C:$C,$C$5,Datos_items!$D:$D,$C$6),"")</f>
        <v/>
      </c>
      <c r="F86" s="18" t="str">
        <f aca="false">IFERROR(SUMIFS(Datos_items!$Z:$Z,Datos_items!$I:$I,$A86,Datos_items!$N:$N,"Cálculo",Datos_items!$E:$E,$C$4,Datos_items!$C:$C,$C$5,Datos_items!$D:$D,$C$6)/COUNTIFS(Datos_items!$I:$I,$A86,Datos_items!$N:$N,"Cálculo",Datos_items!$E:$E,$C$4,Datos_items!$C:$C,$C$5,Datos_items!$D:$D,$C$6),"")</f>
        <v/>
      </c>
      <c r="G86" s="21" t="str">
        <f aca="false">IFERROR(AVERAGEIFS(Datos_problemas!$AJ:$AJ,Datos_problemas!$P:$P,$A86,Datos_problemas!$F:$F,$C$4,Datos_problemas!$D:$D,$C$5,Datos_problemas!$E:$E,$C$6),"")</f>
        <v/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customFormat="false" ht="15" hidden="false" customHeight="false" outlineLevel="0" collapsed="false">
      <c r="A87" s="3" t="s">
        <v>477</v>
      </c>
      <c r="B87" s="2" t="n">
        <f aca="false">COUNTIFS(Datos_problemas!$P:$P,$A87,Datos_problemas!$F:$F,$C$4,Datos_problemas!$D:$D,$C$5,Datos_problemas!$E:$E,$C$6)</f>
        <v>0</v>
      </c>
      <c r="C87" s="20" t="str">
        <f aca="false">IFERROR(AVERAGEIFS(Datos_problemas!$AE:$AE,Datos_problemas!$P:$P,$A87,Datos_problemas!$F:$F,$C$4,Datos_problemas!$D:$D,$C$5,Datos_problemas!$E:$E,$C$6),"")</f>
        <v/>
      </c>
      <c r="D87" s="18" t="str">
        <f aca="false">IFERROR(SUMIFS(Datos_items!$Z:$Z,Datos_items!$I:$I,$A87,Datos_items!$N:$N,"Colocación en diagrama",Datos_items!$E:$E,$C$4,Datos_items!$C:$C,$C$5,Datos_items!$D:$D,$C$6)/COUNTIFS(Datos_items!$I:$I,$A87,Datos_items!$N:$N,"Colocación en diagrama",Datos_items!$E:$E,$C$4,Datos_items!$C:$C,$C$5,Datos_items!$D:$D,$C$6),"")</f>
        <v/>
      </c>
      <c r="E87" s="18" t="str">
        <f aca="false">IFERROR(SUMIFS(Datos_items!$Z:$Z,Datos_items!$I:$I,$A87,Datos_items!$N:$N,"Lectura del diagrama",Datos_items!$E:$E,$C$4,Datos_items!$C:$C,$C$5,Datos_items!$D:$D,$C$6)/COUNTIFS(Datos_items!$I:$I,$A87,Datos_items!$N:$N,"Lectura del diagrama",Datos_items!$E:$E,$C$4,Datos_items!$C:$C,$C$5,Datos_items!$D:$D,$C$6),"")</f>
        <v/>
      </c>
      <c r="F87" s="18" t="str">
        <f aca="false">IFERROR(SUMIFS(Datos_items!$Z:$Z,Datos_items!$I:$I,$A87,Datos_items!$N:$N,"Cálculo",Datos_items!$E:$E,$C$4,Datos_items!$C:$C,$C$5,Datos_items!$D:$D,$C$6)/COUNTIFS(Datos_items!$I:$I,$A87,Datos_items!$N:$N,"Cálculo",Datos_items!$E:$E,$C$4,Datos_items!$C:$C,$C$5,Datos_items!$D:$D,$C$6),"")</f>
        <v/>
      </c>
      <c r="G87" s="21" t="str">
        <f aca="false">IFERROR(AVERAGEIFS(Datos_problemas!$AJ:$AJ,Datos_problemas!$P:$P,$A87,Datos_problemas!$F:$F,$C$4,Datos_problemas!$D:$D,$C$5,Datos_problemas!$E:$E,$C$6),"")</f>
        <v/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customFormat="false" ht="15" hidden="false" customHeight="false" outlineLevel="0" collapsed="false">
      <c r="A88" s="3" t="s">
        <v>478</v>
      </c>
      <c r="B88" s="2" t="n">
        <f aca="false">COUNTIFS(Datos_problemas!$P:$P,$A88,Datos_problemas!$F:$F,$C$4,Datos_problemas!$D:$D,$C$5,Datos_problemas!$E:$E,$C$6)</f>
        <v>0</v>
      </c>
      <c r="C88" s="20" t="str">
        <f aca="false">IFERROR(AVERAGEIFS(Datos_problemas!$AE:$AE,Datos_problemas!$P:$P,$A88,Datos_problemas!$F:$F,$C$4,Datos_problemas!$D:$D,$C$5,Datos_problemas!$E:$E,$C$6),"")</f>
        <v/>
      </c>
      <c r="D88" s="18" t="str">
        <f aca="false">IFERROR(SUMIFS(Datos_items!$Z:$Z,Datos_items!$I:$I,$A88,Datos_items!$N:$N,"Colocación en diagrama",Datos_items!$E:$E,$C$4,Datos_items!$C:$C,$C$5,Datos_items!$D:$D,$C$6)/COUNTIFS(Datos_items!$I:$I,$A88,Datos_items!$N:$N,"Colocación en diagrama",Datos_items!$E:$E,$C$4,Datos_items!$C:$C,$C$5,Datos_items!$D:$D,$C$6),"")</f>
        <v/>
      </c>
      <c r="E88" s="18" t="str">
        <f aca="false">IFERROR(SUMIFS(Datos_items!$Z:$Z,Datos_items!$I:$I,$A88,Datos_items!$N:$N,"Lectura del diagrama",Datos_items!$E:$E,$C$4,Datos_items!$C:$C,$C$5,Datos_items!$D:$D,$C$6)/COUNTIFS(Datos_items!$I:$I,$A88,Datos_items!$N:$N,"Lectura del diagrama",Datos_items!$E:$E,$C$4,Datos_items!$C:$C,$C$5,Datos_items!$D:$D,$C$6),"")</f>
        <v/>
      </c>
      <c r="F88" s="18" t="str">
        <f aca="false">IFERROR(SUMIFS(Datos_items!$Z:$Z,Datos_items!$I:$I,$A88,Datos_items!$N:$N,"Cálculo",Datos_items!$E:$E,$C$4,Datos_items!$C:$C,$C$5,Datos_items!$D:$D,$C$6)/COUNTIFS(Datos_items!$I:$I,$A88,Datos_items!$N:$N,"Cálculo",Datos_items!$E:$E,$C$4,Datos_items!$C:$C,$C$5,Datos_items!$D:$D,$C$6),"")</f>
        <v/>
      </c>
      <c r="G88" s="21" t="str">
        <f aca="false">IFERROR(AVERAGEIFS(Datos_problemas!$AJ:$AJ,Datos_problemas!$P:$P,$A88,Datos_problemas!$F:$F,$C$4,Datos_problemas!$D:$D,$C$5,Datos_problemas!$E:$E,$C$6),"")</f>
        <v/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customFormat="false" ht="15" hidden="false" customHeight="false" outlineLevel="0" collapsed="false">
      <c r="A90" s="12" t="s">
        <v>479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customFormat="false" ht="23.85" hidden="false" customHeight="false" outlineLevel="0" collapsed="false">
      <c r="A91" s="5" t="s">
        <v>480</v>
      </c>
      <c r="B91" s="5" t="s">
        <v>481</v>
      </c>
      <c r="C91" s="5" t="s">
        <v>466</v>
      </c>
      <c r="D91" s="5" t="s">
        <v>444</v>
      </c>
      <c r="E91" s="5" t="s">
        <v>467</v>
      </c>
      <c r="F91" s="5" t="s">
        <v>468</v>
      </c>
      <c r="G91" s="5" t="s">
        <v>469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customFormat="false" ht="15" hidden="false" customHeight="false" outlineLevel="0" collapsed="false">
      <c r="A92" s="3" t="s">
        <v>482</v>
      </c>
      <c r="B92" s="9" t="n">
        <v>1</v>
      </c>
      <c r="C92" s="2" t="n">
        <f aca="false">COUNTIFS(Datos_problemas!$L:$L,$B92,Datos_problemas!$F:$F,$C$4,Datos_problemas!$D:$D,$C$5,Datos_problemas!$E:$E,$C$6)</f>
        <v>0</v>
      </c>
      <c r="D92" s="20" t="str">
        <f aca="false">IFERROR(AVERAGEIFS(Datos_problemas!$AE:$AE,Datos_problemas!$L:$L,$B92,Datos_problemas!$F:$F,$C$4,Datos_problemas!$D:$D,$C$5,Datos_problemas!$E:$E,$C$6),"")</f>
        <v/>
      </c>
      <c r="E92" s="18" t="str">
        <f aca="false">IFERROR(SUMIFS(Datos_items!$Z:$Z,Datos_items!$G:$G,$B92,Datos_items!$N:$N,"Colocación en diagrama",Datos_items!$E:$E,$C$4,Datos_items!$C:$C,$C$5,Datos_items!$D:$D,$C$6)/COUNTIFS(Datos_items!$G:$G,$B92,Datos_items!$N:$N,"Colocación en diagrama",Datos_items!$E:$E,$C$4,Datos_items!$C:$C,$C$5,Datos_items!$D:$D,$C$6),"")</f>
        <v/>
      </c>
      <c r="F92" s="18" t="str">
        <f aca="false">IFERROR(SUMIFS(Datos_items!$Z:$Z,Datos_items!$G:$G,$B92,Datos_items!$N:$N,"Lectura del diagrama",Datos_items!$E:$E,$C$4,Datos_items!$C:$C,$C$5,Datos_items!$D:$D,$C$6)/COUNTIFS(Datos_items!$G:$G,$B92,Datos_items!$N:$N,"Lectura del diagrama",Datos_items!$E:$E,$C$4,Datos_items!$C:$C,$C$5,Datos_items!$D:$D,$C$6),"")</f>
        <v/>
      </c>
      <c r="G92" s="18" t="str">
        <f aca="false">IFERROR(SUMIFS(Datos_items!$Z:$Z,Datos_items!$G:$G,$B92,Datos_items!$N:$N,"Cálculo",Datos_items!$E:$E,$C$4,Datos_items!$C:$C,$C$5,Datos_items!$D:$D,$C$6)/COUNTIFS(Datos_items!$G:$G,$B92,Datos_items!$N:$N,"Cálculo",Datos_items!$E:$E,$C$4,Datos_items!$C:$C,$C$5,Datos_items!$D:$D,$C$6),"")</f>
        <v/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customFormat="false" ht="15" hidden="false" customHeight="false" outlineLevel="0" collapsed="false">
      <c r="A93" s="3" t="s">
        <v>483</v>
      </c>
      <c r="B93" s="9" t="n">
        <v>2</v>
      </c>
      <c r="C93" s="2" t="n">
        <f aca="false">COUNTIFS(Datos_problemas!$L:$L,$B93,Datos_problemas!$F:$F,$C$4,Datos_problemas!$D:$D,$C$5,Datos_problemas!$E:$E,$C$6)</f>
        <v>0</v>
      </c>
      <c r="D93" s="20" t="str">
        <f aca="false">IFERROR(AVERAGEIFS(Datos_problemas!$AE:$AE,Datos_problemas!$L:$L,$B93,Datos_problemas!$F:$F,$C$4,Datos_problemas!$D:$D,$C$5,Datos_problemas!$E:$E,$C$6),"")</f>
        <v/>
      </c>
      <c r="E93" s="18" t="str">
        <f aca="false">IFERROR(SUMIFS(Datos_items!$Z:$Z,Datos_items!$G:$G,$B93,Datos_items!$N:$N,"Colocación en diagrama",Datos_items!$E:$E,$C$4,Datos_items!$C:$C,$C$5,Datos_items!$D:$D,$C$6)/COUNTIFS(Datos_items!$G:$G,$B93,Datos_items!$N:$N,"Colocación en diagrama",Datos_items!$E:$E,$C$4,Datos_items!$C:$C,$C$5,Datos_items!$D:$D,$C$6),"")</f>
        <v/>
      </c>
      <c r="F93" s="18" t="str">
        <f aca="false">IFERROR(SUMIFS(Datos_items!$Z:$Z,Datos_items!$G:$G,$B93,Datos_items!$N:$N,"Lectura del diagrama",Datos_items!$E:$E,$C$4,Datos_items!$C:$C,$C$5,Datos_items!$D:$D,$C$6)/COUNTIFS(Datos_items!$G:$G,$B93,Datos_items!$N:$N,"Lectura del diagrama",Datos_items!$E:$E,$C$4,Datos_items!$C:$C,$C$5,Datos_items!$D:$D,$C$6),"")</f>
        <v/>
      </c>
      <c r="G93" s="18" t="str">
        <f aca="false">IFERROR(SUMIFS(Datos_items!$Z:$Z,Datos_items!$G:$G,$B93,Datos_items!$N:$N,"Cálculo",Datos_items!$E:$E,$C$4,Datos_items!$C:$C,$C$5,Datos_items!$D:$D,$C$6)/COUNTIFS(Datos_items!$G:$G,$B93,Datos_items!$N:$N,"Cálculo",Datos_items!$E:$E,$C$4,Datos_items!$C:$C,$C$5,Datos_items!$D:$D,$C$6),"")</f>
        <v/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customFormat="false" ht="15" hidden="false" customHeight="false" outlineLevel="0" collapsed="false">
      <c r="A94" s="3" t="s">
        <v>484</v>
      </c>
      <c r="B94" s="9" t="n">
        <v>3</v>
      </c>
      <c r="C94" s="2" t="n">
        <f aca="false">COUNTIFS(Datos_problemas!$L:$L,$B94,Datos_problemas!$F:$F,$C$4,Datos_problemas!$D:$D,$C$5,Datos_problemas!$E:$E,$C$6)</f>
        <v>0</v>
      </c>
      <c r="D94" s="20" t="str">
        <f aca="false">IFERROR(AVERAGEIFS(Datos_problemas!$AE:$AE,Datos_problemas!$L:$L,$B94,Datos_problemas!$F:$F,$C$4,Datos_problemas!$D:$D,$C$5,Datos_problemas!$E:$E,$C$6),"")</f>
        <v/>
      </c>
      <c r="E94" s="18" t="str">
        <f aca="false">IFERROR(SUMIFS(Datos_items!$Z:$Z,Datos_items!$G:$G,$B94,Datos_items!$N:$N,"Colocación en diagrama",Datos_items!$E:$E,$C$4,Datos_items!$C:$C,$C$5,Datos_items!$D:$D,$C$6)/COUNTIFS(Datos_items!$G:$G,$B94,Datos_items!$N:$N,"Colocación en diagrama",Datos_items!$E:$E,$C$4,Datos_items!$C:$C,$C$5,Datos_items!$D:$D,$C$6),"")</f>
        <v/>
      </c>
      <c r="F94" s="18" t="str">
        <f aca="false">IFERROR(SUMIFS(Datos_items!$Z:$Z,Datos_items!$G:$G,$B94,Datos_items!$N:$N,"Lectura del diagrama",Datos_items!$E:$E,$C$4,Datos_items!$C:$C,$C$5,Datos_items!$D:$D,$C$6)/COUNTIFS(Datos_items!$G:$G,$B94,Datos_items!$N:$N,"Lectura del diagrama",Datos_items!$E:$E,$C$4,Datos_items!$C:$C,$C$5,Datos_items!$D:$D,$C$6),"")</f>
        <v/>
      </c>
      <c r="G94" s="18" t="str">
        <f aca="false">IFERROR(SUMIFS(Datos_items!$Z:$Z,Datos_items!$G:$G,$B94,Datos_items!$N:$N,"Cálculo",Datos_items!$E:$E,$C$4,Datos_items!$C:$C,$C$5,Datos_items!$D:$D,$C$6)/COUNTIFS(Datos_items!$G:$G,$B94,Datos_items!$N:$N,"Cálculo",Datos_items!$E:$E,$C$4,Datos_items!$C:$C,$C$5,Datos_items!$D:$D,$C$6),"")</f>
        <v/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customFormat="false" ht="15" hidden="false" customHeight="false" outlineLevel="0" collapsed="false">
      <c r="A95" s="3" t="s">
        <v>485</v>
      </c>
      <c r="B95" s="9" t="s">
        <v>122</v>
      </c>
      <c r="C95" s="2" t="n">
        <f aca="false">COUNTIFS(Datos_problemas!$S:$S,$B95,Datos_problemas!$F:$F,$C$4,Datos_problemas!$D:$D,$C$5,Datos_problemas!$E:$E,$C$6)</f>
        <v>0</v>
      </c>
      <c r="D95" s="20" t="str">
        <f aca="false">IFERROR(AVERAGEIFS(Datos_problemas!$AE:$AE,Datos_problemas!$S:$S,$B95,Datos_problemas!$F:$F,$C$4,Datos_problemas!$D:$D,$C$5,Datos_problemas!$E:$E,$C$6),"")</f>
        <v/>
      </c>
      <c r="E95" s="18" t="str">
        <f aca="false">IFERROR(SUMIFS(Datos_items!$Z:$Z,Datos_items!$K:$K,$B95,Datos_items!$N:$N,"Colocación en diagrama",Datos_items!$E:$E,$C$4,Datos_items!$C:$C,$C$5,Datos_items!$D:$D,$C$6)/COUNTIFS(Datos_items!$K:$K,$B95,Datos_items!$N:$N,"Colocación en diagrama",Datos_items!$E:$E,$C$4,Datos_items!$C:$C,$C$5,Datos_items!$D:$D,$C$6),"")</f>
        <v/>
      </c>
      <c r="F95" s="18" t="str">
        <f aca="false">IFERROR(SUMIFS(Datos_items!$Z:$Z,Datos_items!$K:$K,$B95,Datos_items!$N:$N,"Lectura del diagrama",Datos_items!$E:$E,$C$4,Datos_items!$C:$C,$C$5,Datos_items!$D:$D,$C$6)/COUNTIFS(Datos_items!$K:$K,$B95,Datos_items!$N:$N,"Lectura del diagrama",Datos_items!$E:$E,$C$4,Datos_items!$C:$C,$C$5,Datos_items!$D:$D,$C$6),"")</f>
        <v/>
      </c>
      <c r="G95" s="18" t="str">
        <f aca="false">IFERROR(SUMIFS(Datos_items!$Z:$Z,Datos_items!$K:$K,$B95,Datos_items!$N:$N,"Cálculo",Datos_items!$E:$E,$C$4,Datos_items!$C:$C,$C$5,Datos_items!$D:$D,$C$6)/COUNTIFS(Datos_items!$K:$K,$B95,Datos_items!$N:$N,"Cálculo",Datos_items!$E:$E,$C$4,Datos_items!$C:$C,$C$5,Datos_items!$D:$D,$C$6),"")</f>
        <v/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customFormat="false" ht="15" hidden="false" customHeight="false" outlineLevel="0" collapsed="false">
      <c r="A96" s="3" t="s">
        <v>486</v>
      </c>
      <c r="B96" s="9" t="s">
        <v>235</v>
      </c>
      <c r="C96" s="2" t="n">
        <f aca="false">COUNTIFS(Datos_problemas!$S:$S,$B96,Datos_problemas!$F:$F,$C$4,Datos_problemas!$D:$D,$C$5,Datos_problemas!$E:$E,$C$6)</f>
        <v>0</v>
      </c>
      <c r="D96" s="20" t="str">
        <f aca="false">IFERROR(AVERAGEIFS(Datos_problemas!$AE:$AE,Datos_problemas!$S:$S,$B96,Datos_problemas!$F:$F,$C$4,Datos_problemas!$D:$D,$C$5,Datos_problemas!$E:$E,$C$6),"")</f>
        <v/>
      </c>
      <c r="E96" s="18" t="str">
        <f aca="false">IFERROR(SUMIFS(Datos_items!$Z:$Z,Datos_items!$K:$K,$B96,Datos_items!$N:$N,"Colocación en diagrama",Datos_items!$E:$E,$C$4,Datos_items!$C:$C,$C$5,Datos_items!$D:$D,$C$6)/COUNTIFS(Datos_items!$K:$K,$B96,Datos_items!$N:$N,"Colocación en diagrama",Datos_items!$E:$E,$C$4,Datos_items!$C:$C,$C$5,Datos_items!$D:$D,$C$6),"")</f>
        <v/>
      </c>
      <c r="F96" s="18" t="str">
        <f aca="false">IFERROR(SUMIFS(Datos_items!$Z:$Z,Datos_items!$K:$K,$B96,Datos_items!$N:$N,"Lectura del diagrama",Datos_items!$E:$E,$C$4,Datos_items!$C:$C,$C$5,Datos_items!$D:$D,$C$6)/COUNTIFS(Datos_items!$K:$K,$B96,Datos_items!$N:$N,"Lectura del diagrama",Datos_items!$E:$E,$C$4,Datos_items!$C:$C,$C$5,Datos_items!$D:$D,$C$6),"")</f>
        <v/>
      </c>
      <c r="G96" s="18" t="str">
        <f aca="false">IFERROR(SUMIFS(Datos_items!$Z:$Z,Datos_items!$K:$K,$B96,Datos_items!$N:$N,"Cálculo",Datos_items!$E:$E,$C$4,Datos_items!$C:$C,$C$5,Datos_items!$D:$D,$C$6)/COUNTIFS(Datos_items!$K:$K,$B96,Datos_items!$N:$N,"Cálculo",Datos_items!$E:$E,$C$4,Datos_items!$C:$C,$C$5,Datos_items!$D:$D,$C$6),"")</f>
        <v/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customFormat="false" ht="15" hidden="false" customHeight="false" outlineLevel="0" collapsed="false">
      <c r="A98" s="12" t="s">
        <v>487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customFormat="false" ht="35.05" hidden="false" customHeight="false" outlineLevel="0" collapsed="false">
      <c r="A99" s="5" t="s">
        <v>304</v>
      </c>
      <c r="B99" s="5" t="s">
        <v>452</v>
      </c>
      <c r="C99" s="5" t="s">
        <v>488</v>
      </c>
      <c r="D99" s="5" t="s">
        <v>489</v>
      </c>
      <c r="E99" s="5" t="s">
        <v>490</v>
      </c>
      <c r="F99" s="5" t="s">
        <v>491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customFormat="false" ht="15" hidden="false" customHeight="false" outlineLevel="0" collapsed="false">
      <c r="A100" s="3" t="s">
        <v>306</v>
      </c>
      <c r="B100" s="13" t="s">
        <v>307</v>
      </c>
      <c r="C100" s="18" t="str">
        <f aca="false">IFERROR(SUMIFS(Datos_items!$Z:$Z,Datos_items!$O:$O,$A100,Datos_items!$E:$E,"Evaluación",Datos_items!$C:$C,$C$5,Datos_items!$D:$D,"Diagnóstico")/COUNTIFS(Datos_items!$O:$O,$A100,Datos_items!$E:$E,"Evaluación",Datos_items!$C:$C,$C$5,Datos_items!$D:$D,"Diagnóstico"),"")</f>
        <v/>
      </c>
      <c r="D100" s="18" t="str">
        <f aca="false">IFERROR(SUMIFS(Datos_items!$Z:$Z,Datos_items!$O:$O,$A100,Datos_items!$E:$E,"Evaluación",Datos_items!$C:$C,$C$5,Datos_items!$D:$D,"Final")/COUNTIFS(Datos_items!$O:$O,$A100,Datos_items!$E:$E,"Evaluación",Datos_items!$C:$C,$C$5,Datos_items!$D:$D,"Final"),"")</f>
        <v/>
      </c>
      <c r="E100" s="22" t="str">
        <f aca="false">IF(OR(C100="",D100=""),"",D100-C100)</f>
        <v/>
      </c>
      <c r="F100" s="21" t="str">
        <f aca="false">IF(OR(C100="",D100="",C100&gt;=1),"",(D100-C100)/(1-C100))</f>
        <v/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customFormat="false" ht="15" hidden="false" customHeight="false" outlineLevel="0" collapsed="false">
      <c r="A101" s="3" t="s">
        <v>309</v>
      </c>
      <c r="B101" s="13" t="s">
        <v>310</v>
      </c>
      <c r="C101" s="18" t="str">
        <f aca="false">IFERROR(SUMIFS(Datos_items!$Z:$Z,Datos_items!$O:$O,$A101,Datos_items!$E:$E,"Evaluación",Datos_items!$C:$C,$C$5,Datos_items!$D:$D,"Diagnóstico")/COUNTIFS(Datos_items!$O:$O,$A101,Datos_items!$E:$E,"Evaluación",Datos_items!$C:$C,$C$5,Datos_items!$D:$D,"Diagnóstico"),"")</f>
        <v/>
      </c>
      <c r="D101" s="18" t="str">
        <f aca="false">IFERROR(SUMIFS(Datos_items!$Z:$Z,Datos_items!$O:$O,$A101,Datos_items!$E:$E,"Evaluación",Datos_items!$C:$C,$C$5,Datos_items!$D:$D,"Final")/COUNTIFS(Datos_items!$O:$O,$A101,Datos_items!$E:$E,"Evaluación",Datos_items!$C:$C,$C$5,Datos_items!$D:$D,"Final"),"")</f>
        <v/>
      </c>
      <c r="E101" s="22" t="str">
        <f aca="false">IF(OR(C101="",D101=""),"",D101-C101)</f>
        <v/>
      </c>
      <c r="F101" s="21" t="str">
        <f aca="false">IF(OR(C101="",D101="",C101&gt;=1),"",(D101-C101)/(1-C101))</f>
        <v/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customFormat="false" ht="15" hidden="false" customHeight="false" outlineLevel="0" collapsed="false">
      <c r="A102" s="3" t="s">
        <v>312</v>
      </c>
      <c r="B102" s="13" t="s">
        <v>313</v>
      </c>
      <c r="C102" s="18" t="str">
        <f aca="false">IFERROR(SUMIFS(Datos_items!$Z:$Z,Datos_items!$O:$O,$A102,Datos_items!$E:$E,"Evaluación",Datos_items!$C:$C,$C$5,Datos_items!$D:$D,"Diagnóstico")/COUNTIFS(Datos_items!$O:$O,$A102,Datos_items!$E:$E,"Evaluación",Datos_items!$C:$C,$C$5,Datos_items!$D:$D,"Diagnóstico"),"")</f>
        <v/>
      </c>
      <c r="D102" s="18" t="str">
        <f aca="false">IFERROR(SUMIFS(Datos_items!$Z:$Z,Datos_items!$O:$O,$A102,Datos_items!$E:$E,"Evaluación",Datos_items!$C:$C,$C$5,Datos_items!$D:$D,"Final")/COUNTIFS(Datos_items!$O:$O,$A102,Datos_items!$E:$E,"Evaluación",Datos_items!$C:$C,$C$5,Datos_items!$D:$D,"Final"),"")</f>
        <v/>
      </c>
      <c r="E102" s="22" t="str">
        <f aca="false">IF(OR(C102="",D102=""),"",D102-C102)</f>
        <v/>
      </c>
      <c r="F102" s="21" t="str">
        <f aca="false">IF(OR(C102="",D102="",C102&gt;=1),"",(D102-C102)/(1-C102))</f>
        <v/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customFormat="false" ht="15" hidden="false" customHeight="false" outlineLevel="0" collapsed="false">
      <c r="A103" s="3" t="s">
        <v>221</v>
      </c>
      <c r="B103" s="13" t="s">
        <v>266</v>
      </c>
      <c r="C103" s="18" t="str">
        <f aca="false">IFERROR(SUMIFS(Datos_items!$Z:$Z,Datos_items!$O:$O,$A103,Datos_items!$E:$E,"Evaluación",Datos_items!$C:$C,$C$5,Datos_items!$D:$D,"Diagnóstico")/COUNTIFS(Datos_items!$O:$O,$A103,Datos_items!$E:$E,"Evaluación",Datos_items!$C:$C,$C$5,Datos_items!$D:$D,"Diagnóstico"),"")</f>
        <v/>
      </c>
      <c r="D103" s="18" t="str">
        <f aca="false">IFERROR(SUMIFS(Datos_items!$Z:$Z,Datos_items!$O:$O,$A103,Datos_items!$E:$E,"Evaluación",Datos_items!$C:$C,$C$5,Datos_items!$D:$D,"Final")/COUNTIFS(Datos_items!$O:$O,$A103,Datos_items!$E:$E,"Evaluación",Datos_items!$C:$C,$C$5,Datos_items!$D:$D,"Final"),"")</f>
        <v/>
      </c>
      <c r="E103" s="22" t="str">
        <f aca="false">IF(OR(C103="",D103=""),"",D103-C103)</f>
        <v/>
      </c>
      <c r="F103" s="21" t="str">
        <f aca="false">IF(OR(C103="",D103="",C103&gt;=1),"",(D103-C103)/(1-C103))</f>
        <v/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customFormat="false" ht="15" hidden="false" customHeight="false" outlineLevel="0" collapsed="false">
      <c r="A104" s="3" t="s">
        <v>316</v>
      </c>
      <c r="B104" s="13" t="s">
        <v>317</v>
      </c>
      <c r="C104" s="18" t="str">
        <f aca="false">IFERROR(SUMIFS(Datos_items!$Z:$Z,Datos_items!$O:$O,$A104,Datos_items!$E:$E,"Evaluación",Datos_items!$C:$C,$C$5,Datos_items!$D:$D,"Diagnóstico")/COUNTIFS(Datos_items!$O:$O,$A104,Datos_items!$E:$E,"Evaluación",Datos_items!$C:$C,$C$5,Datos_items!$D:$D,"Diagnóstico"),"")</f>
        <v/>
      </c>
      <c r="D104" s="18" t="str">
        <f aca="false">IFERROR(SUMIFS(Datos_items!$Z:$Z,Datos_items!$O:$O,$A104,Datos_items!$E:$E,"Evaluación",Datos_items!$C:$C,$C$5,Datos_items!$D:$D,"Final")/COUNTIFS(Datos_items!$O:$O,$A104,Datos_items!$E:$E,"Evaluación",Datos_items!$C:$C,$C$5,Datos_items!$D:$D,"Final"),"")</f>
        <v/>
      </c>
      <c r="E104" s="22" t="str">
        <f aca="false">IF(OR(C104="",D104=""),"",D104-C104)</f>
        <v/>
      </c>
      <c r="F104" s="21" t="str">
        <f aca="false">IF(OR(C104="",D104="",C104&gt;=1),"",(D104-C104)/(1-C104))</f>
        <v/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customFormat="false" ht="15" hidden="false" customHeight="false" outlineLevel="0" collapsed="false">
      <c r="A105" s="3" t="s">
        <v>319</v>
      </c>
      <c r="B105" s="13" t="s">
        <v>320</v>
      </c>
      <c r="C105" s="18" t="str">
        <f aca="false">IFERROR(SUMIFS(Datos_items!$Z:$Z,Datos_items!$O:$O,$A105,Datos_items!$E:$E,"Evaluación",Datos_items!$C:$C,$C$5,Datos_items!$D:$D,"Diagnóstico")/COUNTIFS(Datos_items!$O:$O,$A105,Datos_items!$E:$E,"Evaluación",Datos_items!$C:$C,$C$5,Datos_items!$D:$D,"Diagnóstico"),"")</f>
        <v/>
      </c>
      <c r="D105" s="18" t="str">
        <f aca="false">IFERROR(SUMIFS(Datos_items!$Z:$Z,Datos_items!$O:$O,$A105,Datos_items!$E:$E,"Evaluación",Datos_items!$C:$C,$C$5,Datos_items!$D:$D,"Final")/COUNTIFS(Datos_items!$O:$O,$A105,Datos_items!$E:$E,"Evaluación",Datos_items!$C:$C,$C$5,Datos_items!$D:$D,"Final"),"")</f>
        <v/>
      </c>
      <c r="E105" s="22" t="str">
        <f aca="false">IF(OR(C105="",D105=""),"",D105-C105)</f>
        <v/>
      </c>
      <c r="F105" s="21" t="str">
        <f aca="false">IF(OR(C105="",D105="",C105&gt;=1),"",(D105-C105)/(1-C105))</f>
        <v/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customFormat="false" ht="15" hidden="false" customHeight="false" outlineLevel="0" collapsed="false">
      <c r="A106" s="3" t="s">
        <v>322</v>
      </c>
      <c r="B106" s="13" t="s">
        <v>323</v>
      </c>
      <c r="C106" s="18" t="str">
        <f aca="false">IFERROR(SUMIFS(Datos_items!$Z:$Z,Datos_items!$O:$O,$A106,Datos_items!$E:$E,"Evaluación",Datos_items!$C:$C,$C$5,Datos_items!$D:$D,"Diagnóstico")/COUNTIFS(Datos_items!$O:$O,$A106,Datos_items!$E:$E,"Evaluación",Datos_items!$C:$C,$C$5,Datos_items!$D:$D,"Diagnóstico"),"")</f>
        <v/>
      </c>
      <c r="D106" s="18" t="str">
        <f aca="false">IFERROR(SUMIFS(Datos_items!$Z:$Z,Datos_items!$O:$O,$A106,Datos_items!$E:$E,"Evaluación",Datos_items!$C:$C,$C$5,Datos_items!$D:$D,"Final")/COUNTIFS(Datos_items!$O:$O,$A106,Datos_items!$E:$E,"Evaluación",Datos_items!$C:$C,$C$5,Datos_items!$D:$D,"Final"),"")</f>
        <v/>
      </c>
      <c r="E106" s="22" t="str">
        <f aca="false">IF(OR(C106="",D106=""),"",D106-C106)</f>
        <v/>
      </c>
      <c r="F106" s="21" t="str">
        <f aca="false">IF(OR(C106="",D106="",C106&gt;=1),"",(D106-C106)/(1-C106))</f>
        <v/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customFormat="false" ht="15" hidden="false" customHeight="false" outlineLevel="0" collapsed="false">
      <c r="A107" s="3" t="s">
        <v>325</v>
      </c>
      <c r="B107" s="13" t="s">
        <v>326</v>
      </c>
      <c r="C107" s="18" t="str">
        <f aca="false">IFERROR(SUMIFS(Datos_items!$Z:$Z,Datos_items!$O:$O,$A107,Datos_items!$E:$E,"Evaluación",Datos_items!$C:$C,$C$5,Datos_items!$D:$D,"Diagnóstico")/COUNTIFS(Datos_items!$O:$O,$A107,Datos_items!$E:$E,"Evaluación",Datos_items!$C:$C,$C$5,Datos_items!$D:$D,"Diagnóstico"),"")</f>
        <v/>
      </c>
      <c r="D107" s="18" t="str">
        <f aca="false">IFERROR(SUMIFS(Datos_items!$Z:$Z,Datos_items!$O:$O,$A107,Datos_items!$E:$E,"Evaluación",Datos_items!$C:$C,$C$5,Datos_items!$D:$D,"Final")/COUNTIFS(Datos_items!$O:$O,$A107,Datos_items!$E:$E,"Evaluación",Datos_items!$C:$C,$C$5,Datos_items!$D:$D,"Final"),"")</f>
        <v/>
      </c>
      <c r="E107" s="22" t="str">
        <f aca="false">IF(OR(C107="",D107=""),"",D107-C107)</f>
        <v/>
      </c>
      <c r="F107" s="21" t="str">
        <f aca="false">IF(OR(C107="",D107="",C107&gt;=1),"",(D107-C107)/(1-C107))</f>
        <v/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customFormat="false" ht="15" hidden="false" customHeight="false" outlineLevel="0" collapsed="false">
      <c r="A108" s="3" t="s">
        <v>492</v>
      </c>
      <c r="B108" s="13" t="s">
        <v>493</v>
      </c>
      <c r="C108" s="20" t="str">
        <f aca="false">IFERROR(AVERAGEIFS(Datos_problemas!$AE:$AE,Datos_problemas!$F:$F,"Evaluación",Datos_problemas!$D:$D,$C$5,Datos_problemas!$E:$E,"Diagnóstico"),"")</f>
        <v/>
      </c>
      <c r="D108" s="20" t="str">
        <f aca="false">IFERROR(AVERAGEIFS(Datos_problemas!$AE:$AE,Datos_problemas!$F:$F,"Evaluación",Datos_problemas!$D:$D,$C$5,Datos_problemas!$E:$E,"Final"),"")</f>
        <v/>
      </c>
      <c r="E108" s="23" t="str">
        <f aca="false">IF(OR(C108="",D108=""),"",D108-C108)</f>
        <v/>
      </c>
      <c r="F108" s="21" t="str">
        <f aca="false">IF(OR(C108="",D108="",C108&gt;=10),"",(D108-C108)/(10-C108))</f>
        <v/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customFormat="false" ht="15" hidden="false" customHeight="false" outlineLevel="0" collapsed="false">
      <c r="A109" s="9" t="s">
        <v>494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customFormat="false" ht="15" hidden="false" customHeight="false" outlineLevel="0" collapsed="false">
      <c r="A111" s="12" t="s">
        <v>495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customFormat="false" ht="15" hidden="false" customHeight="false" outlineLevel="0" collapsed="false">
      <c r="A112" s="5" t="s">
        <v>496</v>
      </c>
      <c r="B112" s="5" t="s">
        <v>481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customFormat="false" ht="15" hidden="false" customHeight="false" outlineLevel="0" collapsed="false">
      <c r="A113" s="13" t="s">
        <v>497</v>
      </c>
      <c r="B113" s="14" t="n">
        <f aca="false">COUNTIFS(Datos_problemas!$F:$F,"Práctica",Datos_problemas!$D:$D,$C$5)</f>
        <v>0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customFormat="false" ht="15" hidden="false" customHeight="false" outlineLevel="0" collapsed="false">
      <c r="A114" s="13" t="s">
        <v>498</v>
      </c>
      <c r="B114" s="16" t="str">
        <f aca="false">IFERROR(COUNTIFS(Datos_problemas!$F:$F,"Práctica",Datos_problemas!$D:$D,$C$5,Datos_problemas!$AU:$AU,"Sí")/B113,"")</f>
        <v/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customFormat="false" ht="15" hidden="false" customHeight="false" outlineLevel="0" collapsed="false">
      <c r="A115" s="13" t="s">
        <v>499</v>
      </c>
      <c r="B115" s="15" t="str">
        <f aca="false">IFERROR(AVERAGEIFS(Datos_problemas!$AQ:$AQ,Datos_problemas!$F:$F,"Práctica",Datos_problemas!$D:$D,$C$5),"")</f>
        <v/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customFormat="false" ht="15" hidden="false" customHeight="false" outlineLevel="0" collapsed="false">
      <c r="A116" s="13" t="s">
        <v>500</v>
      </c>
      <c r="B116" s="15" t="str">
        <f aca="false">IFERROR(AVERAGEIFS(Datos_problemas!$AR:$AR,Datos_problemas!$F:$F,"Práctica",Datos_problemas!$D:$D,$C$5),"")</f>
        <v/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customFormat="false" ht="15" hidden="false" customHeight="false" outlineLevel="0" collapsed="false">
      <c r="A117" s="13" t="s">
        <v>501</v>
      </c>
      <c r="B117" s="16" t="str">
        <f aca="false">IFERROR(COUNTIFS(Datos_problemas!$F:$F,"Práctica",Datos_problemas!$D:$D,$C$5,Datos_problemas!$AS:$AS,"Sí")/B113,"")</f>
        <v/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customFormat="false" ht="15" hidden="false" customHeight="false" outlineLevel="0" collapsed="false">
      <c r="A118" s="13" t="s">
        <v>502</v>
      </c>
      <c r="B118" s="15" t="str">
        <f aca="false">IFERROR(AVERAGEIFS(Datos_problemas!$AO:$AO,Datos_problemas!$F:$F,"Práctica",Datos_problemas!$D:$D,$C$5),"")</f>
        <v/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customFormat="false" ht="15" hidden="false" customHeight="false" outlineLevel="0" collapsed="false">
      <c r="A119" s="13" t="s">
        <v>503</v>
      </c>
      <c r="B119" s="15" t="str">
        <f aca="false">IFERROR(AVERAGEIFS(Datos_problemas!$Y:$Y,Datos_problemas!$F:$F,"Práctica",Datos_problemas!$D:$D,$C$5)/60,"")</f>
        <v/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</sheetData>
  <conditionalFormatting sqref="C23:F30">
    <cfRule type="colorScale" priority="2">
      <colorScale>
        <cfvo type="num" val="0"/>
        <cfvo type="num" val="0.6"/>
        <cfvo type="num" val="1"/>
        <color rgb="FFE5735F"/>
        <color rgb="FFF7DC8C"/>
        <color rgb="FF7FC49A"/>
      </colorScale>
    </cfRule>
  </conditionalFormatting>
  <conditionalFormatting sqref="H23:H30">
    <cfRule type="cellIs" priority="3" operator="equal" aboveAverage="0" equalAverage="0" bottom="0" percent="0" rank="0" text="" dxfId="1">
      <formula>"No"</formula>
    </cfRule>
  </conditionalFormatting>
  <conditionalFormatting sqref="D34:D53">
    <cfRule type="colorScale" priority="4">
      <colorScale>
        <cfvo type="num" val="0"/>
        <cfvo type="num" val="0.6"/>
        <cfvo type="num" val="1"/>
        <color rgb="FFE5735F"/>
        <color rgb="FFF7DC8C"/>
        <color rgb="FF7FC49A"/>
      </colorScale>
    </cfRule>
  </conditionalFormatting>
  <conditionalFormatting sqref="F34:X53">
    <cfRule type="colorScale" priority="5">
      <colorScale>
        <cfvo type="num" val="0"/>
        <cfvo type="max" val="0"/>
        <color rgb="FFFFFFFF"/>
        <color rgb="FFE5735F"/>
      </colorScale>
    </cfRule>
  </conditionalFormatting>
  <conditionalFormatting sqref="E57:E75">
    <cfRule type="colorScale" priority="6">
      <colorScale>
        <cfvo type="num" val="0"/>
        <cfvo type="max" val="0"/>
        <color rgb="FFFFFFFF"/>
        <color rgb="FFE5735F"/>
      </colorScale>
    </cfRule>
  </conditionalFormatting>
  <conditionalFormatting sqref="D79:F88">
    <cfRule type="colorScale" priority="7">
      <colorScale>
        <cfvo type="num" val="0"/>
        <cfvo type="num" val="0.6"/>
        <cfvo type="num" val="1"/>
        <color rgb="FFE5735F"/>
        <color rgb="FFF7DC8C"/>
        <color rgb="FF7FC49A"/>
      </colorScale>
    </cfRule>
  </conditionalFormatting>
  <conditionalFormatting sqref="C79:C88">
    <cfRule type="colorScale" priority="8">
      <colorScale>
        <cfvo type="num" val="0"/>
        <cfvo type="num" val="6"/>
        <cfvo type="num" val="10"/>
        <color rgb="FFE5735F"/>
        <color rgb="FFF7DC8C"/>
        <color rgb="FF7FC49A"/>
      </colorScale>
    </cfRule>
  </conditionalFormatting>
  <conditionalFormatting sqref="E92:G96">
    <cfRule type="colorScale" priority="9">
      <colorScale>
        <cfvo type="num" val="0"/>
        <cfvo type="num" val="0.6"/>
        <cfvo type="num" val="1"/>
        <color rgb="FFE5735F"/>
        <color rgb="FFF7DC8C"/>
        <color rgb="FF7FC49A"/>
      </colorScale>
    </cfRule>
  </conditionalFormatting>
  <conditionalFormatting sqref="F100:F108">
    <cfRule type="colorScale" priority="10">
      <colorScale>
        <cfvo type="num" val="0"/>
        <cfvo type="num" val="0.3"/>
        <cfvo type="num" val="0.7"/>
        <color rgb="FFE5735F"/>
        <color rgb="FFF7DC8C"/>
        <color rgb="FF7FC49A"/>
      </colorScale>
    </cfRule>
  </conditionalFormatting>
  <dataValidations count="2">
    <dataValidation allowBlank="false" errorStyle="stop" operator="between" showDropDown="false" showErrorMessage="false" showInputMessage="false" sqref="B4" type="list">
      <formula1>"Todos,Evaluación,Práctica"</formula1>
      <formula2>0</formula2>
    </dataValidation>
    <dataValidation allowBlank="false" errorStyle="stop" operator="between" showDropDown="false" showErrorMessage="false" showInputMessage="false" sqref="B6" type="list">
      <formula1>"Todos,Diagnóstico,Formativa,Final,Práctica"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28"/>
    <col collapsed="false" customWidth="true" hidden="false" outlineLevel="0" max="4" min="4" style="0" width="8"/>
    <col collapsed="false" customWidth="true" hidden="false" outlineLevel="0" max="9" min="5" style="0" width="13"/>
    <col collapsed="false" customWidth="true" hidden="false" outlineLevel="0" max="17" min="10" style="0" width="7"/>
    <col collapsed="false" customWidth="true" hidden="false" outlineLevel="0" max="19" min="18" style="0" width="13"/>
    <col collapsed="false" customWidth="true" hidden="false" outlineLevel="0" max="38" min="20" style="0" width="7"/>
    <col collapsed="false" customWidth="true" hidden="false" outlineLevel="0" max="42" min="39" style="0" width="13"/>
  </cols>
  <sheetData>
    <row r="1" customFormat="false" ht="19.7" hidden="false" customHeight="false" outlineLevel="0" collapsed="false">
      <c r="A1" s="1" t="s">
        <v>504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customFormat="false" ht="15" hidden="false" customHeight="false" outlineLevel="0" collapsed="false">
      <c r="A2" s="9" t="s">
        <v>505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customFormat="false" ht="48" hidden="false" customHeight="true" outlineLevel="0" collapsed="false">
      <c r="A4" s="5" t="s">
        <v>506</v>
      </c>
      <c r="B4" s="5" t="s">
        <v>507</v>
      </c>
      <c r="C4" s="5" t="s">
        <v>452</v>
      </c>
      <c r="D4" s="5" t="s">
        <v>437</v>
      </c>
      <c r="E4" s="5" t="s">
        <v>508</v>
      </c>
      <c r="F4" s="5" t="s">
        <v>509</v>
      </c>
      <c r="G4" s="5" t="s">
        <v>510</v>
      </c>
      <c r="H4" s="5" t="s">
        <v>511</v>
      </c>
      <c r="I4" s="5" t="s">
        <v>512</v>
      </c>
      <c r="J4" s="5" t="s">
        <v>306</v>
      </c>
      <c r="K4" s="5" t="s">
        <v>309</v>
      </c>
      <c r="L4" s="5" t="s">
        <v>312</v>
      </c>
      <c r="M4" s="5" t="s">
        <v>221</v>
      </c>
      <c r="N4" s="5" t="s">
        <v>316</v>
      </c>
      <c r="O4" s="5" t="s">
        <v>319</v>
      </c>
      <c r="P4" s="5" t="s">
        <v>322</v>
      </c>
      <c r="Q4" s="5" t="s">
        <v>325</v>
      </c>
      <c r="R4" s="5" t="s">
        <v>513</v>
      </c>
      <c r="S4" s="5" t="s">
        <v>514</v>
      </c>
      <c r="T4" s="5" t="s">
        <v>359</v>
      </c>
      <c r="U4" s="5" t="s">
        <v>364</v>
      </c>
      <c r="V4" s="5" t="s">
        <v>369</v>
      </c>
      <c r="W4" s="5" t="s">
        <v>374</v>
      </c>
      <c r="X4" s="5" t="s">
        <v>379</v>
      </c>
      <c r="Y4" s="5" t="s">
        <v>383</v>
      </c>
      <c r="Z4" s="5" t="s">
        <v>388</v>
      </c>
      <c r="AA4" s="5" t="s">
        <v>392</v>
      </c>
      <c r="AB4" s="5" t="s">
        <v>396</v>
      </c>
      <c r="AC4" s="5" t="s">
        <v>400</v>
      </c>
      <c r="AD4" s="5" t="s">
        <v>296</v>
      </c>
      <c r="AE4" s="5" t="s">
        <v>406</v>
      </c>
      <c r="AF4" s="5" t="s">
        <v>409</v>
      </c>
      <c r="AG4" s="5" t="s">
        <v>413</v>
      </c>
      <c r="AH4" s="5" t="s">
        <v>416</v>
      </c>
      <c r="AI4" s="5" t="s">
        <v>419</v>
      </c>
      <c r="AJ4" s="5" t="s">
        <v>423</v>
      </c>
      <c r="AK4" s="5" t="s">
        <v>426</v>
      </c>
      <c r="AL4" s="5" t="s">
        <v>430</v>
      </c>
      <c r="AM4" s="5" t="s">
        <v>515</v>
      </c>
      <c r="AN4" s="5" t="s">
        <v>497</v>
      </c>
      <c r="AO4" s="5" t="s">
        <v>516</v>
      </c>
      <c r="AP4" s="5" t="s">
        <v>517</v>
      </c>
    </row>
    <row r="5" customFormat="false" ht="15" hidden="false" customHeight="false" outlineLevel="0" collapsed="false">
      <c r="A5" s="2" t="n">
        <v>1</v>
      </c>
      <c r="B5" s="2" t="str">
        <f aca="false">IFERROR(INDEX(Datos_problemas!$B:$B,MATCH($A5,Datos_problemas!$AV:$AV,0)),"")</f>
        <v/>
      </c>
      <c r="C5" s="2" t="str">
        <f aca="false">IF($B5="","",INDEX(Datos_problemas!$C:$C,MATCH($A5,Datos_problemas!$AV:$AV,0)))</f>
        <v/>
      </c>
      <c r="D5" s="2" t="str">
        <f aca="false">IF($B5="","",INDEX(Datos_problemas!$D:$D,MATCH($A5,Datos_problemas!$AV:$AV,0)))</f>
        <v/>
      </c>
      <c r="E5" s="2" t="str">
        <f aca="false">IF($B5="","",COUNTIFS(Datos_problemas!$B:$B,$B5,Datos_problemas!$F:$F,"Evaluación"))</f>
        <v/>
      </c>
      <c r="F5" s="20" t="str">
        <f aca="false">IF($B5="","",IFERROR(AVERAGEIFS(Datos_problemas!$AE:$AE,Datos_problemas!$B:$B,$B5,Datos_problemas!$F:$F,"Evaluación"),""))</f>
        <v/>
      </c>
      <c r="G5" s="20" t="str">
        <f aca="false">IF($B5="","",IFERROR(AVERAGEIFS(Datos_problemas!$AE:$AE,Datos_problemas!$B:$B,$B5,Datos_problemas!$F:$F,"Evaluación",Datos_problemas!$E:$E,"Diagnóstico"),""))</f>
        <v/>
      </c>
      <c r="H5" s="20" t="str">
        <f aca="false">IF($B5="","",IFERROR(AVERAGEIFS(Datos_problemas!$AE:$AE,Datos_problemas!$B:$B,$B5,Datos_problemas!$F:$F,"Evaluación",Datos_problemas!$E:$E,"Final"),""))</f>
        <v/>
      </c>
      <c r="I5" s="21" t="str">
        <f aca="false">IF(OR(G5="",H5=""),"",IF(G5&gt;=10,"",(H5-G5)/(10-G5)))</f>
        <v/>
      </c>
      <c r="J5" s="18" t="str">
        <f aca="false">IF($B5="","",IFERROR(SUMIFS(Datos_items!$Z:$Z,Datos_items!$B:$B,$B5,Datos_items!$O:$O,J$4,Datos_items!$E:$E,Analisis_grupo!$C$4)/COUNTIFS(Datos_items!$B:$B,$B5,Datos_items!$O:$O,J$4,Datos_items!$E:$E,Analisis_grupo!$C$4),""))</f>
        <v/>
      </c>
      <c r="K5" s="18" t="str">
        <f aca="false">IF($B5="","",IFERROR(SUMIFS(Datos_items!$Z:$Z,Datos_items!$B:$B,$B5,Datos_items!$O:$O,K$4,Datos_items!$E:$E,Analisis_grupo!$C$4)/COUNTIFS(Datos_items!$B:$B,$B5,Datos_items!$O:$O,K$4,Datos_items!$E:$E,Analisis_grupo!$C$4),""))</f>
        <v/>
      </c>
      <c r="L5" s="18" t="str">
        <f aca="false">IF($B5="","",IFERROR(SUMIFS(Datos_items!$Z:$Z,Datos_items!$B:$B,$B5,Datos_items!$O:$O,L$4,Datos_items!$E:$E,Analisis_grupo!$C$4)/COUNTIFS(Datos_items!$B:$B,$B5,Datos_items!$O:$O,L$4,Datos_items!$E:$E,Analisis_grupo!$C$4),""))</f>
        <v/>
      </c>
      <c r="M5" s="18" t="str">
        <f aca="false">IF($B5="","",IFERROR(SUMIFS(Datos_items!$Z:$Z,Datos_items!$B:$B,$B5,Datos_items!$O:$O,M$4,Datos_items!$E:$E,Analisis_grupo!$C$4)/COUNTIFS(Datos_items!$B:$B,$B5,Datos_items!$O:$O,M$4,Datos_items!$E:$E,Analisis_grupo!$C$4),""))</f>
        <v/>
      </c>
      <c r="N5" s="18" t="str">
        <f aca="false">IF($B5="","",IFERROR(SUMIFS(Datos_items!$Z:$Z,Datos_items!$B:$B,$B5,Datos_items!$O:$O,N$4,Datos_items!$E:$E,Analisis_grupo!$C$4)/COUNTIFS(Datos_items!$B:$B,$B5,Datos_items!$O:$O,N$4,Datos_items!$E:$E,Analisis_grupo!$C$4),""))</f>
        <v/>
      </c>
      <c r="O5" s="18" t="str">
        <f aca="false">IF($B5="","",IFERROR(SUMIFS(Datos_items!$Z:$Z,Datos_items!$B:$B,$B5,Datos_items!$O:$O,O$4,Datos_items!$E:$E,Analisis_grupo!$C$4)/COUNTIFS(Datos_items!$B:$B,$B5,Datos_items!$O:$O,O$4,Datos_items!$E:$E,Analisis_grupo!$C$4),""))</f>
        <v/>
      </c>
      <c r="P5" s="18" t="str">
        <f aca="false">IF($B5="","",IFERROR(SUMIFS(Datos_items!$Z:$Z,Datos_items!$B:$B,$B5,Datos_items!$O:$O,P$4,Datos_items!$E:$E,Analisis_grupo!$C$4)/COUNTIFS(Datos_items!$B:$B,$B5,Datos_items!$O:$O,P$4,Datos_items!$E:$E,Analisis_grupo!$C$4),""))</f>
        <v/>
      </c>
      <c r="Q5" s="18" t="str">
        <f aca="false">IF($B5="","",IFERROR(SUMIFS(Datos_items!$Z:$Z,Datos_items!$B:$B,$B5,Datos_items!$O:$O,Q$4,Datos_items!$E:$E,Analisis_grupo!$C$4)/COUNTIFS(Datos_items!$B:$B,$B5,Datos_items!$O:$O,Q$4,Datos_items!$E:$E,Analisis_grupo!$C$4),""))</f>
        <v/>
      </c>
      <c r="R5" s="2" t="str">
        <f aca="false">IF(COUNT(J5:Q5)=0,"",IF(MIN(J5:Q5)&gt;=Analisis_grupo!$B$7,"(ninguna)",INDEX($J$4:$Q$4,MATCH(MIN(J5:Q5),J5:Q5,0))))</f>
        <v/>
      </c>
      <c r="S5" s="2" t="str">
        <f aca="false">IF($B5="","",COUNTIF(J5:Q5,"&lt;"&amp;Analisis_grupo!$B$7))</f>
        <v/>
      </c>
      <c r="T5" s="2" t="str">
        <f aca="false">IF($B5="","",COUNTIFS(Datos_items!$B:$B,$B5,Datos_items!$AA:$AA,T$4,Datos_items!$E:$E,Analisis_grupo!$C$4))</f>
        <v/>
      </c>
      <c r="U5" s="2" t="str">
        <f aca="false">IF($B5="","",COUNTIFS(Datos_items!$B:$B,$B5,Datos_items!$AA:$AA,U$4,Datos_items!$E:$E,Analisis_grupo!$C$4))</f>
        <v/>
      </c>
      <c r="V5" s="2" t="str">
        <f aca="false">IF($B5="","",COUNTIFS(Datos_items!$B:$B,$B5,Datos_items!$AA:$AA,V$4,Datos_items!$E:$E,Analisis_grupo!$C$4))</f>
        <v/>
      </c>
      <c r="W5" s="2" t="str">
        <f aca="false">IF($B5="","",COUNTIFS(Datos_items!$B:$B,$B5,Datos_items!$AA:$AA,W$4,Datos_items!$E:$E,Analisis_grupo!$C$4))</f>
        <v/>
      </c>
      <c r="X5" s="2" t="str">
        <f aca="false">IF($B5="","",COUNTIFS(Datos_items!$B:$B,$B5,Datos_items!$AA:$AA,X$4,Datos_items!$E:$E,Analisis_grupo!$C$4))</f>
        <v/>
      </c>
      <c r="Y5" s="2" t="str">
        <f aca="false">IF($B5="","",COUNTIFS(Datos_items!$B:$B,$B5,Datos_items!$AA:$AA,Y$4,Datos_items!$E:$E,Analisis_grupo!$C$4))</f>
        <v/>
      </c>
      <c r="Z5" s="2" t="str">
        <f aca="false">IF($B5="","",COUNTIFS(Datos_items!$B:$B,$B5,Datos_items!$AA:$AA,Z$4,Datos_items!$E:$E,Analisis_grupo!$C$4))</f>
        <v/>
      </c>
      <c r="AA5" s="2" t="str">
        <f aca="false">IF($B5="","",COUNTIFS(Datos_items!$B:$B,$B5,Datos_items!$AA:$AA,AA$4,Datos_items!$E:$E,Analisis_grupo!$C$4))</f>
        <v/>
      </c>
      <c r="AB5" s="2" t="str">
        <f aca="false">IF($B5="","",COUNTIFS(Datos_items!$B:$B,$B5,Datos_items!$AA:$AA,AB$4,Datos_items!$E:$E,Analisis_grupo!$C$4))</f>
        <v/>
      </c>
      <c r="AC5" s="2" t="str">
        <f aca="false">IF($B5="","",COUNTIFS(Datos_items!$B:$B,$B5,Datos_items!$AA:$AA,AC$4,Datos_items!$E:$E,Analisis_grupo!$C$4))</f>
        <v/>
      </c>
      <c r="AD5" s="2" t="str">
        <f aca="false">IF($B5="","",COUNTIFS(Datos_items!$B:$B,$B5,Datos_items!$AA:$AA,AD$4,Datos_items!$E:$E,Analisis_grupo!$C$4))</f>
        <v/>
      </c>
      <c r="AE5" s="2" t="str">
        <f aca="false">IF($B5="","",COUNTIFS(Datos_items!$B:$B,$B5,Datos_items!$AA:$AA,AE$4,Datos_items!$E:$E,Analisis_grupo!$C$4))</f>
        <v/>
      </c>
      <c r="AF5" s="2" t="str">
        <f aca="false">IF($B5="","",COUNTIFS(Datos_items!$B:$B,$B5,Datos_items!$AA:$AA,AF$4,Datos_items!$E:$E,Analisis_grupo!$C$4))</f>
        <v/>
      </c>
      <c r="AG5" s="2" t="str">
        <f aca="false">IF($B5="","",COUNTIFS(Datos_items!$B:$B,$B5,Datos_items!$AA:$AA,AG$4,Datos_items!$E:$E,Analisis_grupo!$C$4))</f>
        <v/>
      </c>
      <c r="AH5" s="2" t="str">
        <f aca="false">IF($B5="","",COUNTIFS(Datos_items!$B:$B,$B5,Datos_items!$AA:$AA,AH$4,Datos_items!$E:$E,Analisis_grupo!$C$4))</f>
        <v/>
      </c>
      <c r="AI5" s="2" t="str">
        <f aca="false">IF($B5="","",COUNTIFS(Datos_items!$B:$B,$B5,Datos_items!$AA:$AA,AI$4,Datos_items!$E:$E,Analisis_grupo!$C$4))</f>
        <v/>
      </c>
      <c r="AJ5" s="2" t="str">
        <f aca="false">IF($B5="","",COUNTIFS(Datos_items!$B:$B,$B5,Datos_items!$AA:$AA,AJ$4,Datos_items!$E:$E,Analisis_grupo!$C$4))</f>
        <v/>
      </c>
      <c r="AK5" s="2" t="str">
        <f aca="false">IF($B5="","",COUNTIFS(Datos_items!$B:$B,$B5,Datos_items!$AA:$AA,AK$4,Datos_items!$E:$E,Analisis_grupo!$C$4))</f>
        <v/>
      </c>
      <c r="AL5" s="2" t="str">
        <f aca="false">IF($B5="","",COUNTIFS(Datos_items!$B:$B,$B5,Datos_items!$AA:$AA,AL$4,Datos_items!$E:$E,Analisis_grupo!$C$4))</f>
        <v/>
      </c>
      <c r="AM5" s="2" t="str">
        <f aca="false">IF($B5="","",IF(MAX(Y5:AL5)=0,"",INDEX($Y$4:$AL$4,MATCH(MAX(Y5:AL5),Y5:AL5,0))))</f>
        <v/>
      </c>
      <c r="AN5" s="2" t="str">
        <f aca="false">IF($B5="","",COUNTIFS(Datos_problemas!$B:$B,$B5,Datos_problemas!$F:$F,"Práctica"))</f>
        <v/>
      </c>
      <c r="AO5" s="2" t="str">
        <f aca="false">IF($B5="","",SUMIFS(Datos_problemas!$AQ:$AQ,Datos_problemas!$B:$B,$B5,Datos_problemas!$F:$F,"Práctica"))</f>
        <v/>
      </c>
      <c r="AP5" s="2" t="str">
        <f aca="false">IF($B5="","",COUNTIFS(Datos_problemas!$B:$B,$B5,Datos_problemas!$F:$F,"Práctica",Datos_problemas!$AS:$AS,"Sí"))</f>
        <v/>
      </c>
    </row>
    <row r="6" customFormat="false" ht="15" hidden="false" customHeight="false" outlineLevel="0" collapsed="false">
      <c r="A6" s="2" t="n">
        <v>2</v>
      </c>
      <c r="B6" s="2" t="str">
        <f aca="false">IFERROR(INDEX(Datos_problemas!$B:$B,MATCH($A6,Datos_problemas!$AV:$AV,0)),"")</f>
        <v/>
      </c>
      <c r="C6" s="2" t="str">
        <f aca="false">IF($B6="","",INDEX(Datos_problemas!$C:$C,MATCH($A6,Datos_problemas!$AV:$AV,0)))</f>
        <v/>
      </c>
      <c r="D6" s="2" t="str">
        <f aca="false">IF($B6="","",INDEX(Datos_problemas!$D:$D,MATCH($A6,Datos_problemas!$AV:$AV,0)))</f>
        <v/>
      </c>
      <c r="E6" s="2" t="str">
        <f aca="false">IF($B6="","",COUNTIFS(Datos_problemas!$B:$B,$B6,Datos_problemas!$F:$F,"Evaluación"))</f>
        <v/>
      </c>
      <c r="F6" s="20" t="str">
        <f aca="false">IF($B6="","",IFERROR(AVERAGEIFS(Datos_problemas!$AE:$AE,Datos_problemas!$B:$B,$B6,Datos_problemas!$F:$F,"Evaluación"),""))</f>
        <v/>
      </c>
      <c r="G6" s="20" t="str">
        <f aca="false">IF($B6="","",IFERROR(AVERAGEIFS(Datos_problemas!$AE:$AE,Datos_problemas!$B:$B,$B6,Datos_problemas!$F:$F,"Evaluación",Datos_problemas!$E:$E,"Diagnóstico"),""))</f>
        <v/>
      </c>
      <c r="H6" s="20" t="str">
        <f aca="false">IF($B6="","",IFERROR(AVERAGEIFS(Datos_problemas!$AE:$AE,Datos_problemas!$B:$B,$B6,Datos_problemas!$F:$F,"Evaluación",Datos_problemas!$E:$E,"Final"),""))</f>
        <v/>
      </c>
      <c r="I6" s="21" t="str">
        <f aca="false">IF(OR(G6="",H6=""),"",IF(G6&gt;=10,"",(H6-G6)/(10-G6)))</f>
        <v/>
      </c>
      <c r="J6" s="18" t="str">
        <f aca="false">IF($B6="","",IFERROR(SUMIFS(Datos_items!$Z:$Z,Datos_items!$B:$B,$B6,Datos_items!$O:$O,J$4,Datos_items!$E:$E,Analisis_grupo!$C$4)/COUNTIFS(Datos_items!$B:$B,$B6,Datos_items!$O:$O,J$4,Datos_items!$E:$E,Analisis_grupo!$C$4),""))</f>
        <v/>
      </c>
      <c r="K6" s="18" t="str">
        <f aca="false">IF($B6="","",IFERROR(SUMIFS(Datos_items!$Z:$Z,Datos_items!$B:$B,$B6,Datos_items!$O:$O,K$4,Datos_items!$E:$E,Analisis_grupo!$C$4)/COUNTIFS(Datos_items!$B:$B,$B6,Datos_items!$O:$O,K$4,Datos_items!$E:$E,Analisis_grupo!$C$4),""))</f>
        <v/>
      </c>
      <c r="L6" s="18" t="str">
        <f aca="false">IF($B6="","",IFERROR(SUMIFS(Datos_items!$Z:$Z,Datos_items!$B:$B,$B6,Datos_items!$O:$O,L$4,Datos_items!$E:$E,Analisis_grupo!$C$4)/COUNTIFS(Datos_items!$B:$B,$B6,Datos_items!$O:$O,L$4,Datos_items!$E:$E,Analisis_grupo!$C$4),""))</f>
        <v/>
      </c>
      <c r="M6" s="18" t="str">
        <f aca="false">IF($B6="","",IFERROR(SUMIFS(Datos_items!$Z:$Z,Datos_items!$B:$B,$B6,Datos_items!$O:$O,M$4,Datos_items!$E:$E,Analisis_grupo!$C$4)/COUNTIFS(Datos_items!$B:$B,$B6,Datos_items!$O:$O,M$4,Datos_items!$E:$E,Analisis_grupo!$C$4),""))</f>
        <v/>
      </c>
      <c r="N6" s="18" t="str">
        <f aca="false">IF($B6="","",IFERROR(SUMIFS(Datos_items!$Z:$Z,Datos_items!$B:$B,$B6,Datos_items!$O:$O,N$4,Datos_items!$E:$E,Analisis_grupo!$C$4)/COUNTIFS(Datos_items!$B:$B,$B6,Datos_items!$O:$O,N$4,Datos_items!$E:$E,Analisis_grupo!$C$4),""))</f>
        <v/>
      </c>
      <c r="O6" s="18" t="str">
        <f aca="false">IF($B6="","",IFERROR(SUMIFS(Datos_items!$Z:$Z,Datos_items!$B:$B,$B6,Datos_items!$O:$O,O$4,Datos_items!$E:$E,Analisis_grupo!$C$4)/COUNTIFS(Datos_items!$B:$B,$B6,Datos_items!$O:$O,O$4,Datos_items!$E:$E,Analisis_grupo!$C$4),""))</f>
        <v/>
      </c>
      <c r="P6" s="18" t="str">
        <f aca="false">IF($B6="","",IFERROR(SUMIFS(Datos_items!$Z:$Z,Datos_items!$B:$B,$B6,Datos_items!$O:$O,P$4,Datos_items!$E:$E,Analisis_grupo!$C$4)/COUNTIFS(Datos_items!$B:$B,$B6,Datos_items!$O:$O,P$4,Datos_items!$E:$E,Analisis_grupo!$C$4),""))</f>
        <v/>
      </c>
      <c r="Q6" s="18" t="str">
        <f aca="false">IF($B6="","",IFERROR(SUMIFS(Datos_items!$Z:$Z,Datos_items!$B:$B,$B6,Datos_items!$O:$O,Q$4,Datos_items!$E:$E,Analisis_grupo!$C$4)/COUNTIFS(Datos_items!$B:$B,$B6,Datos_items!$O:$O,Q$4,Datos_items!$E:$E,Analisis_grupo!$C$4),""))</f>
        <v/>
      </c>
      <c r="R6" s="2" t="str">
        <f aca="false">IF(COUNT(J6:Q6)=0,"",IF(MIN(J6:Q6)&gt;=Analisis_grupo!$B$7,"(ninguna)",INDEX($J$4:$Q$4,MATCH(MIN(J6:Q6),J6:Q6,0))))</f>
        <v/>
      </c>
      <c r="S6" s="2" t="str">
        <f aca="false">IF($B6="","",COUNTIF(J6:Q6,"&lt;"&amp;Analisis_grupo!$B$7))</f>
        <v/>
      </c>
      <c r="T6" s="2" t="str">
        <f aca="false">IF($B6="","",COUNTIFS(Datos_items!$B:$B,$B6,Datos_items!$AA:$AA,T$4,Datos_items!$E:$E,Analisis_grupo!$C$4))</f>
        <v/>
      </c>
      <c r="U6" s="2" t="str">
        <f aca="false">IF($B6="","",COUNTIFS(Datos_items!$B:$B,$B6,Datos_items!$AA:$AA,U$4,Datos_items!$E:$E,Analisis_grupo!$C$4))</f>
        <v/>
      </c>
      <c r="V6" s="2" t="str">
        <f aca="false">IF($B6="","",COUNTIFS(Datos_items!$B:$B,$B6,Datos_items!$AA:$AA,V$4,Datos_items!$E:$E,Analisis_grupo!$C$4))</f>
        <v/>
      </c>
      <c r="W6" s="2" t="str">
        <f aca="false">IF($B6="","",COUNTIFS(Datos_items!$B:$B,$B6,Datos_items!$AA:$AA,W$4,Datos_items!$E:$E,Analisis_grupo!$C$4))</f>
        <v/>
      </c>
      <c r="X6" s="2" t="str">
        <f aca="false">IF($B6="","",COUNTIFS(Datos_items!$B:$B,$B6,Datos_items!$AA:$AA,X$4,Datos_items!$E:$E,Analisis_grupo!$C$4))</f>
        <v/>
      </c>
      <c r="Y6" s="2" t="str">
        <f aca="false">IF($B6="","",COUNTIFS(Datos_items!$B:$B,$B6,Datos_items!$AA:$AA,Y$4,Datos_items!$E:$E,Analisis_grupo!$C$4))</f>
        <v/>
      </c>
      <c r="Z6" s="2" t="str">
        <f aca="false">IF($B6="","",COUNTIFS(Datos_items!$B:$B,$B6,Datos_items!$AA:$AA,Z$4,Datos_items!$E:$E,Analisis_grupo!$C$4))</f>
        <v/>
      </c>
      <c r="AA6" s="2" t="str">
        <f aca="false">IF($B6="","",COUNTIFS(Datos_items!$B:$B,$B6,Datos_items!$AA:$AA,AA$4,Datos_items!$E:$E,Analisis_grupo!$C$4))</f>
        <v/>
      </c>
      <c r="AB6" s="2" t="str">
        <f aca="false">IF($B6="","",COUNTIFS(Datos_items!$B:$B,$B6,Datos_items!$AA:$AA,AB$4,Datos_items!$E:$E,Analisis_grupo!$C$4))</f>
        <v/>
      </c>
      <c r="AC6" s="2" t="str">
        <f aca="false">IF($B6="","",COUNTIFS(Datos_items!$B:$B,$B6,Datos_items!$AA:$AA,AC$4,Datos_items!$E:$E,Analisis_grupo!$C$4))</f>
        <v/>
      </c>
      <c r="AD6" s="2" t="str">
        <f aca="false">IF($B6="","",COUNTIFS(Datos_items!$B:$B,$B6,Datos_items!$AA:$AA,AD$4,Datos_items!$E:$E,Analisis_grupo!$C$4))</f>
        <v/>
      </c>
      <c r="AE6" s="2" t="str">
        <f aca="false">IF($B6="","",COUNTIFS(Datos_items!$B:$B,$B6,Datos_items!$AA:$AA,AE$4,Datos_items!$E:$E,Analisis_grupo!$C$4))</f>
        <v/>
      </c>
      <c r="AF6" s="2" t="str">
        <f aca="false">IF($B6="","",COUNTIFS(Datos_items!$B:$B,$B6,Datos_items!$AA:$AA,AF$4,Datos_items!$E:$E,Analisis_grupo!$C$4))</f>
        <v/>
      </c>
      <c r="AG6" s="2" t="str">
        <f aca="false">IF($B6="","",COUNTIFS(Datos_items!$B:$B,$B6,Datos_items!$AA:$AA,AG$4,Datos_items!$E:$E,Analisis_grupo!$C$4))</f>
        <v/>
      </c>
      <c r="AH6" s="2" t="str">
        <f aca="false">IF($B6="","",COUNTIFS(Datos_items!$B:$B,$B6,Datos_items!$AA:$AA,AH$4,Datos_items!$E:$E,Analisis_grupo!$C$4))</f>
        <v/>
      </c>
      <c r="AI6" s="2" t="str">
        <f aca="false">IF($B6="","",COUNTIFS(Datos_items!$B:$B,$B6,Datos_items!$AA:$AA,AI$4,Datos_items!$E:$E,Analisis_grupo!$C$4))</f>
        <v/>
      </c>
      <c r="AJ6" s="2" t="str">
        <f aca="false">IF($B6="","",COUNTIFS(Datos_items!$B:$B,$B6,Datos_items!$AA:$AA,AJ$4,Datos_items!$E:$E,Analisis_grupo!$C$4))</f>
        <v/>
      </c>
      <c r="AK6" s="2" t="str">
        <f aca="false">IF($B6="","",COUNTIFS(Datos_items!$B:$B,$B6,Datos_items!$AA:$AA,AK$4,Datos_items!$E:$E,Analisis_grupo!$C$4))</f>
        <v/>
      </c>
      <c r="AL6" s="2" t="str">
        <f aca="false">IF($B6="","",COUNTIFS(Datos_items!$B:$B,$B6,Datos_items!$AA:$AA,AL$4,Datos_items!$E:$E,Analisis_grupo!$C$4))</f>
        <v/>
      </c>
      <c r="AM6" s="2" t="str">
        <f aca="false">IF($B6="","",IF(MAX(Y6:AL6)=0,"",INDEX($Y$4:$AL$4,MATCH(MAX(Y6:AL6),Y6:AL6,0))))</f>
        <v/>
      </c>
      <c r="AN6" s="2" t="str">
        <f aca="false">IF($B6="","",COUNTIFS(Datos_problemas!$B:$B,$B6,Datos_problemas!$F:$F,"Práctica"))</f>
        <v/>
      </c>
      <c r="AO6" s="2" t="str">
        <f aca="false">IF($B6="","",SUMIFS(Datos_problemas!$AQ:$AQ,Datos_problemas!$B:$B,$B6,Datos_problemas!$F:$F,"Práctica"))</f>
        <v/>
      </c>
      <c r="AP6" s="2" t="str">
        <f aca="false">IF($B6="","",COUNTIFS(Datos_problemas!$B:$B,$B6,Datos_problemas!$F:$F,"Práctica",Datos_problemas!$AS:$AS,"Sí"))</f>
        <v/>
      </c>
    </row>
    <row r="7" customFormat="false" ht="15" hidden="false" customHeight="false" outlineLevel="0" collapsed="false">
      <c r="A7" s="2" t="n">
        <v>3</v>
      </c>
      <c r="B7" s="2" t="str">
        <f aca="false">IFERROR(INDEX(Datos_problemas!$B:$B,MATCH($A7,Datos_problemas!$AV:$AV,0)),"")</f>
        <v/>
      </c>
      <c r="C7" s="2" t="str">
        <f aca="false">IF($B7="","",INDEX(Datos_problemas!$C:$C,MATCH($A7,Datos_problemas!$AV:$AV,0)))</f>
        <v/>
      </c>
      <c r="D7" s="2" t="str">
        <f aca="false">IF($B7="","",INDEX(Datos_problemas!$D:$D,MATCH($A7,Datos_problemas!$AV:$AV,0)))</f>
        <v/>
      </c>
      <c r="E7" s="2" t="str">
        <f aca="false">IF($B7="","",COUNTIFS(Datos_problemas!$B:$B,$B7,Datos_problemas!$F:$F,"Evaluación"))</f>
        <v/>
      </c>
      <c r="F7" s="20" t="str">
        <f aca="false">IF($B7="","",IFERROR(AVERAGEIFS(Datos_problemas!$AE:$AE,Datos_problemas!$B:$B,$B7,Datos_problemas!$F:$F,"Evaluación"),""))</f>
        <v/>
      </c>
      <c r="G7" s="20" t="str">
        <f aca="false">IF($B7="","",IFERROR(AVERAGEIFS(Datos_problemas!$AE:$AE,Datos_problemas!$B:$B,$B7,Datos_problemas!$F:$F,"Evaluación",Datos_problemas!$E:$E,"Diagnóstico"),""))</f>
        <v/>
      </c>
      <c r="H7" s="20" t="str">
        <f aca="false">IF($B7="","",IFERROR(AVERAGEIFS(Datos_problemas!$AE:$AE,Datos_problemas!$B:$B,$B7,Datos_problemas!$F:$F,"Evaluación",Datos_problemas!$E:$E,"Final"),""))</f>
        <v/>
      </c>
      <c r="I7" s="21" t="str">
        <f aca="false">IF(OR(G7="",H7=""),"",IF(G7&gt;=10,"",(H7-G7)/(10-G7)))</f>
        <v/>
      </c>
      <c r="J7" s="18" t="str">
        <f aca="false">IF($B7="","",IFERROR(SUMIFS(Datos_items!$Z:$Z,Datos_items!$B:$B,$B7,Datos_items!$O:$O,J$4,Datos_items!$E:$E,Analisis_grupo!$C$4)/COUNTIFS(Datos_items!$B:$B,$B7,Datos_items!$O:$O,J$4,Datos_items!$E:$E,Analisis_grupo!$C$4),""))</f>
        <v/>
      </c>
      <c r="K7" s="18" t="str">
        <f aca="false">IF($B7="","",IFERROR(SUMIFS(Datos_items!$Z:$Z,Datos_items!$B:$B,$B7,Datos_items!$O:$O,K$4,Datos_items!$E:$E,Analisis_grupo!$C$4)/COUNTIFS(Datos_items!$B:$B,$B7,Datos_items!$O:$O,K$4,Datos_items!$E:$E,Analisis_grupo!$C$4),""))</f>
        <v/>
      </c>
      <c r="L7" s="18" t="str">
        <f aca="false">IF($B7="","",IFERROR(SUMIFS(Datos_items!$Z:$Z,Datos_items!$B:$B,$B7,Datos_items!$O:$O,L$4,Datos_items!$E:$E,Analisis_grupo!$C$4)/COUNTIFS(Datos_items!$B:$B,$B7,Datos_items!$O:$O,L$4,Datos_items!$E:$E,Analisis_grupo!$C$4),""))</f>
        <v/>
      </c>
      <c r="M7" s="18" t="str">
        <f aca="false">IF($B7="","",IFERROR(SUMIFS(Datos_items!$Z:$Z,Datos_items!$B:$B,$B7,Datos_items!$O:$O,M$4,Datos_items!$E:$E,Analisis_grupo!$C$4)/COUNTIFS(Datos_items!$B:$B,$B7,Datos_items!$O:$O,M$4,Datos_items!$E:$E,Analisis_grupo!$C$4),""))</f>
        <v/>
      </c>
      <c r="N7" s="18" t="str">
        <f aca="false">IF($B7="","",IFERROR(SUMIFS(Datos_items!$Z:$Z,Datos_items!$B:$B,$B7,Datos_items!$O:$O,N$4,Datos_items!$E:$E,Analisis_grupo!$C$4)/COUNTIFS(Datos_items!$B:$B,$B7,Datos_items!$O:$O,N$4,Datos_items!$E:$E,Analisis_grupo!$C$4),""))</f>
        <v/>
      </c>
      <c r="O7" s="18" t="str">
        <f aca="false">IF($B7="","",IFERROR(SUMIFS(Datos_items!$Z:$Z,Datos_items!$B:$B,$B7,Datos_items!$O:$O,O$4,Datos_items!$E:$E,Analisis_grupo!$C$4)/COUNTIFS(Datos_items!$B:$B,$B7,Datos_items!$O:$O,O$4,Datos_items!$E:$E,Analisis_grupo!$C$4),""))</f>
        <v/>
      </c>
      <c r="P7" s="18" t="str">
        <f aca="false">IF($B7="","",IFERROR(SUMIFS(Datos_items!$Z:$Z,Datos_items!$B:$B,$B7,Datos_items!$O:$O,P$4,Datos_items!$E:$E,Analisis_grupo!$C$4)/COUNTIFS(Datos_items!$B:$B,$B7,Datos_items!$O:$O,P$4,Datos_items!$E:$E,Analisis_grupo!$C$4),""))</f>
        <v/>
      </c>
      <c r="Q7" s="18" t="str">
        <f aca="false">IF($B7="","",IFERROR(SUMIFS(Datos_items!$Z:$Z,Datos_items!$B:$B,$B7,Datos_items!$O:$O,Q$4,Datos_items!$E:$E,Analisis_grupo!$C$4)/COUNTIFS(Datos_items!$B:$B,$B7,Datos_items!$O:$O,Q$4,Datos_items!$E:$E,Analisis_grupo!$C$4),""))</f>
        <v/>
      </c>
      <c r="R7" s="2" t="str">
        <f aca="false">IF(COUNT(J7:Q7)=0,"",IF(MIN(J7:Q7)&gt;=Analisis_grupo!$B$7,"(ninguna)",INDEX($J$4:$Q$4,MATCH(MIN(J7:Q7),J7:Q7,0))))</f>
        <v/>
      </c>
      <c r="S7" s="2" t="str">
        <f aca="false">IF($B7="","",COUNTIF(J7:Q7,"&lt;"&amp;Analisis_grupo!$B$7))</f>
        <v/>
      </c>
      <c r="T7" s="2" t="str">
        <f aca="false">IF($B7="","",COUNTIFS(Datos_items!$B:$B,$B7,Datos_items!$AA:$AA,T$4,Datos_items!$E:$E,Analisis_grupo!$C$4))</f>
        <v/>
      </c>
      <c r="U7" s="2" t="str">
        <f aca="false">IF($B7="","",COUNTIFS(Datos_items!$B:$B,$B7,Datos_items!$AA:$AA,U$4,Datos_items!$E:$E,Analisis_grupo!$C$4))</f>
        <v/>
      </c>
      <c r="V7" s="2" t="str">
        <f aca="false">IF($B7="","",COUNTIFS(Datos_items!$B:$B,$B7,Datos_items!$AA:$AA,V$4,Datos_items!$E:$E,Analisis_grupo!$C$4))</f>
        <v/>
      </c>
      <c r="W7" s="2" t="str">
        <f aca="false">IF($B7="","",COUNTIFS(Datos_items!$B:$B,$B7,Datos_items!$AA:$AA,W$4,Datos_items!$E:$E,Analisis_grupo!$C$4))</f>
        <v/>
      </c>
      <c r="X7" s="2" t="str">
        <f aca="false">IF($B7="","",COUNTIFS(Datos_items!$B:$B,$B7,Datos_items!$AA:$AA,X$4,Datos_items!$E:$E,Analisis_grupo!$C$4))</f>
        <v/>
      </c>
      <c r="Y7" s="2" t="str">
        <f aca="false">IF($B7="","",COUNTIFS(Datos_items!$B:$B,$B7,Datos_items!$AA:$AA,Y$4,Datos_items!$E:$E,Analisis_grupo!$C$4))</f>
        <v/>
      </c>
      <c r="Z7" s="2" t="str">
        <f aca="false">IF($B7="","",COUNTIFS(Datos_items!$B:$B,$B7,Datos_items!$AA:$AA,Z$4,Datos_items!$E:$E,Analisis_grupo!$C$4))</f>
        <v/>
      </c>
      <c r="AA7" s="2" t="str">
        <f aca="false">IF($B7="","",COUNTIFS(Datos_items!$B:$B,$B7,Datos_items!$AA:$AA,AA$4,Datos_items!$E:$E,Analisis_grupo!$C$4))</f>
        <v/>
      </c>
      <c r="AB7" s="2" t="str">
        <f aca="false">IF($B7="","",COUNTIFS(Datos_items!$B:$B,$B7,Datos_items!$AA:$AA,AB$4,Datos_items!$E:$E,Analisis_grupo!$C$4))</f>
        <v/>
      </c>
      <c r="AC7" s="2" t="str">
        <f aca="false">IF($B7="","",COUNTIFS(Datos_items!$B:$B,$B7,Datos_items!$AA:$AA,AC$4,Datos_items!$E:$E,Analisis_grupo!$C$4))</f>
        <v/>
      </c>
      <c r="AD7" s="2" t="str">
        <f aca="false">IF($B7="","",COUNTIFS(Datos_items!$B:$B,$B7,Datos_items!$AA:$AA,AD$4,Datos_items!$E:$E,Analisis_grupo!$C$4))</f>
        <v/>
      </c>
      <c r="AE7" s="2" t="str">
        <f aca="false">IF($B7="","",COUNTIFS(Datos_items!$B:$B,$B7,Datos_items!$AA:$AA,AE$4,Datos_items!$E:$E,Analisis_grupo!$C$4))</f>
        <v/>
      </c>
      <c r="AF7" s="2" t="str">
        <f aca="false">IF($B7="","",COUNTIFS(Datos_items!$B:$B,$B7,Datos_items!$AA:$AA,AF$4,Datos_items!$E:$E,Analisis_grupo!$C$4))</f>
        <v/>
      </c>
      <c r="AG7" s="2" t="str">
        <f aca="false">IF($B7="","",COUNTIFS(Datos_items!$B:$B,$B7,Datos_items!$AA:$AA,AG$4,Datos_items!$E:$E,Analisis_grupo!$C$4))</f>
        <v/>
      </c>
      <c r="AH7" s="2" t="str">
        <f aca="false">IF($B7="","",COUNTIFS(Datos_items!$B:$B,$B7,Datos_items!$AA:$AA,AH$4,Datos_items!$E:$E,Analisis_grupo!$C$4))</f>
        <v/>
      </c>
      <c r="AI7" s="2" t="str">
        <f aca="false">IF($B7="","",COUNTIFS(Datos_items!$B:$B,$B7,Datos_items!$AA:$AA,AI$4,Datos_items!$E:$E,Analisis_grupo!$C$4))</f>
        <v/>
      </c>
      <c r="AJ7" s="2" t="str">
        <f aca="false">IF($B7="","",COUNTIFS(Datos_items!$B:$B,$B7,Datos_items!$AA:$AA,AJ$4,Datos_items!$E:$E,Analisis_grupo!$C$4))</f>
        <v/>
      </c>
      <c r="AK7" s="2" t="str">
        <f aca="false">IF($B7="","",COUNTIFS(Datos_items!$B:$B,$B7,Datos_items!$AA:$AA,AK$4,Datos_items!$E:$E,Analisis_grupo!$C$4))</f>
        <v/>
      </c>
      <c r="AL7" s="2" t="str">
        <f aca="false">IF($B7="","",COUNTIFS(Datos_items!$B:$B,$B7,Datos_items!$AA:$AA,AL$4,Datos_items!$E:$E,Analisis_grupo!$C$4))</f>
        <v/>
      </c>
      <c r="AM7" s="2" t="str">
        <f aca="false">IF($B7="","",IF(MAX(Y7:AL7)=0,"",INDEX($Y$4:$AL$4,MATCH(MAX(Y7:AL7),Y7:AL7,0))))</f>
        <v/>
      </c>
      <c r="AN7" s="2" t="str">
        <f aca="false">IF($B7="","",COUNTIFS(Datos_problemas!$B:$B,$B7,Datos_problemas!$F:$F,"Práctica"))</f>
        <v/>
      </c>
      <c r="AO7" s="2" t="str">
        <f aca="false">IF($B7="","",SUMIFS(Datos_problemas!$AQ:$AQ,Datos_problemas!$B:$B,$B7,Datos_problemas!$F:$F,"Práctica"))</f>
        <v/>
      </c>
      <c r="AP7" s="2" t="str">
        <f aca="false">IF($B7="","",COUNTIFS(Datos_problemas!$B:$B,$B7,Datos_problemas!$F:$F,"Práctica",Datos_problemas!$AS:$AS,"Sí"))</f>
        <v/>
      </c>
    </row>
    <row r="8" customFormat="false" ht="15" hidden="false" customHeight="false" outlineLevel="0" collapsed="false">
      <c r="A8" s="2" t="n">
        <v>4</v>
      </c>
      <c r="B8" s="2" t="str">
        <f aca="false">IFERROR(INDEX(Datos_problemas!$B:$B,MATCH($A8,Datos_problemas!$AV:$AV,0)),"")</f>
        <v/>
      </c>
      <c r="C8" s="2" t="str">
        <f aca="false">IF($B8="","",INDEX(Datos_problemas!$C:$C,MATCH($A8,Datos_problemas!$AV:$AV,0)))</f>
        <v/>
      </c>
      <c r="D8" s="2" t="str">
        <f aca="false">IF($B8="","",INDEX(Datos_problemas!$D:$D,MATCH($A8,Datos_problemas!$AV:$AV,0)))</f>
        <v/>
      </c>
      <c r="E8" s="2" t="str">
        <f aca="false">IF($B8="","",COUNTIFS(Datos_problemas!$B:$B,$B8,Datos_problemas!$F:$F,"Evaluación"))</f>
        <v/>
      </c>
      <c r="F8" s="20" t="str">
        <f aca="false">IF($B8="","",IFERROR(AVERAGEIFS(Datos_problemas!$AE:$AE,Datos_problemas!$B:$B,$B8,Datos_problemas!$F:$F,"Evaluación"),""))</f>
        <v/>
      </c>
      <c r="G8" s="20" t="str">
        <f aca="false">IF($B8="","",IFERROR(AVERAGEIFS(Datos_problemas!$AE:$AE,Datos_problemas!$B:$B,$B8,Datos_problemas!$F:$F,"Evaluación",Datos_problemas!$E:$E,"Diagnóstico"),""))</f>
        <v/>
      </c>
      <c r="H8" s="20" t="str">
        <f aca="false">IF($B8="","",IFERROR(AVERAGEIFS(Datos_problemas!$AE:$AE,Datos_problemas!$B:$B,$B8,Datos_problemas!$F:$F,"Evaluación",Datos_problemas!$E:$E,"Final"),""))</f>
        <v/>
      </c>
      <c r="I8" s="21" t="str">
        <f aca="false">IF(OR(G8="",H8=""),"",IF(G8&gt;=10,"",(H8-G8)/(10-G8)))</f>
        <v/>
      </c>
      <c r="J8" s="18" t="str">
        <f aca="false">IF($B8="","",IFERROR(SUMIFS(Datos_items!$Z:$Z,Datos_items!$B:$B,$B8,Datos_items!$O:$O,J$4,Datos_items!$E:$E,Analisis_grupo!$C$4)/COUNTIFS(Datos_items!$B:$B,$B8,Datos_items!$O:$O,J$4,Datos_items!$E:$E,Analisis_grupo!$C$4),""))</f>
        <v/>
      </c>
      <c r="K8" s="18" t="str">
        <f aca="false">IF($B8="","",IFERROR(SUMIFS(Datos_items!$Z:$Z,Datos_items!$B:$B,$B8,Datos_items!$O:$O,K$4,Datos_items!$E:$E,Analisis_grupo!$C$4)/COUNTIFS(Datos_items!$B:$B,$B8,Datos_items!$O:$O,K$4,Datos_items!$E:$E,Analisis_grupo!$C$4),""))</f>
        <v/>
      </c>
      <c r="L8" s="18" t="str">
        <f aca="false">IF($B8="","",IFERROR(SUMIFS(Datos_items!$Z:$Z,Datos_items!$B:$B,$B8,Datos_items!$O:$O,L$4,Datos_items!$E:$E,Analisis_grupo!$C$4)/COUNTIFS(Datos_items!$B:$B,$B8,Datos_items!$O:$O,L$4,Datos_items!$E:$E,Analisis_grupo!$C$4),""))</f>
        <v/>
      </c>
      <c r="M8" s="18" t="str">
        <f aca="false">IF($B8="","",IFERROR(SUMIFS(Datos_items!$Z:$Z,Datos_items!$B:$B,$B8,Datos_items!$O:$O,M$4,Datos_items!$E:$E,Analisis_grupo!$C$4)/COUNTIFS(Datos_items!$B:$B,$B8,Datos_items!$O:$O,M$4,Datos_items!$E:$E,Analisis_grupo!$C$4),""))</f>
        <v/>
      </c>
      <c r="N8" s="18" t="str">
        <f aca="false">IF($B8="","",IFERROR(SUMIFS(Datos_items!$Z:$Z,Datos_items!$B:$B,$B8,Datos_items!$O:$O,N$4,Datos_items!$E:$E,Analisis_grupo!$C$4)/COUNTIFS(Datos_items!$B:$B,$B8,Datos_items!$O:$O,N$4,Datos_items!$E:$E,Analisis_grupo!$C$4),""))</f>
        <v/>
      </c>
      <c r="O8" s="18" t="str">
        <f aca="false">IF($B8="","",IFERROR(SUMIFS(Datos_items!$Z:$Z,Datos_items!$B:$B,$B8,Datos_items!$O:$O,O$4,Datos_items!$E:$E,Analisis_grupo!$C$4)/COUNTIFS(Datos_items!$B:$B,$B8,Datos_items!$O:$O,O$4,Datos_items!$E:$E,Analisis_grupo!$C$4),""))</f>
        <v/>
      </c>
      <c r="P8" s="18" t="str">
        <f aca="false">IF($B8="","",IFERROR(SUMIFS(Datos_items!$Z:$Z,Datos_items!$B:$B,$B8,Datos_items!$O:$O,P$4,Datos_items!$E:$E,Analisis_grupo!$C$4)/COUNTIFS(Datos_items!$B:$B,$B8,Datos_items!$O:$O,P$4,Datos_items!$E:$E,Analisis_grupo!$C$4),""))</f>
        <v/>
      </c>
      <c r="Q8" s="18" t="str">
        <f aca="false">IF($B8="","",IFERROR(SUMIFS(Datos_items!$Z:$Z,Datos_items!$B:$B,$B8,Datos_items!$O:$O,Q$4,Datos_items!$E:$E,Analisis_grupo!$C$4)/COUNTIFS(Datos_items!$B:$B,$B8,Datos_items!$O:$O,Q$4,Datos_items!$E:$E,Analisis_grupo!$C$4),""))</f>
        <v/>
      </c>
      <c r="R8" s="2" t="str">
        <f aca="false">IF(COUNT(J8:Q8)=0,"",IF(MIN(J8:Q8)&gt;=Analisis_grupo!$B$7,"(ninguna)",INDEX($J$4:$Q$4,MATCH(MIN(J8:Q8),J8:Q8,0))))</f>
        <v/>
      </c>
      <c r="S8" s="2" t="str">
        <f aca="false">IF($B8="","",COUNTIF(J8:Q8,"&lt;"&amp;Analisis_grupo!$B$7))</f>
        <v/>
      </c>
      <c r="T8" s="2" t="str">
        <f aca="false">IF($B8="","",COUNTIFS(Datos_items!$B:$B,$B8,Datos_items!$AA:$AA,T$4,Datos_items!$E:$E,Analisis_grupo!$C$4))</f>
        <v/>
      </c>
      <c r="U8" s="2" t="str">
        <f aca="false">IF($B8="","",COUNTIFS(Datos_items!$B:$B,$B8,Datos_items!$AA:$AA,U$4,Datos_items!$E:$E,Analisis_grupo!$C$4))</f>
        <v/>
      </c>
      <c r="V8" s="2" t="str">
        <f aca="false">IF($B8="","",COUNTIFS(Datos_items!$B:$B,$B8,Datos_items!$AA:$AA,V$4,Datos_items!$E:$E,Analisis_grupo!$C$4))</f>
        <v/>
      </c>
      <c r="W8" s="2" t="str">
        <f aca="false">IF($B8="","",COUNTIFS(Datos_items!$B:$B,$B8,Datos_items!$AA:$AA,W$4,Datos_items!$E:$E,Analisis_grupo!$C$4))</f>
        <v/>
      </c>
      <c r="X8" s="2" t="str">
        <f aca="false">IF($B8="","",COUNTIFS(Datos_items!$B:$B,$B8,Datos_items!$AA:$AA,X$4,Datos_items!$E:$E,Analisis_grupo!$C$4))</f>
        <v/>
      </c>
      <c r="Y8" s="2" t="str">
        <f aca="false">IF($B8="","",COUNTIFS(Datos_items!$B:$B,$B8,Datos_items!$AA:$AA,Y$4,Datos_items!$E:$E,Analisis_grupo!$C$4))</f>
        <v/>
      </c>
      <c r="Z8" s="2" t="str">
        <f aca="false">IF($B8="","",COUNTIFS(Datos_items!$B:$B,$B8,Datos_items!$AA:$AA,Z$4,Datos_items!$E:$E,Analisis_grupo!$C$4))</f>
        <v/>
      </c>
      <c r="AA8" s="2" t="str">
        <f aca="false">IF($B8="","",COUNTIFS(Datos_items!$B:$B,$B8,Datos_items!$AA:$AA,AA$4,Datos_items!$E:$E,Analisis_grupo!$C$4))</f>
        <v/>
      </c>
      <c r="AB8" s="2" t="str">
        <f aca="false">IF($B8="","",COUNTIFS(Datos_items!$B:$B,$B8,Datos_items!$AA:$AA,AB$4,Datos_items!$E:$E,Analisis_grupo!$C$4))</f>
        <v/>
      </c>
      <c r="AC8" s="2" t="str">
        <f aca="false">IF($B8="","",COUNTIFS(Datos_items!$B:$B,$B8,Datos_items!$AA:$AA,AC$4,Datos_items!$E:$E,Analisis_grupo!$C$4))</f>
        <v/>
      </c>
      <c r="AD8" s="2" t="str">
        <f aca="false">IF($B8="","",COUNTIFS(Datos_items!$B:$B,$B8,Datos_items!$AA:$AA,AD$4,Datos_items!$E:$E,Analisis_grupo!$C$4))</f>
        <v/>
      </c>
      <c r="AE8" s="2" t="str">
        <f aca="false">IF($B8="","",COUNTIFS(Datos_items!$B:$B,$B8,Datos_items!$AA:$AA,AE$4,Datos_items!$E:$E,Analisis_grupo!$C$4))</f>
        <v/>
      </c>
      <c r="AF8" s="2" t="str">
        <f aca="false">IF($B8="","",COUNTIFS(Datos_items!$B:$B,$B8,Datos_items!$AA:$AA,AF$4,Datos_items!$E:$E,Analisis_grupo!$C$4))</f>
        <v/>
      </c>
      <c r="AG8" s="2" t="str">
        <f aca="false">IF($B8="","",COUNTIFS(Datos_items!$B:$B,$B8,Datos_items!$AA:$AA,AG$4,Datos_items!$E:$E,Analisis_grupo!$C$4))</f>
        <v/>
      </c>
      <c r="AH8" s="2" t="str">
        <f aca="false">IF($B8="","",COUNTIFS(Datos_items!$B:$B,$B8,Datos_items!$AA:$AA,AH$4,Datos_items!$E:$E,Analisis_grupo!$C$4))</f>
        <v/>
      </c>
      <c r="AI8" s="2" t="str">
        <f aca="false">IF($B8="","",COUNTIFS(Datos_items!$B:$B,$B8,Datos_items!$AA:$AA,AI$4,Datos_items!$E:$E,Analisis_grupo!$C$4))</f>
        <v/>
      </c>
      <c r="AJ8" s="2" t="str">
        <f aca="false">IF($B8="","",COUNTIFS(Datos_items!$B:$B,$B8,Datos_items!$AA:$AA,AJ$4,Datos_items!$E:$E,Analisis_grupo!$C$4))</f>
        <v/>
      </c>
      <c r="AK8" s="2" t="str">
        <f aca="false">IF($B8="","",COUNTIFS(Datos_items!$B:$B,$B8,Datos_items!$AA:$AA,AK$4,Datos_items!$E:$E,Analisis_grupo!$C$4))</f>
        <v/>
      </c>
      <c r="AL8" s="2" t="str">
        <f aca="false">IF($B8="","",COUNTIFS(Datos_items!$B:$B,$B8,Datos_items!$AA:$AA,AL$4,Datos_items!$E:$E,Analisis_grupo!$C$4))</f>
        <v/>
      </c>
      <c r="AM8" s="2" t="str">
        <f aca="false">IF($B8="","",IF(MAX(Y8:AL8)=0,"",INDEX($Y$4:$AL$4,MATCH(MAX(Y8:AL8),Y8:AL8,0))))</f>
        <v/>
      </c>
      <c r="AN8" s="2" t="str">
        <f aca="false">IF($B8="","",COUNTIFS(Datos_problemas!$B:$B,$B8,Datos_problemas!$F:$F,"Práctica"))</f>
        <v/>
      </c>
      <c r="AO8" s="2" t="str">
        <f aca="false">IF($B8="","",SUMIFS(Datos_problemas!$AQ:$AQ,Datos_problemas!$B:$B,$B8,Datos_problemas!$F:$F,"Práctica"))</f>
        <v/>
      </c>
      <c r="AP8" s="2" t="str">
        <f aca="false">IF($B8="","",COUNTIFS(Datos_problemas!$B:$B,$B8,Datos_problemas!$F:$F,"Práctica",Datos_problemas!$AS:$AS,"Sí"))</f>
        <v/>
      </c>
    </row>
    <row r="9" customFormat="false" ht="15" hidden="false" customHeight="false" outlineLevel="0" collapsed="false">
      <c r="A9" s="2" t="n">
        <v>5</v>
      </c>
      <c r="B9" s="2" t="str">
        <f aca="false">IFERROR(INDEX(Datos_problemas!$B:$B,MATCH($A9,Datos_problemas!$AV:$AV,0)),"")</f>
        <v/>
      </c>
      <c r="C9" s="2" t="str">
        <f aca="false">IF($B9="","",INDEX(Datos_problemas!$C:$C,MATCH($A9,Datos_problemas!$AV:$AV,0)))</f>
        <v/>
      </c>
      <c r="D9" s="2" t="str">
        <f aca="false">IF($B9="","",INDEX(Datos_problemas!$D:$D,MATCH($A9,Datos_problemas!$AV:$AV,0)))</f>
        <v/>
      </c>
      <c r="E9" s="2" t="str">
        <f aca="false">IF($B9="","",COUNTIFS(Datos_problemas!$B:$B,$B9,Datos_problemas!$F:$F,"Evaluación"))</f>
        <v/>
      </c>
      <c r="F9" s="20" t="str">
        <f aca="false">IF($B9="","",IFERROR(AVERAGEIFS(Datos_problemas!$AE:$AE,Datos_problemas!$B:$B,$B9,Datos_problemas!$F:$F,"Evaluación"),""))</f>
        <v/>
      </c>
      <c r="G9" s="20" t="str">
        <f aca="false">IF($B9="","",IFERROR(AVERAGEIFS(Datos_problemas!$AE:$AE,Datos_problemas!$B:$B,$B9,Datos_problemas!$F:$F,"Evaluación",Datos_problemas!$E:$E,"Diagnóstico"),""))</f>
        <v/>
      </c>
      <c r="H9" s="20" t="str">
        <f aca="false">IF($B9="","",IFERROR(AVERAGEIFS(Datos_problemas!$AE:$AE,Datos_problemas!$B:$B,$B9,Datos_problemas!$F:$F,"Evaluación",Datos_problemas!$E:$E,"Final"),""))</f>
        <v/>
      </c>
      <c r="I9" s="21" t="str">
        <f aca="false">IF(OR(G9="",H9=""),"",IF(G9&gt;=10,"",(H9-G9)/(10-G9)))</f>
        <v/>
      </c>
      <c r="J9" s="18" t="str">
        <f aca="false">IF($B9="","",IFERROR(SUMIFS(Datos_items!$Z:$Z,Datos_items!$B:$B,$B9,Datos_items!$O:$O,J$4,Datos_items!$E:$E,Analisis_grupo!$C$4)/COUNTIFS(Datos_items!$B:$B,$B9,Datos_items!$O:$O,J$4,Datos_items!$E:$E,Analisis_grupo!$C$4),""))</f>
        <v/>
      </c>
      <c r="K9" s="18" t="str">
        <f aca="false">IF($B9="","",IFERROR(SUMIFS(Datos_items!$Z:$Z,Datos_items!$B:$B,$B9,Datos_items!$O:$O,K$4,Datos_items!$E:$E,Analisis_grupo!$C$4)/COUNTIFS(Datos_items!$B:$B,$B9,Datos_items!$O:$O,K$4,Datos_items!$E:$E,Analisis_grupo!$C$4),""))</f>
        <v/>
      </c>
      <c r="L9" s="18" t="str">
        <f aca="false">IF($B9="","",IFERROR(SUMIFS(Datos_items!$Z:$Z,Datos_items!$B:$B,$B9,Datos_items!$O:$O,L$4,Datos_items!$E:$E,Analisis_grupo!$C$4)/COUNTIFS(Datos_items!$B:$B,$B9,Datos_items!$O:$O,L$4,Datos_items!$E:$E,Analisis_grupo!$C$4),""))</f>
        <v/>
      </c>
      <c r="M9" s="18" t="str">
        <f aca="false">IF($B9="","",IFERROR(SUMIFS(Datos_items!$Z:$Z,Datos_items!$B:$B,$B9,Datos_items!$O:$O,M$4,Datos_items!$E:$E,Analisis_grupo!$C$4)/COUNTIFS(Datos_items!$B:$B,$B9,Datos_items!$O:$O,M$4,Datos_items!$E:$E,Analisis_grupo!$C$4),""))</f>
        <v/>
      </c>
      <c r="N9" s="18" t="str">
        <f aca="false">IF($B9="","",IFERROR(SUMIFS(Datos_items!$Z:$Z,Datos_items!$B:$B,$B9,Datos_items!$O:$O,N$4,Datos_items!$E:$E,Analisis_grupo!$C$4)/COUNTIFS(Datos_items!$B:$B,$B9,Datos_items!$O:$O,N$4,Datos_items!$E:$E,Analisis_grupo!$C$4),""))</f>
        <v/>
      </c>
      <c r="O9" s="18" t="str">
        <f aca="false">IF($B9="","",IFERROR(SUMIFS(Datos_items!$Z:$Z,Datos_items!$B:$B,$B9,Datos_items!$O:$O,O$4,Datos_items!$E:$E,Analisis_grupo!$C$4)/COUNTIFS(Datos_items!$B:$B,$B9,Datos_items!$O:$O,O$4,Datos_items!$E:$E,Analisis_grupo!$C$4),""))</f>
        <v/>
      </c>
      <c r="P9" s="18" t="str">
        <f aca="false">IF($B9="","",IFERROR(SUMIFS(Datos_items!$Z:$Z,Datos_items!$B:$B,$B9,Datos_items!$O:$O,P$4,Datos_items!$E:$E,Analisis_grupo!$C$4)/COUNTIFS(Datos_items!$B:$B,$B9,Datos_items!$O:$O,P$4,Datos_items!$E:$E,Analisis_grupo!$C$4),""))</f>
        <v/>
      </c>
      <c r="Q9" s="18" t="str">
        <f aca="false">IF($B9="","",IFERROR(SUMIFS(Datos_items!$Z:$Z,Datos_items!$B:$B,$B9,Datos_items!$O:$O,Q$4,Datos_items!$E:$E,Analisis_grupo!$C$4)/COUNTIFS(Datos_items!$B:$B,$B9,Datos_items!$O:$O,Q$4,Datos_items!$E:$E,Analisis_grupo!$C$4),""))</f>
        <v/>
      </c>
      <c r="R9" s="2" t="str">
        <f aca="false">IF(COUNT(J9:Q9)=0,"",IF(MIN(J9:Q9)&gt;=Analisis_grupo!$B$7,"(ninguna)",INDEX($J$4:$Q$4,MATCH(MIN(J9:Q9),J9:Q9,0))))</f>
        <v/>
      </c>
      <c r="S9" s="2" t="str">
        <f aca="false">IF($B9="","",COUNTIF(J9:Q9,"&lt;"&amp;Analisis_grupo!$B$7))</f>
        <v/>
      </c>
      <c r="T9" s="2" t="str">
        <f aca="false">IF($B9="","",COUNTIFS(Datos_items!$B:$B,$B9,Datos_items!$AA:$AA,T$4,Datos_items!$E:$E,Analisis_grupo!$C$4))</f>
        <v/>
      </c>
      <c r="U9" s="2" t="str">
        <f aca="false">IF($B9="","",COUNTIFS(Datos_items!$B:$B,$B9,Datos_items!$AA:$AA,U$4,Datos_items!$E:$E,Analisis_grupo!$C$4))</f>
        <v/>
      </c>
      <c r="V9" s="2" t="str">
        <f aca="false">IF($B9="","",COUNTIFS(Datos_items!$B:$B,$B9,Datos_items!$AA:$AA,V$4,Datos_items!$E:$E,Analisis_grupo!$C$4))</f>
        <v/>
      </c>
      <c r="W9" s="2" t="str">
        <f aca="false">IF($B9="","",COUNTIFS(Datos_items!$B:$B,$B9,Datos_items!$AA:$AA,W$4,Datos_items!$E:$E,Analisis_grupo!$C$4))</f>
        <v/>
      </c>
      <c r="X9" s="2" t="str">
        <f aca="false">IF($B9="","",COUNTIFS(Datos_items!$B:$B,$B9,Datos_items!$AA:$AA,X$4,Datos_items!$E:$E,Analisis_grupo!$C$4))</f>
        <v/>
      </c>
      <c r="Y9" s="2" t="str">
        <f aca="false">IF($B9="","",COUNTIFS(Datos_items!$B:$B,$B9,Datos_items!$AA:$AA,Y$4,Datos_items!$E:$E,Analisis_grupo!$C$4))</f>
        <v/>
      </c>
      <c r="Z9" s="2" t="str">
        <f aca="false">IF($B9="","",COUNTIFS(Datos_items!$B:$B,$B9,Datos_items!$AA:$AA,Z$4,Datos_items!$E:$E,Analisis_grupo!$C$4))</f>
        <v/>
      </c>
      <c r="AA9" s="2" t="str">
        <f aca="false">IF($B9="","",COUNTIFS(Datos_items!$B:$B,$B9,Datos_items!$AA:$AA,AA$4,Datos_items!$E:$E,Analisis_grupo!$C$4))</f>
        <v/>
      </c>
      <c r="AB9" s="2" t="str">
        <f aca="false">IF($B9="","",COUNTIFS(Datos_items!$B:$B,$B9,Datos_items!$AA:$AA,AB$4,Datos_items!$E:$E,Analisis_grupo!$C$4))</f>
        <v/>
      </c>
      <c r="AC9" s="2" t="str">
        <f aca="false">IF($B9="","",COUNTIFS(Datos_items!$B:$B,$B9,Datos_items!$AA:$AA,AC$4,Datos_items!$E:$E,Analisis_grupo!$C$4))</f>
        <v/>
      </c>
      <c r="AD9" s="2" t="str">
        <f aca="false">IF($B9="","",COUNTIFS(Datos_items!$B:$B,$B9,Datos_items!$AA:$AA,AD$4,Datos_items!$E:$E,Analisis_grupo!$C$4))</f>
        <v/>
      </c>
      <c r="AE9" s="2" t="str">
        <f aca="false">IF($B9="","",COUNTIFS(Datos_items!$B:$B,$B9,Datos_items!$AA:$AA,AE$4,Datos_items!$E:$E,Analisis_grupo!$C$4))</f>
        <v/>
      </c>
      <c r="AF9" s="2" t="str">
        <f aca="false">IF($B9="","",COUNTIFS(Datos_items!$B:$B,$B9,Datos_items!$AA:$AA,AF$4,Datos_items!$E:$E,Analisis_grupo!$C$4))</f>
        <v/>
      </c>
      <c r="AG9" s="2" t="str">
        <f aca="false">IF($B9="","",COUNTIFS(Datos_items!$B:$B,$B9,Datos_items!$AA:$AA,AG$4,Datos_items!$E:$E,Analisis_grupo!$C$4))</f>
        <v/>
      </c>
      <c r="AH9" s="2" t="str">
        <f aca="false">IF($B9="","",COUNTIFS(Datos_items!$B:$B,$B9,Datos_items!$AA:$AA,AH$4,Datos_items!$E:$E,Analisis_grupo!$C$4))</f>
        <v/>
      </c>
      <c r="AI9" s="2" t="str">
        <f aca="false">IF($B9="","",COUNTIFS(Datos_items!$B:$B,$B9,Datos_items!$AA:$AA,AI$4,Datos_items!$E:$E,Analisis_grupo!$C$4))</f>
        <v/>
      </c>
      <c r="AJ9" s="2" t="str">
        <f aca="false">IF($B9="","",COUNTIFS(Datos_items!$B:$B,$B9,Datos_items!$AA:$AA,AJ$4,Datos_items!$E:$E,Analisis_grupo!$C$4))</f>
        <v/>
      </c>
      <c r="AK9" s="2" t="str">
        <f aca="false">IF($B9="","",COUNTIFS(Datos_items!$B:$B,$B9,Datos_items!$AA:$AA,AK$4,Datos_items!$E:$E,Analisis_grupo!$C$4))</f>
        <v/>
      </c>
      <c r="AL9" s="2" t="str">
        <f aca="false">IF($B9="","",COUNTIFS(Datos_items!$B:$B,$B9,Datos_items!$AA:$AA,AL$4,Datos_items!$E:$E,Analisis_grupo!$C$4))</f>
        <v/>
      </c>
      <c r="AM9" s="2" t="str">
        <f aca="false">IF($B9="","",IF(MAX(Y9:AL9)=0,"",INDEX($Y$4:$AL$4,MATCH(MAX(Y9:AL9),Y9:AL9,0))))</f>
        <v/>
      </c>
      <c r="AN9" s="2" t="str">
        <f aca="false">IF($B9="","",COUNTIFS(Datos_problemas!$B:$B,$B9,Datos_problemas!$F:$F,"Práctica"))</f>
        <v/>
      </c>
      <c r="AO9" s="2" t="str">
        <f aca="false">IF($B9="","",SUMIFS(Datos_problemas!$AQ:$AQ,Datos_problemas!$B:$B,$B9,Datos_problemas!$F:$F,"Práctica"))</f>
        <v/>
      </c>
      <c r="AP9" s="2" t="str">
        <f aca="false">IF($B9="","",COUNTIFS(Datos_problemas!$B:$B,$B9,Datos_problemas!$F:$F,"Práctica",Datos_problemas!$AS:$AS,"Sí"))</f>
        <v/>
      </c>
    </row>
    <row r="10" customFormat="false" ht="15" hidden="false" customHeight="false" outlineLevel="0" collapsed="false">
      <c r="A10" s="2" t="n">
        <v>6</v>
      </c>
      <c r="B10" s="2" t="str">
        <f aca="false">IFERROR(INDEX(Datos_problemas!$B:$B,MATCH($A10,Datos_problemas!$AV:$AV,0)),"")</f>
        <v/>
      </c>
      <c r="C10" s="2" t="str">
        <f aca="false">IF($B10="","",INDEX(Datos_problemas!$C:$C,MATCH($A10,Datos_problemas!$AV:$AV,0)))</f>
        <v/>
      </c>
      <c r="D10" s="2" t="str">
        <f aca="false">IF($B10="","",INDEX(Datos_problemas!$D:$D,MATCH($A10,Datos_problemas!$AV:$AV,0)))</f>
        <v/>
      </c>
      <c r="E10" s="2" t="str">
        <f aca="false">IF($B10="","",COUNTIFS(Datos_problemas!$B:$B,$B10,Datos_problemas!$F:$F,"Evaluación"))</f>
        <v/>
      </c>
      <c r="F10" s="20" t="str">
        <f aca="false">IF($B10="","",IFERROR(AVERAGEIFS(Datos_problemas!$AE:$AE,Datos_problemas!$B:$B,$B10,Datos_problemas!$F:$F,"Evaluación"),""))</f>
        <v/>
      </c>
      <c r="G10" s="20" t="str">
        <f aca="false">IF($B10="","",IFERROR(AVERAGEIFS(Datos_problemas!$AE:$AE,Datos_problemas!$B:$B,$B10,Datos_problemas!$F:$F,"Evaluación",Datos_problemas!$E:$E,"Diagnóstico"),""))</f>
        <v/>
      </c>
      <c r="H10" s="20" t="str">
        <f aca="false">IF($B10="","",IFERROR(AVERAGEIFS(Datos_problemas!$AE:$AE,Datos_problemas!$B:$B,$B10,Datos_problemas!$F:$F,"Evaluación",Datos_problemas!$E:$E,"Final"),""))</f>
        <v/>
      </c>
      <c r="I10" s="21" t="str">
        <f aca="false">IF(OR(G10="",H10=""),"",IF(G10&gt;=10,"",(H10-G10)/(10-G10)))</f>
        <v/>
      </c>
      <c r="J10" s="18" t="str">
        <f aca="false">IF($B10="","",IFERROR(SUMIFS(Datos_items!$Z:$Z,Datos_items!$B:$B,$B10,Datos_items!$O:$O,J$4,Datos_items!$E:$E,Analisis_grupo!$C$4)/COUNTIFS(Datos_items!$B:$B,$B10,Datos_items!$O:$O,J$4,Datos_items!$E:$E,Analisis_grupo!$C$4),""))</f>
        <v/>
      </c>
      <c r="K10" s="18" t="str">
        <f aca="false">IF($B10="","",IFERROR(SUMIFS(Datos_items!$Z:$Z,Datos_items!$B:$B,$B10,Datos_items!$O:$O,K$4,Datos_items!$E:$E,Analisis_grupo!$C$4)/COUNTIFS(Datos_items!$B:$B,$B10,Datos_items!$O:$O,K$4,Datos_items!$E:$E,Analisis_grupo!$C$4),""))</f>
        <v/>
      </c>
      <c r="L10" s="18" t="str">
        <f aca="false">IF($B10="","",IFERROR(SUMIFS(Datos_items!$Z:$Z,Datos_items!$B:$B,$B10,Datos_items!$O:$O,L$4,Datos_items!$E:$E,Analisis_grupo!$C$4)/COUNTIFS(Datos_items!$B:$B,$B10,Datos_items!$O:$O,L$4,Datos_items!$E:$E,Analisis_grupo!$C$4),""))</f>
        <v/>
      </c>
      <c r="M10" s="18" t="str">
        <f aca="false">IF($B10="","",IFERROR(SUMIFS(Datos_items!$Z:$Z,Datos_items!$B:$B,$B10,Datos_items!$O:$O,M$4,Datos_items!$E:$E,Analisis_grupo!$C$4)/COUNTIFS(Datos_items!$B:$B,$B10,Datos_items!$O:$O,M$4,Datos_items!$E:$E,Analisis_grupo!$C$4),""))</f>
        <v/>
      </c>
      <c r="N10" s="18" t="str">
        <f aca="false">IF($B10="","",IFERROR(SUMIFS(Datos_items!$Z:$Z,Datos_items!$B:$B,$B10,Datos_items!$O:$O,N$4,Datos_items!$E:$E,Analisis_grupo!$C$4)/COUNTIFS(Datos_items!$B:$B,$B10,Datos_items!$O:$O,N$4,Datos_items!$E:$E,Analisis_grupo!$C$4),""))</f>
        <v/>
      </c>
      <c r="O10" s="18" t="str">
        <f aca="false">IF($B10="","",IFERROR(SUMIFS(Datos_items!$Z:$Z,Datos_items!$B:$B,$B10,Datos_items!$O:$O,O$4,Datos_items!$E:$E,Analisis_grupo!$C$4)/COUNTIFS(Datos_items!$B:$B,$B10,Datos_items!$O:$O,O$4,Datos_items!$E:$E,Analisis_grupo!$C$4),""))</f>
        <v/>
      </c>
      <c r="P10" s="18" t="str">
        <f aca="false">IF($B10="","",IFERROR(SUMIFS(Datos_items!$Z:$Z,Datos_items!$B:$B,$B10,Datos_items!$O:$O,P$4,Datos_items!$E:$E,Analisis_grupo!$C$4)/COUNTIFS(Datos_items!$B:$B,$B10,Datos_items!$O:$O,P$4,Datos_items!$E:$E,Analisis_grupo!$C$4),""))</f>
        <v/>
      </c>
      <c r="Q10" s="18" t="str">
        <f aca="false">IF($B10="","",IFERROR(SUMIFS(Datos_items!$Z:$Z,Datos_items!$B:$B,$B10,Datos_items!$O:$O,Q$4,Datos_items!$E:$E,Analisis_grupo!$C$4)/COUNTIFS(Datos_items!$B:$B,$B10,Datos_items!$O:$O,Q$4,Datos_items!$E:$E,Analisis_grupo!$C$4),""))</f>
        <v/>
      </c>
      <c r="R10" s="2" t="str">
        <f aca="false">IF(COUNT(J10:Q10)=0,"",IF(MIN(J10:Q10)&gt;=Analisis_grupo!$B$7,"(ninguna)",INDEX($J$4:$Q$4,MATCH(MIN(J10:Q10),J10:Q10,0))))</f>
        <v/>
      </c>
      <c r="S10" s="2" t="str">
        <f aca="false">IF($B10="","",COUNTIF(J10:Q10,"&lt;"&amp;Analisis_grupo!$B$7))</f>
        <v/>
      </c>
      <c r="T10" s="2" t="str">
        <f aca="false">IF($B10="","",COUNTIFS(Datos_items!$B:$B,$B10,Datos_items!$AA:$AA,T$4,Datos_items!$E:$E,Analisis_grupo!$C$4))</f>
        <v/>
      </c>
      <c r="U10" s="2" t="str">
        <f aca="false">IF($B10="","",COUNTIFS(Datos_items!$B:$B,$B10,Datos_items!$AA:$AA,U$4,Datos_items!$E:$E,Analisis_grupo!$C$4))</f>
        <v/>
      </c>
      <c r="V10" s="2" t="str">
        <f aca="false">IF($B10="","",COUNTIFS(Datos_items!$B:$B,$B10,Datos_items!$AA:$AA,V$4,Datos_items!$E:$E,Analisis_grupo!$C$4))</f>
        <v/>
      </c>
      <c r="W10" s="2" t="str">
        <f aca="false">IF($B10="","",COUNTIFS(Datos_items!$B:$B,$B10,Datos_items!$AA:$AA,W$4,Datos_items!$E:$E,Analisis_grupo!$C$4))</f>
        <v/>
      </c>
      <c r="X10" s="2" t="str">
        <f aca="false">IF($B10="","",COUNTIFS(Datos_items!$B:$B,$B10,Datos_items!$AA:$AA,X$4,Datos_items!$E:$E,Analisis_grupo!$C$4))</f>
        <v/>
      </c>
      <c r="Y10" s="2" t="str">
        <f aca="false">IF($B10="","",COUNTIFS(Datos_items!$B:$B,$B10,Datos_items!$AA:$AA,Y$4,Datos_items!$E:$E,Analisis_grupo!$C$4))</f>
        <v/>
      </c>
      <c r="Z10" s="2" t="str">
        <f aca="false">IF($B10="","",COUNTIFS(Datos_items!$B:$B,$B10,Datos_items!$AA:$AA,Z$4,Datos_items!$E:$E,Analisis_grupo!$C$4))</f>
        <v/>
      </c>
      <c r="AA10" s="2" t="str">
        <f aca="false">IF($B10="","",COUNTIFS(Datos_items!$B:$B,$B10,Datos_items!$AA:$AA,AA$4,Datos_items!$E:$E,Analisis_grupo!$C$4))</f>
        <v/>
      </c>
      <c r="AB10" s="2" t="str">
        <f aca="false">IF($B10="","",COUNTIFS(Datos_items!$B:$B,$B10,Datos_items!$AA:$AA,AB$4,Datos_items!$E:$E,Analisis_grupo!$C$4))</f>
        <v/>
      </c>
      <c r="AC10" s="2" t="str">
        <f aca="false">IF($B10="","",COUNTIFS(Datos_items!$B:$B,$B10,Datos_items!$AA:$AA,AC$4,Datos_items!$E:$E,Analisis_grupo!$C$4))</f>
        <v/>
      </c>
      <c r="AD10" s="2" t="str">
        <f aca="false">IF($B10="","",COUNTIFS(Datos_items!$B:$B,$B10,Datos_items!$AA:$AA,AD$4,Datos_items!$E:$E,Analisis_grupo!$C$4))</f>
        <v/>
      </c>
      <c r="AE10" s="2" t="str">
        <f aca="false">IF($B10="","",COUNTIFS(Datos_items!$B:$B,$B10,Datos_items!$AA:$AA,AE$4,Datos_items!$E:$E,Analisis_grupo!$C$4))</f>
        <v/>
      </c>
      <c r="AF10" s="2" t="str">
        <f aca="false">IF($B10="","",COUNTIFS(Datos_items!$B:$B,$B10,Datos_items!$AA:$AA,AF$4,Datos_items!$E:$E,Analisis_grupo!$C$4))</f>
        <v/>
      </c>
      <c r="AG10" s="2" t="str">
        <f aca="false">IF($B10="","",COUNTIFS(Datos_items!$B:$B,$B10,Datos_items!$AA:$AA,AG$4,Datos_items!$E:$E,Analisis_grupo!$C$4))</f>
        <v/>
      </c>
      <c r="AH10" s="2" t="str">
        <f aca="false">IF($B10="","",COUNTIFS(Datos_items!$B:$B,$B10,Datos_items!$AA:$AA,AH$4,Datos_items!$E:$E,Analisis_grupo!$C$4))</f>
        <v/>
      </c>
      <c r="AI10" s="2" t="str">
        <f aca="false">IF($B10="","",COUNTIFS(Datos_items!$B:$B,$B10,Datos_items!$AA:$AA,AI$4,Datos_items!$E:$E,Analisis_grupo!$C$4))</f>
        <v/>
      </c>
      <c r="AJ10" s="2" t="str">
        <f aca="false">IF($B10="","",COUNTIFS(Datos_items!$B:$B,$B10,Datos_items!$AA:$AA,AJ$4,Datos_items!$E:$E,Analisis_grupo!$C$4))</f>
        <v/>
      </c>
      <c r="AK10" s="2" t="str">
        <f aca="false">IF($B10="","",COUNTIFS(Datos_items!$B:$B,$B10,Datos_items!$AA:$AA,AK$4,Datos_items!$E:$E,Analisis_grupo!$C$4))</f>
        <v/>
      </c>
      <c r="AL10" s="2" t="str">
        <f aca="false">IF($B10="","",COUNTIFS(Datos_items!$B:$B,$B10,Datos_items!$AA:$AA,AL$4,Datos_items!$E:$E,Analisis_grupo!$C$4))</f>
        <v/>
      </c>
      <c r="AM10" s="2" t="str">
        <f aca="false">IF($B10="","",IF(MAX(Y10:AL10)=0,"",INDEX($Y$4:$AL$4,MATCH(MAX(Y10:AL10),Y10:AL10,0))))</f>
        <v/>
      </c>
      <c r="AN10" s="2" t="str">
        <f aca="false">IF($B10="","",COUNTIFS(Datos_problemas!$B:$B,$B10,Datos_problemas!$F:$F,"Práctica"))</f>
        <v/>
      </c>
      <c r="AO10" s="2" t="str">
        <f aca="false">IF($B10="","",SUMIFS(Datos_problemas!$AQ:$AQ,Datos_problemas!$B:$B,$B10,Datos_problemas!$F:$F,"Práctica"))</f>
        <v/>
      </c>
      <c r="AP10" s="2" t="str">
        <f aca="false">IF($B10="","",COUNTIFS(Datos_problemas!$B:$B,$B10,Datos_problemas!$F:$F,"Práctica",Datos_problemas!$AS:$AS,"Sí"))</f>
        <v/>
      </c>
    </row>
    <row r="11" customFormat="false" ht="15" hidden="false" customHeight="false" outlineLevel="0" collapsed="false">
      <c r="A11" s="2" t="n">
        <v>7</v>
      </c>
      <c r="B11" s="2" t="str">
        <f aca="false">IFERROR(INDEX(Datos_problemas!$B:$B,MATCH($A11,Datos_problemas!$AV:$AV,0)),"")</f>
        <v/>
      </c>
      <c r="C11" s="2" t="str">
        <f aca="false">IF($B11="","",INDEX(Datos_problemas!$C:$C,MATCH($A11,Datos_problemas!$AV:$AV,0)))</f>
        <v/>
      </c>
      <c r="D11" s="2" t="str">
        <f aca="false">IF($B11="","",INDEX(Datos_problemas!$D:$D,MATCH($A11,Datos_problemas!$AV:$AV,0)))</f>
        <v/>
      </c>
      <c r="E11" s="2" t="str">
        <f aca="false">IF($B11="","",COUNTIFS(Datos_problemas!$B:$B,$B11,Datos_problemas!$F:$F,"Evaluación"))</f>
        <v/>
      </c>
      <c r="F11" s="20" t="str">
        <f aca="false">IF($B11="","",IFERROR(AVERAGEIFS(Datos_problemas!$AE:$AE,Datos_problemas!$B:$B,$B11,Datos_problemas!$F:$F,"Evaluación"),""))</f>
        <v/>
      </c>
      <c r="G11" s="20" t="str">
        <f aca="false">IF($B11="","",IFERROR(AVERAGEIFS(Datos_problemas!$AE:$AE,Datos_problemas!$B:$B,$B11,Datos_problemas!$F:$F,"Evaluación",Datos_problemas!$E:$E,"Diagnóstico"),""))</f>
        <v/>
      </c>
      <c r="H11" s="20" t="str">
        <f aca="false">IF($B11="","",IFERROR(AVERAGEIFS(Datos_problemas!$AE:$AE,Datos_problemas!$B:$B,$B11,Datos_problemas!$F:$F,"Evaluación",Datos_problemas!$E:$E,"Final"),""))</f>
        <v/>
      </c>
      <c r="I11" s="21" t="str">
        <f aca="false">IF(OR(G11="",H11=""),"",IF(G11&gt;=10,"",(H11-G11)/(10-G11)))</f>
        <v/>
      </c>
      <c r="J11" s="18" t="str">
        <f aca="false">IF($B11="","",IFERROR(SUMIFS(Datos_items!$Z:$Z,Datos_items!$B:$B,$B11,Datos_items!$O:$O,J$4,Datos_items!$E:$E,Analisis_grupo!$C$4)/COUNTIFS(Datos_items!$B:$B,$B11,Datos_items!$O:$O,J$4,Datos_items!$E:$E,Analisis_grupo!$C$4),""))</f>
        <v/>
      </c>
      <c r="K11" s="18" t="str">
        <f aca="false">IF($B11="","",IFERROR(SUMIFS(Datos_items!$Z:$Z,Datos_items!$B:$B,$B11,Datos_items!$O:$O,K$4,Datos_items!$E:$E,Analisis_grupo!$C$4)/COUNTIFS(Datos_items!$B:$B,$B11,Datos_items!$O:$O,K$4,Datos_items!$E:$E,Analisis_grupo!$C$4),""))</f>
        <v/>
      </c>
      <c r="L11" s="18" t="str">
        <f aca="false">IF($B11="","",IFERROR(SUMIFS(Datos_items!$Z:$Z,Datos_items!$B:$B,$B11,Datos_items!$O:$O,L$4,Datos_items!$E:$E,Analisis_grupo!$C$4)/COUNTIFS(Datos_items!$B:$B,$B11,Datos_items!$O:$O,L$4,Datos_items!$E:$E,Analisis_grupo!$C$4),""))</f>
        <v/>
      </c>
      <c r="M11" s="18" t="str">
        <f aca="false">IF($B11="","",IFERROR(SUMIFS(Datos_items!$Z:$Z,Datos_items!$B:$B,$B11,Datos_items!$O:$O,M$4,Datos_items!$E:$E,Analisis_grupo!$C$4)/COUNTIFS(Datos_items!$B:$B,$B11,Datos_items!$O:$O,M$4,Datos_items!$E:$E,Analisis_grupo!$C$4),""))</f>
        <v/>
      </c>
      <c r="N11" s="18" t="str">
        <f aca="false">IF($B11="","",IFERROR(SUMIFS(Datos_items!$Z:$Z,Datos_items!$B:$B,$B11,Datos_items!$O:$O,N$4,Datos_items!$E:$E,Analisis_grupo!$C$4)/COUNTIFS(Datos_items!$B:$B,$B11,Datos_items!$O:$O,N$4,Datos_items!$E:$E,Analisis_grupo!$C$4),""))</f>
        <v/>
      </c>
      <c r="O11" s="18" t="str">
        <f aca="false">IF($B11="","",IFERROR(SUMIFS(Datos_items!$Z:$Z,Datos_items!$B:$B,$B11,Datos_items!$O:$O,O$4,Datos_items!$E:$E,Analisis_grupo!$C$4)/COUNTIFS(Datos_items!$B:$B,$B11,Datos_items!$O:$O,O$4,Datos_items!$E:$E,Analisis_grupo!$C$4),""))</f>
        <v/>
      </c>
      <c r="P11" s="18" t="str">
        <f aca="false">IF($B11="","",IFERROR(SUMIFS(Datos_items!$Z:$Z,Datos_items!$B:$B,$B11,Datos_items!$O:$O,P$4,Datos_items!$E:$E,Analisis_grupo!$C$4)/COUNTIFS(Datos_items!$B:$B,$B11,Datos_items!$O:$O,P$4,Datos_items!$E:$E,Analisis_grupo!$C$4),""))</f>
        <v/>
      </c>
      <c r="Q11" s="18" t="str">
        <f aca="false">IF($B11="","",IFERROR(SUMIFS(Datos_items!$Z:$Z,Datos_items!$B:$B,$B11,Datos_items!$O:$O,Q$4,Datos_items!$E:$E,Analisis_grupo!$C$4)/COUNTIFS(Datos_items!$B:$B,$B11,Datos_items!$O:$O,Q$4,Datos_items!$E:$E,Analisis_grupo!$C$4),""))</f>
        <v/>
      </c>
      <c r="R11" s="2" t="str">
        <f aca="false">IF(COUNT(J11:Q11)=0,"",IF(MIN(J11:Q11)&gt;=Analisis_grupo!$B$7,"(ninguna)",INDEX($J$4:$Q$4,MATCH(MIN(J11:Q11),J11:Q11,0))))</f>
        <v/>
      </c>
      <c r="S11" s="2" t="str">
        <f aca="false">IF($B11="","",COUNTIF(J11:Q11,"&lt;"&amp;Analisis_grupo!$B$7))</f>
        <v/>
      </c>
      <c r="T11" s="2" t="str">
        <f aca="false">IF($B11="","",COUNTIFS(Datos_items!$B:$B,$B11,Datos_items!$AA:$AA,T$4,Datos_items!$E:$E,Analisis_grupo!$C$4))</f>
        <v/>
      </c>
      <c r="U11" s="2" t="str">
        <f aca="false">IF($B11="","",COUNTIFS(Datos_items!$B:$B,$B11,Datos_items!$AA:$AA,U$4,Datos_items!$E:$E,Analisis_grupo!$C$4))</f>
        <v/>
      </c>
      <c r="V11" s="2" t="str">
        <f aca="false">IF($B11="","",COUNTIFS(Datos_items!$B:$B,$B11,Datos_items!$AA:$AA,V$4,Datos_items!$E:$E,Analisis_grupo!$C$4))</f>
        <v/>
      </c>
      <c r="W11" s="2" t="str">
        <f aca="false">IF($B11="","",COUNTIFS(Datos_items!$B:$B,$B11,Datos_items!$AA:$AA,W$4,Datos_items!$E:$E,Analisis_grupo!$C$4))</f>
        <v/>
      </c>
      <c r="X11" s="2" t="str">
        <f aca="false">IF($B11="","",COUNTIFS(Datos_items!$B:$B,$B11,Datos_items!$AA:$AA,X$4,Datos_items!$E:$E,Analisis_grupo!$C$4))</f>
        <v/>
      </c>
      <c r="Y11" s="2" t="str">
        <f aca="false">IF($B11="","",COUNTIFS(Datos_items!$B:$B,$B11,Datos_items!$AA:$AA,Y$4,Datos_items!$E:$E,Analisis_grupo!$C$4))</f>
        <v/>
      </c>
      <c r="Z11" s="2" t="str">
        <f aca="false">IF($B11="","",COUNTIFS(Datos_items!$B:$B,$B11,Datos_items!$AA:$AA,Z$4,Datos_items!$E:$E,Analisis_grupo!$C$4))</f>
        <v/>
      </c>
      <c r="AA11" s="2" t="str">
        <f aca="false">IF($B11="","",COUNTIFS(Datos_items!$B:$B,$B11,Datos_items!$AA:$AA,AA$4,Datos_items!$E:$E,Analisis_grupo!$C$4))</f>
        <v/>
      </c>
      <c r="AB11" s="2" t="str">
        <f aca="false">IF($B11="","",COUNTIFS(Datos_items!$B:$B,$B11,Datos_items!$AA:$AA,AB$4,Datos_items!$E:$E,Analisis_grupo!$C$4))</f>
        <v/>
      </c>
      <c r="AC11" s="2" t="str">
        <f aca="false">IF($B11="","",COUNTIFS(Datos_items!$B:$B,$B11,Datos_items!$AA:$AA,AC$4,Datos_items!$E:$E,Analisis_grupo!$C$4))</f>
        <v/>
      </c>
      <c r="AD11" s="2" t="str">
        <f aca="false">IF($B11="","",COUNTIFS(Datos_items!$B:$B,$B11,Datos_items!$AA:$AA,AD$4,Datos_items!$E:$E,Analisis_grupo!$C$4))</f>
        <v/>
      </c>
      <c r="AE11" s="2" t="str">
        <f aca="false">IF($B11="","",COUNTIFS(Datos_items!$B:$B,$B11,Datos_items!$AA:$AA,AE$4,Datos_items!$E:$E,Analisis_grupo!$C$4))</f>
        <v/>
      </c>
      <c r="AF11" s="2" t="str">
        <f aca="false">IF($B11="","",COUNTIFS(Datos_items!$B:$B,$B11,Datos_items!$AA:$AA,AF$4,Datos_items!$E:$E,Analisis_grupo!$C$4))</f>
        <v/>
      </c>
      <c r="AG11" s="2" t="str">
        <f aca="false">IF($B11="","",COUNTIFS(Datos_items!$B:$B,$B11,Datos_items!$AA:$AA,AG$4,Datos_items!$E:$E,Analisis_grupo!$C$4))</f>
        <v/>
      </c>
      <c r="AH11" s="2" t="str">
        <f aca="false">IF($B11="","",COUNTIFS(Datos_items!$B:$B,$B11,Datos_items!$AA:$AA,AH$4,Datos_items!$E:$E,Analisis_grupo!$C$4))</f>
        <v/>
      </c>
      <c r="AI11" s="2" t="str">
        <f aca="false">IF($B11="","",COUNTIFS(Datos_items!$B:$B,$B11,Datos_items!$AA:$AA,AI$4,Datos_items!$E:$E,Analisis_grupo!$C$4))</f>
        <v/>
      </c>
      <c r="AJ11" s="2" t="str">
        <f aca="false">IF($B11="","",COUNTIFS(Datos_items!$B:$B,$B11,Datos_items!$AA:$AA,AJ$4,Datos_items!$E:$E,Analisis_grupo!$C$4))</f>
        <v/>
      </c>
      <c r="AK11" s="2" t="str">
        <f aca="false">IF($B11="","",COUNTIFS(Datos_items!$B:$B,$B11,Datos_items!$AA:$AA,AK$4,Datos_items!$E:$E,Analisis_grupo!$C$4))</f>
        <v/>
      </c>
      <c r="AL11" s="2" t="str">
        <f aca="false">IF($B11="","",COUNTIFS(Datos_items!$B:$B,$B11,Datos_items!$AA:$AA,AL$4,Datos_items!$E:$E,Analisis_grupo!$C$4))</f>
        <v/>
      </c>
      <c r="AM11" s="2" t="str">
        <f aca="false">IF($B11="","",IF(MAX(Y11:AL11)=0,"",INDEX($Y$4:$AL$4,MATCH(MAX(Y11:AL11),Y11:AL11,0))))</f>
        <v/>
      </c>
      <c r="AN11" s="2" t="str">
        <f aca="false">IF($B11="","",COUNTIFS(Datos_problemas!$B:$B,$B11,Datos_problemas!$F:$F,"Práctica"))</f>
        <v/>
      </c>
      <c r="AO11" s="2" t="str">
        <f aca="false">IF($B11="","",SUMIFS(Datos_problemas!$AQ:$AQ,Datos_problemas!$B:$B,$B11,Datos_problemas!$F:$F,"Práctica"))</f>
        <v/>
      </c>
      <c r="AP11" s="2" t="str">
        <f aca="false">IF($B11="","",COUNTIFS(Datos_problemas!$B:$B,$B11,Datos_problemas!$F:$F,"Práctica",Datos_problemas!$AS:$AS,"Sí"))</f>
        <v/>
      </c>
    </row>
    <row r="12" customFormat="false" ht="15" hidden="false" customHeight="false" outlineLevel="0" collapsed="false">
      <c r="A12" s="2" t="n">
        <v>8</v>
      </c>
      <c r="B12" s="2" t="str">
        <f aca="false">IFERROR(INDEX(Datos_problemas!$B:$B,MATCH($A12,Datos_problemas!$AV:$AV,0)),"")</f>
        <v/>
      </c>
      <c r="C12" s="2" t="str">
        <f aca="false">IF($B12="","",INDEX(Datos_problemas!$C:$C,MATCH($A12,Datos_problemas!$AV:$AV,0)))</f>
        <v/>
      </c>
      <c r="D12" s="2" t="str">
        <f aca="false">IF($B12="","",INDEX(Datos_problemas!$D:$D,MATCH($A12,Datos_problemas!$AV:$AV,0)))</f>
        <v/>
      </c>
      <c r="E12" s="2" t="str">
        <f aca="false">IF($B12="","",COUNTIFS(Datos_problemas!$B:$B,$B12,Datos_problemas!$F:$F,"Evaluación"))</f>
        <v/>
      </c>
      <c r="F12" s="20" t="str">
        <f aca="false">IF($B12="","",IFERROR(AVERAGEIFS(Datos_problemas!$AE:$AE,Datos_problemas!$B:$B,$B12,Datos_problemas!$F:$F,"Evaluación"),""))</f>
        <v/>
      </c>
      <c r="G12" s="20" t="str">
        <f aca="false">IF($B12="","",IFERROR(AVERAGEIFS(Datos_problemas!$AE:$AE,Datos_problemas!$B:$B,$B12,Datos_problemas!$F:$F,"Evaluación",Datos_problemas!$E:$E,"Diagnóstico"),""))</f>
        <v/>
      </c>
      <c r="H12" s="20" t="str">
        <f aca="false">IF($B12="","",IFERROR(AVERAGEIFS(Datos_problemas!$AE:$AE,Datos_problemas!$B:$B,$B12,Datos_problemas!$F:$F,"Evaluación",Datos_problemas!$E:$E,"Final"),""))</f>
        <v/>
      </c>
      <c r="I12" s="21" t="str">
        <f aca="false">IF(OR(G12="",H12=""),"",IF(G12&gt;=10,"",(H12-G12)/(10-G12)))</f>
        <v/>
      </c>
      <c r="J12" s="18" t="str">
        <f aca="false">IF($B12="","",IFERROR(SUMIFS(Datos_items!$Z:$Z,Datos_items!$B:$B,$B12,Datos_items!$O:$O,J$4,Datos_items!$E:$E,Analisis_grupo!$C$4)/COUNTIFS(Datos_items!$B:$B,$B12,Datos_items!$O:$O,J$4,Datos_items!$E:$E,Analisis_grupo!$C$4),""))</f>
        <v/>
      </c>
      <c r="K12" s="18" t="str">
        <f aca="false">IF($B12="","",IFERROR(SUMIFS(Datos_items!$Z:$Z,Datos_items!$B:$B,$B12,Datos_items!$O:$O,K$4,Datos_items!$E:$E,Analisis_grupo!$C$4)/COUNTIFS(Datos_items!$B:$B,$B12,Datos_items!$O:$O,K$4,Datos_items!$E:$E,Analisis_grupo!$C$4),""))</f>
        <v/>
      </c>
      <c r="L12" s="18" t="str">
        <f aca="false">IF($B12="","",IFERROR(SUMIFS(Datos_items!$Z:$Z,Datos_items!$B:$B,$B12,Datos_items!$O:$O,L$4,Datos_items!$E:$E,Analisis_grupo!$C$4)/COUNTIFS(Datos_items!$B:$B,$B12,Datos_items!$O:$O,L$4,Datos_items!$E:$E,Analisis_grupo!$C$4),""))</f>
        <v/>
      </c>
      <c r="M12" s="18" t="str">
        <f aca="false">IF($B12="","",IFERROR(SUMIFS(Datos_items!$Z:$Z,Datos_items!$B:$B,$B12,Datos_items!$O:$O,M$4,Datos_items!$E:$E,Analisis_grupo!$C$4)/COUNTIFS(Datos_items!$B:$B,$B12,Datos_items!$O:$O,M$4,Datos_items!$E:$E,Analisis_grupo!$C$4),""))</f>
        <v/>
      </c>
      <c r="N12" s="18" t="str">
        <f aca="false">IF($B12="","",IFERROR(SUMIFS(Datos_items!$Z:$Z,Datos_items!$B:$B,$B12,Datos_items!$O:$O,N$4,Datos_items!$E:$E,Analisis_grupo!$C$4)/COUNTIFS(Datos_items!$B:$B,$B12,Datos_items!$O:$O,N$4,Datos_items!$E:$E,Analisis_grupo!$C$4),""))</f>
        <v/>
      </c>
      <c r="O12" s="18" t="str">
        <f aca="false">IF($B12="","",IFERROR(SUMIFS(Datos_items!$Z:$Z,Datos_items!$B:$B,$B12,Datos_items!$O:$O,O$4,Datos_items!$E:$E,Analisis_grupo!$C$4)/COUNTIFS(Datos_items!$B:$B,$B12,Datos_items!$O:$O,O$4,Datos_items!$E:$E,Analisis_grupo!$C$4),""))</f>
        <v/>
      </c>
      <c r="P12" s="18" t="str">
        <f aca="false">IF($B12="","",IFERROR(SUMIFS(Datos_items!$Z:$Z,Datos_items!$B:$B,$B12,Datos_items!$O:$O,P$4,Datos_items!$E:$E,Analisis_grupo!$C$4)/COUNTIFS(Datos_items!$B:$B,$B12,Datos_items!$O:$O,P$4,Datos_items!$E:$E,Analisis_grupo!$C$4),""))</f>
        <v/>
      </c>
      <c r="Q12" s="18" t="str">
        <f aca="false">IF($B12="","",IFERROR(SUMIFS(Datos_items!$Z:$Z,Datos_items!$B:$B,$B12,Datos_items!$O:$O,Q$4,Datos_items!$E:$E,Analisis_grupo!$C$4)/COUNTIFS(Datos_items!$B:$B,$B12,Datos_items!$O:$O,Q$4,Datos_items!$E:$E,Analisis_grupo!$C$4),""))</f>
        <v/>
      </c>
      <c r="R12" s="2" t="str">
        <f aca="false">IF(COUNT(J12:Q12)=0,"",IF(MIN(J12:Q12)&gt;=Analisis_grupo!$B$7,"(ninguna)",INDEX($J$4:$Q$4,MATCH(MIN(J12:Q12),J12:Q12,0))))</f>
        <v/>
      </c>
      <c r="S12" s="2" t="str">
        <f aca="false">IF($B12="","",COUNTIF(J12:Q12,"&lt;"&amp;Analisis_grupo!$B$7))</f>
        <v/>
      </c>
      <c r="T12" s="2" t="str">
        <f aca="false">IF($B12="","",COUNTIFS(Datos_items!$B:$B,$B12,Datos_items!$AA:$AA,T$4,Datos_items!$E:$E,Analisis_grupo!$C$4))</f>
        <v/>
      </c>
      <c r="U12" s="2" t="str">
        <f aca="false">IF($B12="","",COUNTIFS(Datos_items!$B:$B,$B12,Datos_items!$AA:$AA,U$4,Datos_items!$E:$E,Analisis_grupo!$C$4))</f>
        <v/>
      </c>
      <c r="V12" s="2" t="str">
        <f aca="false">IF($B12="","",COUNTIFS(Datos_items!$B:$B,$B12,Datos_items!$AA:$AA,V$4,Datos_items!$E:$E,Analisis_grupo!$C$4))</f>
        <v/>
      </c>
      <c r="W12" s="2" t="str">
        <f aca="false">IF($B12="","",COUNTIFS(Datos_items!$B:$B,$B12,Datos_items!$AA:$AA,W$4,Datos_items!$E:$E,Analisis_grupo!$C$4))</f>
        <v/>
      </c>
      <c r="X12" s="2" t="str">
        <f aca="false">IF($B12="","",COUNTIFS(Datos_items!$B:$B,$B12,Datos_items!$AA:$AA,X$4,Datos_items!$E:$E,Analisis_grupo!$C$4))</f>
        <v/>
      </c>
      <c r="Y12" s="2" t="str">
        <f aca="false">IF($B12="","",COUNTIFS(Datos_items!$B:$B,$B12,Datos_items!$AA:$AA,Y$4,Datos_items!$E:$E,Analisis_grupo!$C$4))</f>
        <v/>
      </c>
      <c r="Z12" s="2" t="str">
        <f aca="false">IF($B12="","",COUNTIFS(Datos_items!$B:$B,$B12,Datos_items!$AA:$AA,Z$4,Datos_items!$E:$E,Analisis_grupo!$C$4))</f>
        <v/>
      </c>
      <c r="AA12" s="2" t="str">
        <f aca="false">IF($B12="","",COUNTIFS(Datos_items!$B:$B,$B12,Datos_items!$AA:$AA,AA$4,Datos_items!$E:$E,Analisis_grupo!$C$4))</f>
        <v/>
      </c>
      <c r="AB12" s="2" t="str">
        <f aca="false">IF($B12="","",COUNTIFS(Datos_items!$B:$B,$B12,Datos_items!$AA:$AA,AB$4,Datos_items!$E:$E,Analisis_grupo!$C$4))</f>
        <v/>
      </c>
      <c r="AC12" s="2" t="str">
        <f aca="false">IF($B12="","",COUNTIFS(Datos_items!$B:$B,$B12,Datos_items!$AA:$AA,AC$4,Datos_items!$E:$E,Analisis_grupo!$C$4))</f>
        <v/>
      </c>
      <c r="AD12" s="2" t="str">
        <f aca="false">IF($B12="","",COUNTIFS(Datos_items!$B:$B,$B12,Datos_items!$AA:$AA,AD$4,Datos_items!$E:$E,Analisis_grupo!$C$4))</f>
        <v/>
      </c>
      <c r="AE12" s="2" t="str">
        <f aca="false">IF($B12="","",COUNTIFS(Datos_items!$B:$B,$B12,Datos_items!$AA:$AA,AE$4,Datos_items!$E:$E,Analisis_grupo!$C$4))</f>
        <v/>
      </c>
      <c r="AF12" s="2" t="str">
        <f aca="false">IF($B12="","",COUNTIFS(Datos_items!$B:$B,$B12,Datos_items!$AA:$AA,AF$4,Datos_items!$E:$E,Analisis_grupo!$C$4))</f>
        <v/>
      </c>
      <c r="AG12" s="2" t="str">
        <f aca="false">IF($B12="","",COUNTIFS(Datos_items!$B:$B,$B12,Datos_items!$AA:$AA,AG$4,Datos_items!$E:$E,Analisis_grupo!$C$4))</f>
        <v/>
      </c>
      <c r="AH12" s="2" t="str">
        <f aca="false">IF($B12="","",COUNTIFS(Datos_items!$B:$B,$B12,Datos_items!$AA:$AA,AH$4,Datos_items!$E:$E,Analisis_grupo!$C$4))</f>
        <v/>
      </c>
      <c r="AI12" s="2" t="str">
        <f aca="false">IF($B12="","",COUNTIFS(Datos_items!$B:$B,$B12,Datos_items!$AA:$AA,AI$4,Datos_items!$E:$E,Analisis_grupo!$C$4))</f>
        <v/>
      </c>
      <c r="AJ12" s="2" t="str">
        <f aca="false">IF($B12="","",COUNTIFS(Datos_items!$B:$B,$B12,Datos_items!$AA:$AA,AJ$4,Datos_items!$E:$E,Analisis_grupo!$C$4))</f>
        <v/>
      </c>
      <c r="AK12" s="2" t="str">
        <f aca="false">IF($B12="","",COUNTIFS(Datos_items!$B:$B,$B12,Datos_items!$AA:$AA,AK$4,Datos_items!$E:$E,Analisis_grupo!$C$4))</f>
        <v/>
      </c>
      <c r="AL12" s="2" t="str">
        <f aca="false">IF($B12="","",COUNTIFS(Datos_items!$B:$B,$B12,Datos_items!$AA:$AA,AL$4,Datos_items!$E:$E,Analisis_grupo!$C$4))</f>
        <v/>
      </c>
      <c r="AM12" s="2" t="str">
        <f aca="false">IF($B12="","",IF(MAX(Y12:AL12)=0,"",INDEX($Y$4:$AL$4,MATCH(MAX(Y12:AL12),Y12:AL12,0))))</f>
        <v/>
      </c>
      <c r="AN12" s="2" t="str">
        <f aca="false">IF($B12="","",COUNTIFS(Datos_problemas!$B:$B,$B12,Datos_problemas!$F:$F,"Práctica"))</f>
        <v/>
      </c>
      <c r="AO12" s="2" t="str">
        <f aca="false">IF($B12="","",SUMIFS(Datos_problemas!$AQ:$AQ,Datos_problemas!$B:$B,$B12,Datos_problemas!$F:$F,"Práctica"))</f>
        <v/>
      </c>
      <c r="AP12" s="2" t="str">
        <f aca="false">IF($B12="","",COUNTIFS(Datos_problemas!$B:$B,$B12,Datos_problemas!$F:$F,"Práctica",Datos_problemas!$AS:$AS,"Sí"))</f>
        <v/>
      </c>
    </row>
    <row r="13" customFormat="false" ht="15" hidden="false" customHeight="false" outlineLevel="0" collapsed="false">
      <c r="A13" s="2" t="n">
        <v>9</v>
      </c>
      <c r="B13" s="2" t="str">
        <f aca="false">IFERROR(INDEX(Datos_problemas!$B:$B,MATCH($A13,Datos_problemas!$AV:$AV,0)),"")</f>
        <v/>
      </c>
      <c r="C13" s="2" t="str">
        <f aca="false">IF($B13="","",INDEX(Datos_problemas!$C:$C,MATCH($A13,Datos_problemas!$AV:$AV,0)))</f>
        <v/>
      </c>
      <c r="D13" s="2" t="str">
        <f aca="false">IF($B13="","",INDEX(Datos_problemas!$D:$D,MATCH($A13,Datos_problemas!$AV:$AV,0)))</f>
        <v/>
      </c>
      <c r="E13" s="2" t="str">
        <f aca="false">IF($B13="","",COUNTIFS(Datos_problemas!$B:$B,$B13,Datos_problemas!$F:$F,"Evaluación"))</f>
        <v/>
      </c>
      <c r="F13" s="20" t="str">
        <f aca="false">IF($B13="","",IFERROR(AVERAGEIFS(Datos_problemas!$AE:$AE,Datos_problemas!$B:$B,$B13,Datos_problemas!$F:$F,"Evaluación"),""))</f>
        <v/>
      </c>
      <c r="G13" s="20" t="str">
        <f aca="false">IF($B13="","",IFERROR(AVERAGEIFS(Datos_problemas!$AE:$AE,Datos_problemas!$B:$B,$B13,Datos_problemas!$F:$F,"Evaluación",Datos_problemas!$E:$E,"Diagnóstico"),""))</f>
        <v/>
      </c>
      <c r="H13" s="20" t="str">
        <f aca="false">IF($B13="","",IFERROR(AVERAGEIFS(Datos_problemas!$AE:$AE,Datos_problemas!$B:$B,$B13,Datos_problemas!$F:$F,"Evaluación",Datos_problemas!$E:$E,"Final"),""))</f>
        <v/>
      </c>
      <c r="I13" s="21" t="str">
        <f aca="false">IF(OR(G13="",H13=""),"",IF(G13&gt;=10,"",(H13-G13)/(10-G13)))</f>
        <v/>
      </c>
      <c r="J13" s="18" t="str">
        <f aca="false">IF($B13="","",IFERROR(SUMIFS(Datos_items!$Z:$Z,Datos_items!$B:$B,$B13,Datos_items!$O:$O,J$4,Datos_items!$E:$E,Analisis_grupo!$C$4)/COUNTIFS(Datos_items!$B:$B,$B13,Datos_items!$O:$O,J$4,Datos_items!$E:$E,Analisis_grupo!$C$4),""))</f>
        <v/>
      </c>
      <c r="K13" s="18" t="str">
        <f aca="false">IF($B13="","",IFERROR(SUMIFS(Datos_items!$Z:$Z,Datos_items!$B:$B,$B13,Datos_items!$O:$O,K$4,Datos_items!$E:$E,Analisis_grupo!$C$4)/COUNTIFS(Datos_items!$B:$B,$B13,Datos_items!$O:$O,K$4,Datos_items!$E:$E,Analisis_grupo!$C$4),""))</f>
        <v/>
      </c>
      <c r="L13" s="18" t="str">
        <f aca="false">IF($B13="","",IFERROR(SUMIFS(Datos_items!$Z:$Z,Datos_items!$B:$B,$B13,Datos_items!$O:$O,L$4,Datos_items!$E:$E,Analisis_grupo!$C$4)/COUNTIFS(Datos_items!$B:$B,$B13,Datos_items!$O:$O,L$4,Datos_items!$E:$E,Analisis_grupo!$C$4),""))</f>
        <v/>
      </c>
      <c r="M13" s="18" t="str">
        <f aca="false">IF($B13="","",IFERROR(SUMIFS(Datos_items!$Z:$Z,Datos_items!$B:$B,$B13,Datos_items!$O:$O,M$4,Datos_items!$E:$E,Analisis_grupo!$C$4)/COUNTIFS(Datos_items!$B:$B,$B13,Datos_items!$O:$O,M$4,Datos_items!$E:$E,Analisis_grupo!$C$4),""))</f>
        <v/>
      </c>
      <c r="N13" s="18" t="str">
        <f aca="false">IF($B13="","",IFERROR(SUMIFS(Datos_items!$Z:$Z,Datos_items!$B:$B,$B13,Datos_items!$O:$O,N$4,Datos_items!$E:$E,Analisis_grupo!$C$4)/COUNTIFS(Datos_items!$B:$B,$B13,Datos_items!$O:$O,N$4,Datos_items!$E:$E,Analisis_grupo!$C$4),""))</f>
        <v/>
      </c>
      <c r="O13" s="18" t="str">
        <f aca="false">IF($B13="","",IFERROR(SUMIFS(Datos_items!$Z:$Z,Datos_items!$B:$B,$B13,Datos_items!$O:$O,O$4,Datos_items!$E:$E,Analisis_grupo!$C$4)/COUNTIFS(Datos_items!$B:$B,$B13,Datos_items!$O:$O,O$4,Datos_items!$E:$E,Analisis_grupo!$C$4),""))</f>
        <v/>
      </c>
      <c r="P13" s="18" t="str">
        <f aca="false">IF($B13="","",IFERROR(SUMIFS(Datos_items!$Z:$Z,Datos_items!$B:$B,$B13,Datos_items!$O:$O,P$4,Datos_items!$E:$E,Analisis_grupo!$C$4)/COUNTIFS(Datos_items!$B:$B,$B13,Datos_items!$O:$O,P$4,Datos_items!$E:$E,Analisis_grupo!$C$4),""))</f>
        <v/>
      </c>
      <c r="Q13" s="18" t="str">
        <f aca="false">IF($B13="","",IFERROR(SUMIFS(Datos_items!$Z:$Z,Datos_items!$B:$B,$B13,Datos_items!$O:$O,Q$4,Datos_items!$E:$E,Analisis_grupo!$C$4)/COUNTIFS(Datos_items!$B:$B,$B13,Datos_items!$O:$O,Q$4,Datos_items!$E:$E,Analisis_grupo!$C$4),""))</f>
        <v/>
      </c>
      <c r="R13" s="2" t="str">
        <f aca="false">IF(COUNT(J13:Q13)=0,"",IF(MIN(J13:Q13)&gt;=Analisis_grupo!$B$7,"(ninguna)",INDEX($J$4:$Q$4,MATCH(MIN(J13:Q13),J13:Q13,0))))</f>
        <v/>
      </c>
      <c r="S13" s="2" t="str">
        <f aca="false">IF($B13="","",COUNTIF(J13:Q13,"&lt;"&amp;Analisis_grupo!$B$7))</f>
        <v/>
      </c>
      <c r="T13" s="2" t="str">
        <f aca="false">IF($B13="","",COUNTIFS(Datos_items!$B:$B,$B13,Datos_items!$AA:$AA,T$4,Datos_items!$E:$E,Analisis_grupo!$C$4))</f>
        <v/>
      </c>
      <c r="U13" s="2" t="str">
        <f aca="false">IF($B13="","",COUNTIFS(Datos_items!$B:$B,$B13,Datos_items!$AA:$AA,U$4,Datos_items!$E:$E,Analisis_grupo!$C$4))</f>
        <v/>
      </c>
      <c r="V13" s="2" t="str">
        <f aca="false">IF($B13="","",COUNTIFS(Datos_items!$B:$B,$B13,Datos_items!$AA:$AA,V$4,Datos_items!$E:$E,Analisis_grupo!$C$4))</f>
        <v/>
      </c>
      <c r="W13" s="2" t="str">
        <f aca="false">IF($B13="","",COUNTIFS(Datos_items!$B:$B,$B13,Datos_items!$AA:$AA,W$4,Datos_items!$E:$E,Analisis_grupo!$C$4))</f>
        <v/>
      </c>
      <c r="X13" s="2" t="str">
        <f aca="false">IF($B13="","",COUNTIFS(Datos_items!$B:$B,$B13,Datos_items!$AA:$AA,X$4,Datos_items!$E:$E,Analisis_grupo!$C$4))</f>
        <v/>
      </c>
      <c r="Y13" s="2" t="str">
        <f aca="false">IF($B13="","",COUNTIFS(Datos_items!$B:$B,$B13,Datos_items!$AA:$AA,Y$4,Datos_items!$E:$E,Analisis_grupo!$C$4))</f>
        <v/>
      </c>
      <c r="Z13" s="2" t="str">
        <f aca="false">IF($B13="","",COUNTIFS(Datos_items!$B:$B,$B13,Datos_items!$AA:$AA,Z$4,Datos_items!$E:$E,Analisis_grupo!$C$4))</f>
        <v/>
      </c>
      <c r="AA13" s="2" t="str">
        <f aca="false">IF($B13="","",COUNTIFS(Datos_items!$B:$B,$B13,Datos_items!$AA:$AA,AA$4,Datos_items!$E:$E,Analisis_grupo!$C$4))</f>
        <v/>
      </c>
      <c r="AB13" s="2" t="str">
        <f aca="false">IF($B13="","",COUNTIFS(Datos_items!$B:$B,$B13,Datos_items!$AA:$AA,AB$4,Datos_items!$E:$E,Analisis_grupo!$C$4))</f>
        <v/>
      </c>
      <c r="AC13" s="2" t="str">
        <f aca="false">IF($B13="","",COUNTIFS(Datos_items!$B:$B,$B13,Datos_items!$AA:$AA,AC$4,Datos_items!$E:$E,Analisis_grupo!$C$4))</f>
        <v/>
      </c>
      <c r="AD13" s="2" t="str">
        <f aca="false">IF($B13="","",COUNTIFS(Datos_items!$B:$B,$B13,Datos_items!$AA:$AA,AD$4,Datos_items!$E:$E,Analisis_grupo!$C$4))</f>
        <v/>
      </c>
      <c r="AE13" s="2" t="str">
        <f aca="false">IF($B13="","",COUNTIFS(Datos_items!$B:$B,$B13,Datos_items!$AA:$AA,AE$4,Datos_items!$E:$E,Analisis_grupo!$C$4))</f>
        <v/>
      </c>
      <c r="AF13" s="2" t="str">
        <f aca="false">IF($B13="","",COUNTIFS(Datos_items!$B:$B,$B13,Datos_items!$AA:$AA,AF$4,Datos_items!$E:$E,Analisis_grupo!$C$4))</f>
        <v/>
      </c>
      <c r="AG13" s="2" t="str">
        <f aca="false">IF($B13="","",COUNTIFS(Datos_items!$B:$B,$B13,Datos_items!$AA:$AA,AG$4,Datos_items!$E:$E,Analisis_grupo!$C$4))</f>
        <v/>
      </c>
      <c r="AH13" s="2" t="str">
        <f aca="false">IF($B13="","",COUNTIFS(Datos_items!$B:$B,$B13,Datos_items!$AA:$AA,AH$4,Datos_items!$E:$E,Analisis_grupo!$C$4))</f>
        <v/>
      </c>
      <c r="AI13" s="2" t="str">
        <f aca="false">IF($B13="","",COUNTIFS(Datos_items!$B:$B,$B13,Datos_items!$AA:$AA,AI$4,Datos_items!$E:$E,Analisis_grupo!$C$4))</f>
        <v/>
      </c>
      <c r="AJ13" s="2" t="str">
        <f aca="false">IF($B13="","",COUNTIFS(Datos_items!$B:$B,$B13,Datos_items!$AA:$AA,AJ$4,Datos_items!$E:$E,Analisis_grupo!$C$4))</f>
        <v/>
      </c>
      <c r="AK13" s="2" t="str">
        <f aca="false">IF($B13="","",COUNTIFS(Datos_items!$B:$B,$B13,Datos_items!$AA:$AA,AK$4,Datos_items!$E:$E,Analisis_grupo!$C$4))</f>
        <v/>
      </c>
      <c r="AL13" s="2" t="str">
        <f aca="false">IF($B13="","",COUNTIFS(Datos_items!$B:$B,$B13,Datos_items!$AA:$AA,AL$4,Datos_items!$E:$E,Analisis_grupo!$C$4))</f>
        <v/>
      </c>
      <c r="AM13" s="2" t="str">
        <f aca="false">IF($B13="","",IF(MAX(Y13:AL13)=0,"",INDEX($Y$4:$AL$4,MATCH(MAX(Y13:AL13),Y13:AL13,0))))</f>
        <v/>
      </c>
      <c r="AN13" s="2" t="str">
        <f aca="false">IF($B13="","",COUNTIFS(Datos_problemas!$B:$B,$B13,Datos_problemas!$F:$F,"Práctica"))</f>
        <v/>
      </c>
      <c r="AO13" s="2" t="str">
        <f aca="false">IF($B13="","",SUMIFS(Datos_problemas!$AQ:$AQ,Datos_problemas!$B:$B,$B13,Datos_problemas!$F:$F,"Práctica"))</f>
        <v/>
      </c>
      <c r="AP13" s="2" t="str">
        <f aca="false">IF($B13="","",COUNTIFS(Datos_problemas!$B:$B,$B13,Datos_problemas!$F:$F,"Práctica",Datos_problemas!$AS:$AS,"Sí"))</f>
        <v/>
      </c>
    </row>
    <row r="14" customFormat="false" ht="15" hidden="false" customHeight="false" outlineLevel="0" collapsed="false">
      <c r="A14" s="2" t="n">
        <v>10</v>
      </c>
      <c r="B14" s="2" t="str">
        <f aca="false">IFERROR(INDEX(Datos_problemas!$B:$B,MATCH($A14,Datos_problemas!$AV:$AV,0)),"")</f>
        <v/>
      </c>
      <c r="C14" s="2" t="str">
        <f aca="false">IF($B14="","",INDEX(Datos_problemas!$C:$C,MATCH($A14,Datos_problemas!$AV:$AV,0)))</f>
        <v/>
      </c>
      <c r="D14" s="2" t="str">
        <f aca="false">IF($B14="","",INDEX(Datos_problemas!$D:$D,MATCH($A14,Datos_problemas!$AV:$AV,0)))</f>
        <v/>
      </c>
      <c r="E14" s="2" t="str">
        <f aca="false">IF($B14="","",COUNTIFS(Datos_problemas!$B:$B,$B14,Datos_problemas!$F:$F,"Evaluación"))</f>
        <v/>
      </c>
      <c r="F14" s="20" t="str">
        <f aca="false">IF($B14="","",IFERROR(AVERAGEIFS(Datos_problemas!$AE:$AE,Datos_problemas!$B:$B,$B14,Datos_problemas!$F:$F,"Evaluación"),""))</f>
        <v/>
      </c>
      <c r="G14" s="20" t="str">
        <f aca="false">IF($B14="","",IFERROR(AVERAGEIFS(Datos_problemas!$AE:$AE,Datos_problemas!$B:$B,$B14,Datos_problemas!$F:$F,"Evaluación",Datos_problemas!$E:$E,"Diagnóstico"),""))</f>
        <v/>
      </c>
      <c r="H14" s="20" t="str">
        <f aca="false">IF($B14="","",IFERROR(AVERAGEIFS(Datos_problemas!$AE:$AE,Datos_problemas!$B:$B,$B14,Datos_problemas!$F:$F,"Evaluación",Datos_problemas!$E:$E,"Final"),""))</f>
        <v/>
      </c>
      <c r="I14" s="21" t="str">
        <f aca="false">IF(OR(G14="",H14=""),"",IF(G14&gt;=10,"",(H14-G14)/(10-G14)))</f>
        <v/>
      </c>
      <c r="J14" s="18" t="str">
        <f aca="false">IF($B14="","",IFERROR(SUMIFS(Datos_items!$Z:$Z,Datos_items!$B:$B,$B14,Datos_items!$O:$O,J$4,Datos_items!$E:$E,Analisis_grupo!$C$4)/COUNTIFS(Datos_items!$B:$B,$B14,Datos_items!$O:$O,J$4,Datos_items!$E:$E,Analisis_grupo!$C$4),""))</f>
        <v/>
      </c>
      <c r="K14" s="18" t="str">
        <f aca="false">IF($B14="","",IFERROR(SUMIFS(Datos_items!$Z:$Z,Datos_items!$B:$B,$B14,Datos_items!$O:$O,K$4,Datos_items!$E:$E,Analisis_grupo!$C$4)/COUNTIFS(Datos_items!$B:$B,$B14,Datos_items!$O:$O,K$4,Datos_items!$E:$E,Analisis_grupo!$C$4),""))</f>
        <v/>
      </c>
      <c r="L14" s="18" t="str">
        <f aca="false">IF($B14="","",IFERROR(SUMIFS(Datos_items!$Z:$Z,Datos_items!$B:$B,$B14,Datos_items!$O:$O,L$4,Datos_items!$E:$E,Analisis_grupo!$C$4)/COUNTIFS(Datos_items!$B:$B,$B14,Datos_items!$O:$O,L$4,Datos_items!$E:$E,Analisis_grupo!$C$4),""))</f>
        <v/>
      </c>
      <c r="M14" s="18" t="str">
        <f aca="false">IF($B14="","",IFERROR(SUMIFS(Datos_items!$Z:$Z,Datos_items!$B:$B,$B14,Datos_items!$O:$O,M$4,Datos_items!$E:$E,Analisis_grupo!$C$4)/COUNTIFS(Datos_items!$B:$B,$B14,Datos_items!$O:$O,M$4,Datos_items!$E:$E,Analisis_grupo!$C$4),""))</f>
        <v/>
      </c>
      <c r="N14" s="18" t="str">
        <f aca="false">IF($B14="","",IFERROR(SUMIFS(Datos_items!$Z:$Z,Datos_items!$B:$B,$B14,Datos_items!$O:$O,N$4,Datos_items!$E:$E,Analisis_grupo!$C$4)/COUNTIFS(Datos_items!$B:$B,$B14,Datos_items!$O:$O,N$4,Datos_items!$E:$E,Analisis_grupo!$C$4),""))</f>
        <v/>
      </c>
      <c r="O14" s="18" t="str">
        <f aca="false">IF($B14="","",IFERROR(SUMIFS(Datos_items!$Z:$Z,Datos_items!$B:$B,$B14,Datos_items!$O:$O,O$4,Datos_items!$E:$E,Analisis_grupo!$C$4)/COUNTIFS(Datos_items!$B:$B,$B14,Datos_items!$O:$O,O$4,Datos_items!$E:$E,Analisis_grupo!$C$4),""))</f>
        <v/>
      </c>
      <c r="P14" s="18" t="str">
        <f aca="false">IF($B14="","",IFERROR(SUMIFS(Datos_items!$Z:$Z,Datos_items!$B:$B,$B14,Datos_items!$O:$O,P$4,Datos_items!$E:$E,Analisis_grupo!$C$4)/COUNTIFS(Datos_items!$B:$B,$B14,Datos_items!$O:$O,P$4,Datos_items!$E:$E,Analisis_grupo!$C$4),""))</f>
        <v/>
      </c>
      <c r="Q14" s="18" t="str">
        <f aca="false">IF($B14="","",IFERROR(SUMIFS(Datos_items!$Z:$Z,Datos_items!$B:$B,$B14,Datos_items!$O:$O,Q$4,Datos_items!$E:$E,Analisis_grupo!$C$4)/COUNTIFS(Datos_items!$B:$B,$B14,Datos_items!$O:$O,Q$4,Datos_items!$E:$E,Analisis_grupo!$C$4),""))</f>
        <v/>
      </c>
      <c r="R14" s="2" t="str">
        <f aca="false">IF(COUNT(J14:Q14)=0,"",IF(MIN(J14:Q14)&gt;=Analisis_grupo!$B$7,"(ninguna)",INDEX($J$4:$Q$4,MATCH(MIN(J14:Q14),J14:Q14,0))))</f>
        <v/>
      </c>
      <c r="S14" s="2" t="str">
        <f aca="false">IF($B14="","",COUNTIF(J14:Q14,"&lt;"&amp;Analisis_grupo!$B$7))</f>
        <v/>
      </c>
      <c r="T14" s="2" t="str">
        <f aca="false">IF($B14="","",COUNTIFS(Datos_items!$B:$B,$B14,Datos_items!$AA:$AA,T$4,Datos_items!$E:$E,Analisis_grupo!$C$4))</f>
        <v/>
      </c>
      <c r="U14" s="2" t="str">
        <f aca="false">IF($B14="","",COUNTIFS(Datos_items!$B:$B,$B14,Datos_items!$AA:$AA,U$4,Datos_items!$E:$E,Analisis_grupo!$C$4))</f>
        <v/>
      </c>
      <c r="V14" s="2" t="str">
        <f aca="false">IF($B14="","",COUNTIFS(Datos_items!$B:$B,$B14,Datos_items!$AA:$AA,V$4,Datos_items!$E:$E,Analisis_grupo!$C$4))</f>
        <v/>
      </c>
      <c r="W14" s="2" t="str">
        <f aca="false">IF($B14="","",COUNTIFS(Datos_items!$B:$B,$B14,Datos_items!$AA:$AA,W$4,Datos_items!$E:$E,Analisis_grupo!$C$4))</f>
        <v/>
      </c>
      <c r="X14" s="2" t="str">
        <f aca="false">IF($B14="","",COUNTIFS(Datos_items!$B:$B,$B14,Datos_items!$AA:$AA,X$4,Datos_items!$E:$E,Analisis_grupo!$C$4))</f>
        <v/>
      </c>
      <c r="Y14" s="2" t="str">
        <f aca="false">IF($B14="","",COUNTIFS(Datos_items!$B:$B,$B14,Datos_items!$AA:$AA,Y$4,Datos_items!$E:$E,Analisis_grupo!$C$4))</f>
        <v/>
      </c>
      <c r="Z14" s="2" t="str">
        <f aca="false">IF($B14="","",COUNTIFS(Datos_items!$B:$B,$B14,Datos_items!$AA:$AA,Z$4,Datos_items!$E:$E,Analisis_grupo!$C$4))</f>
        <v/>
      </c>
      <c r="AA14" s="2" t="str">
        <f aca="false">IF($B14="","",COUNTIFS(Datos_items!$B:$B,$B14,Datos_items!$AA:$AA,AA$4,Datos_items!$E:$E,Analisis_grupo!$C$4))</f>
        <v/>
      </c>
      <c r="AB14" s="2" t="str">
        <f aca="false">IF($B14="","",COUNTIFS(Datos_items!$B:$B,$B14,Datos_items!$AA:$AA,AB$4,Datos_items!$E:$E,Analisis_grupo!$C$4))</f>
        <v/>
      </c>
      <c r="AC14" s="2" t="str">
        <f aca="false">IF($B14="","",COUNTIFS(Datos_items!$B:$B,$B14,Datos_items!$AA:$AA,AC$4,Datos_items!$E:$E,Analisis_grupo!$C$4))</f>
        <v/>
      </c>
      <c r="AD14" s="2" t="str">
        <f aca="false">IF($B14="","",COUNTIFS(Datos_items!$B:$B,$B14,Datos_items!$AA:$AA,AD$4,Datos_items!$E:$E,Analisis_grupo!$C$4))</f>
        <v/>
      </c>
      <c r="AE14" s="2" t="str">
        <f aca="false">IF($B14="","",COUNTIFS(Datos_items!$B:$B,$B14,Datos_items!$AA:$AA,AE$4,Datos_items!$E:$E,Analisis_grupo!$C$4))</f>
        <v/>
      </c>
      <c r="AF14" s="2" t="str">
        <f aca="false">IF($B14="","",COUNTIFS(Datos_items!$B:$B,$B14,Datos_items!$AA:$AA,AF$4,Datos_items!$E:$E,Analisis_grupo!$C$4))</f>
        <v/>
      </c>
      <c r="AG14" s="2" t="str">
        <f aca="false">IF($B14="","",COUNTIFS(Datos_items!$B:$B,$B14,Datos_items!$AA:$AA,AG$4,Datos_items!$E:$E,Analisis_grupo!$C$4))</f>
        <v/>
      </c>
      <c r="AH14" s="2" t="str">
        <f aca="false">IF($B14="","",COUNTIFS(Datos_items!$B:$B,$B14,Datos_items!$AA:$AA,AH$4,Datos_items!$E:$E,Analisis_grupo!$C$4))</f>
        <v/>
      </c>
      <c r="AI14" s="2" t="str">
        <f aca="false">IF($B14="","",COUNTIFS(Datos_items!$B:$B,$B14,Datos_items!$AA:$AA,AI$4,Datos_items!$E:$E,Analisis_grupo!$C$4))</f>
        <v/>
      </c>
      <c r="AJ14" s="2" t="str">
        <f aca="false">IF($B14="","",COUNTIFS(Datos_items!$B:$B,$B14,Datos_items!$AA:$AA,AJ$4,Datos_items!$E:$E,Analisis_grupo!$C$4))</f>
        <v/>
      </c>
      <c r="AK14" s="2" t="str">
        <f aca="false">IF($B14="","",COUNTIFS(Datos_items!$B:$B,$B14,Datos_items!$AA:$AA,AK$4,Datos_items!$E:$E,Analisis_grupo!$C$4))</f>
        <v/>
      </c>
      <c r="AL14" s="2" t="str">
        <f aca="false">IF($B14="","",COUNTIFS(Datos_items!$B:$B,$B14,Datos_items!$AA:$AA,AL$4,Datos_items!$E:$E,Analisis_grupo!$C$4))</f>
        <v/>
      </c>
      <c r="AM14" s="2" t="str">
        <f aca="false">IF($B14="","",IF(MAX(Y14:AL14)=0,"",INDEX($Y$4:$AL$4,MATCH(MAX(Y14:AL14),Y14:AL14,0))))</f>
        <v/>
      </c>
      <c r="AN14" s="2" t="str">
        <f aca="false">IF($B14="","",COUNTIFS(Datos_problemas!$B:$B,$B14,Datos_problemas!$F:$F,"Práctica"))</f>
        <v/>
      </c>
      <c r="AO14" s="2" t="str">
        <f aca="false">IF($B14="","",SUMIFS(Datos_problemas!$AQ:$AQ,Datos_problemas!$B:$B,$B14,Datos_problemas!$F:$F,"Práctica"))</f>
        <v/>
      </c>
      <c r="AP14" s="2" t="str">
        <f aca="false">IF($B14="","",COUNTIFS(Datos_problemas!$B:$B,$B14,Datos_problemas!$F:$F,"Práctica",Datos_problemas!$AS:$AS,"Sí"))</f>
        <v/>
      </c>
    </row>
    <row r="15" customFormat="false" ht="15" hidden="false" customHeight="false" outlineLevel="0" collapsed="false">
      <c r="A15" s="2" t="n">
        <v>11</v>
      </c>
      <c r="B15" s="2" t="str">
        <f aca="false">IFERROR(INDEX(Datos_problemas!$B:$B,MATCH($A15,Datos_problemas!$AV:$AV,0)),"")</f>
        <v/>
      </c>
      <c r="C15" s="2" t="str">
        <f aca="false">IF($B15="","",INDEX(Datos_problemas!$C:$C,MATCH($A15,Datos_problemas!$AV:$AV,0)))</f>
        <v/>
      </c>
      <c r="D15" s="2" t="str">
        <f aca="false">IF($B15="","",INDEX(Datos_problemas!$D:$D,MATCH($A15,Datos_problemas!$AV:$AV,0)))</f>
        <v/>
      </c>
      <c r="E15" s="2" t="str">
        <f aca="false">IF($B15="","",COUNTIFS(Datos_problemas!$B:$B,$B15,Datos_problemas!$F:$F,"Evaluación"))</f>
        <v/>
      </c>
      <c r="F15" s="20" t="str">
        <f aca="false">IF($B15="","",IFERROR(AVERAGEIFS(Datos_problemas!$AE:$AE,Datos_problemas!$B:$B,$B15,Datos_problemas!$F:$F,"Evaluación"),""))</f>
        <v/>
      </c>
      <c r="G15" s="20" t="str">
        <f aca="false">IF($B15="","",IFERROR(AVERAGEIFS(Datos_problemas!$AE:$AE,Datos_problemas!$B:$B,$B15,Datos_problemas!$F:$F,"Evaluación",Datos_problemas!$E:$E,"Diagnóstico"),""))</f>
        <v/>
      </c>
      <c r="H15" s="20" t="str">
        <f aca="false">IF($B15="","",IFERROR(AVERAGEIFS(Datos_problemas!$AE:$AE,Datos_problemas!$B:$B,$B15,Datos_problemas!$F:$F,"Evaluación",Datos_problemas!$E:$E,"Final"),""))</f>
        <v/>
      </c>
      <c r="I15" s="21" t="str">
        <f aca="false">IF(OR(G15="",H15=""),"",IF(G15&gt;=10,"",(H15-G15)/(10-G15)))</f>
        <v/>
      </c>
      <c r="J15" s="18" t="str">
        <f aca="false">IF($B15="","",IFERROR(SUMIFS(Datos_items!$Z:$Z,Datos_items!$B:$B,$B15,Datos_items!$O:$O,J$4,Datos_items!$E:$E,Analisis_grupo!$C$4)/COUNTIFS(Datos_items!$B:$B,$B15,Datos_items!$O:$O,J$4,Datos_items!$E:$E,Analisis_grupo!$C$4),""))</f>
        <v/>
      </c>
      <c r="K15" s="18" t="str">
        <f aca="false">IF($B15="","",IFERROR(SUMIFS(Datos_items!$Z:$Z,Datos_items!$B:$B,$B15,Datos_items!$O:$O,K$4,Datos_items!$E:$E,Analisis_grupo!$C$4)/COUNTIFS(Datos_items!$B:$B,$B15,Datos_items!$O:$O,K$4,Datos_items!$E:$E,Analisis_grupo!$C$4),""))</f>
        <v/>
      </c>
      <c r="L15" s="18" t="str">
        <f aca="false">IF($B15="","",IFERROR(SUMIFS(Datos_items!$Z:$Z,Datos_items!$B:$B,$B15,Datos_items!$O:$O,L$4,Datos_items!$E:$E,Analisis_grupo!$C$4)/COUNTIFS(Datos_items!$B:$B,$B15,Datos_items!$O:$O,L$4,Datos_items!$E:$E,Analisis_grupo!$C$4),""))</f>
        <v/>
      </c>
      <c r="M15" s="18" t="str">
        <f aca="false">IF($B15="","",IFERROR(SUMIFS(Datos_items!$Z:$Z,Datos_items!$B:$B,$B15,Datos_items!$O:$O,M$4,Datos_items!$E:$E,Analisis_grupo!$C$4)/COUNTIFS(Datos_items!$B:$B,$B15,Datos_items!$O:$O,M$4,Datos_items!$E:$E,Analisis_grupo!$C$4),""))</f>
        <v/>
      </c>
      <c r="N15" s="18" t="str">
        <f aca="false">IF($B15="","",IFERROR(SUMIFS(Datos_items!$Z:$Z,Datos_items!$B:$B,$B15,Datos_items!$O:$O,N$4,Datos_items!$E:$E,Analisis_grupo!$C$4)/COUNTIFS(Datos_items!$B:$B,$B15,Datos_items!$O:$O,N$4,Datos_items!$E:$E,Analisis_grupo!$C$4),""))</f>
        <v/>
      </c>
      <c r="O15" s="18" t="str">
        <f aca="false">IF($B15="","",IFERROR(SUMIFS(Datos_items!$Z:$Z,Datos_items!$B:$B,$B15,Datos_items!$O:$O,O$4,Datos_items!$E:$E,Analisis_grupo!$C$4)/COUNTIFS(Datos_items!$B:$B,$B15,Datos_items!$O:$O,O$4,Datos_items!$E:$E,Analisis_grupo!$C$4),""))</f>
        <v/>
      </c>
      <c r="P15" s="18" t="str">
        <f aca="false">IF($B15="","",IFERROR(SUMIFS(Datos_items!$Z:$Z,Datos_items!$B:$B,$B15,Datos_items!$O:$O,P$4,Datos_items!$E:$E,Analisis_grupo!$C$4)/COUNTIFS(Datos_items!$B:$B,$B15,Datos_items!$O:$O,P$4,Datos_items!$E:$E,Analisis_grupo!$C$4),""))</f>
        <v/>
      </c>
      <c r="Q15" s="18" t="str">
        <f aca="false">IF($B15="","",IFERROR(SUMIFS(Datos_items!$Z:$Z,Datos_items!$B:$B,$B15,Datos_items!$O:$O,Q$4,Datos_items!$E:$E,Analisis_grupo!$C$4)/COUNTIFS(Datos_items!$B:$B,$B15,Datos_items!$O:$O,Q$4,Datos_items!$E:$E,Analisis_grupo!$C$4),""))</f>
        <v/>
      </c>
      <c r="R15" s="2" t="str">
        <f aca="false">IF(COUNT(J15:Q15)=0,"",IF(MIN(J15:Q15)&gt;=Analisis_grupo!$B$7,"(ninguna)",INDEX($J$4:$Q$4,MATCH(MIN(J15:Q15),J15:Q15,0))))</f>
        <v/>
      </c>
      <c r="S15" s="2" t="str">
        <f aca="false">IF($B15="","",COUNTIF(J15:Q15,"&lt;"&amp;Analisis_grupo!$B$7))</f>
        <v/>
      </c>
      <c r="T15" s="2" t="str">
        <f aca="false">IF($B15="","",COUNTIFS(Datos_items!$B:$B,$B15,Datos_items!$AA:$AA,T$4,Datos_items!$E:$E,Analisis_grupo!$C$4))</f>
        <v/>
      </c>
      <c r="U15" s="2" t="str">
        <f aca="false">IF($B15="","",COUNTIFS(Datos_items!$B:$B,$B15,Datos_items!$AA:$AA,U$4,Datos_items!$E:$E,Analisis_grupo!$C$4))</f>
        <v/>
      </c>
      <c r="V15" s="2" t="str">
        <f aca="false">IF($B15="","",COUNTIFS(Datos_items!$B:$B,$B15,Datos_items!$AA:$AA,V$4,Datos_items!$E:$E,Analisis_grupo!$C$4))</f>
        <v/>
      </c>
      <c r="W15" s="2" t="str">
        <f aca="false">IF($B15="","",COUNTIFS(Datos_items!$B:$B,$B15,Datos_items!$AA:$AA,W$4,Datos_items!$E:$E,Analisis_grupo!$C$4))</f>
        <v/>
      </c>
      <c r="X15" s="2" t="str">
        <f aca="false">IF($B15="","",COUNTIFS(Datos_items!$B:$B,$B15,Datos_items!$AA:$AA,X$4,Datos_items!$E:$E,Analisis_grupo!$C$4))</f>
        <v/>
      </c>
      <c r="Y15" s="2" t="str">
        <f aca="false">IF($B15="","",COUNTIFS(Datos_items!$B:$B,$B15,Datos_items!$AA:$AA,Y$4,Datos_items!$E:$E,Analisis_grupo!$C$4))</f>
        <v/>
      </c>
      <c r="Z15" s="2" t="str">
        <f aca="false">IF($B15="","",COUNTIFS(Datos_items!$B:$B,$B15,Datos_items!$AA:$AA,Z$4,Datos_items!$E:$E,Analisis_grupo!$C$4))</f>
        <v/>
      </c>
      <c r="AA15" s="2" t="str">
        <f aca="false">IF($B15="","",COUNTIFS(Datos_items!$B:$B,$B15,Datos_items!$AA:$AA,AA$4,Datos_items!$E:$E,Analisis_grupo!$C$4))</f>
        <v/>
      </c>
      <c r="AB15" s="2" t="str">
        <f aca="false">IF($B15="","",COUNTIFS(Datos_items!$B:$B,$B15,Datos_items!$AA:$AA,AB$4,Datos_items!$E:$E,Analisis_grupo!$C$4))</f>
        <v/>
      </c>
      <c r="AC15" s="2" t="str">
        <f aca="false">IF($B15="","",COUNTIFS(Datos_items!$B:$B,$B15,Datos_items!$AA:$AA,AC$4,Datos_items!$E:$E,Analisis_grupo!$C$4))</f>
        <v/>
      </c>
      <c r="AD15" s="2" t="str">
        <f aca="false">IF($B15="","",COUNTIFS(Datos_items!$B:$B,$B15,Datos_items!$AA:$AA,AD$4,Datos_items!$E:$E,Analisis_grupo!$C$4))</f>
        <v/>
      </c>
      <c r="AE15" s="2" t="str">
        <f aca="false">IF($B15="","",COUNTIFS(Datos_items!$B:$B,$B15,Datos_items!$AA:$AA,AE$4,Datos_items!$E:$E,Analisis_grupo!$C$4))</f>
        <v/>
      </c>
      <c r="AF15" s="2" t="str">
        <f aca="false">IF($B15="","",COUNTIFS(Datos_items!$B:$B,$B15,Datos_items!$AA:$AA,AF$4,Datos_items!$E:$E,Analisis_grupo!$C$4))</f>
        <v/>
      </c>
      <c r="AG15" s="2" t="str">
        <f aca="false">IF($B15="","",COUNTIFS(Datos_items!$B:$B,$B15,Datos_items!$AA:$AA,AG$4,Datos_items!$E:$E,Analisis_grupo!$C$4))</f>
        <v/>
      </c>
      <c r="AH15" s="2" t="str">
        <f aca="false">IF($B15="","",COUNTIFS(Datos_items!$B:$B,$B15,Datos_items!$AA:$AA,AH$4,Datos_items!$E:$E,Analisis_grupo!$C$4))</f>
        <v/>
      </c>
      <c r="AI15" s="2" t="str">
        <f aca="false">IF($B15="","",COUNTIFS(Datos_items!$B:$B,$B15,Datos_items!$AA:$AA,AI$4,Datos_items!$E:$E,Analisis_grupo!$C$4))</f>
        <v/>
      </c>
      <c r="AJ15" s="2" t="str">
        <f aca="false">IF($B15="","",COUNTIFS(Datos_items!$B:$B,$B15,Datos_items!$AA:$AA,AJ$4,Datos_items!$E:$E,Analisis_grupo!$C$4))</f>
        <v/>
      </c>
      <c r="AK15" s="2" t="str">
        <f aca="false">IF($B15="","",COUNTIFS(Datos_items!$B:$B,$B15,Datos_items!$AA:$AA,AK$4,Datos_items!$E:$E,Analisis_grupo!$C$4))</f>
        <v/>
      </c>
      <c r="AL15" s="2" t="str">
        <f aca="false">IF($B15="","",COUNTIFS(Datos_items!$B:$B,$B15,Datos_items!$AA:$AA,AL$4,Datos_items!$E:$E,Analisis_grupo!$C$4))</f>
        <v/>
      </c>
      <c r="AM15" s="2" t="str">
        <f aca="false">IF($B15="","",IF(MAX(Y15:AL15)=0,"",INDEX($Y$4:$AL$4,MATCH(MAX(Y15:AL15),Y15:AL15,0))))</f>
        <v/>
      </c>
      <c r="AN15" s="2" t="str">
        <f aca="false">IF($B15="","",COUNTIFS(Datos_problemas!$B:$B,$B15,Datos_problemas!$F:$F,"Práctica"))</f>
        <v/>
      </c>
      <c r="AO15" s="2" t="str">
        <f aca="false">IF($B15="","",SUMIFS(Datos_problemas!$AQ:$AQ,Datos_problemas!$B:$B,$B15,Datos_problemas!$F:$F,"Práctica"))</f>
        <v/>
      </c>
      <c r="AP15" s="2" t="str">
        <f aca="false">IF($B15="","",COUNTIFS(Datos_problemas!$B:$B,$B15,Datos_problemas!$F:$F,"Práctica",Datos_problemas!$AS:$AS,"Sí"))</f>
        <v/>
      </c>
    </row>
    <row r="16" customFormat="false" ht="15" hidden="false" customHeight="false" outlineLevel="0" collapsed="false">
      <c r="A16" s="2" t="n">
        <v>12</v>
      </c>
      <c r="B16" s="2" t="str">
        <f aca="false">IFERROR(INDEX(Datos_problemas!$B:$B,MATCH($A16,Datos_problemas!$AV:$AV,0)),"")</f>
        <v/>
      </c>
      <c r="C16" s="2" t="str">
        <f aca="false">IF($B16="","",INDEX(Datos_problemas!$C:$C,MATCH($A16,Datos_problemas!$AV:$AV,0)))</f>
        <v/>
      </c>
      <c r="D16" s="2" t="str">
        <f aca="false">IF($B16="","",INDEX(Datos_problemas!$D:$D,MATCH($A16,Datos_problemas!$AV:$AV,0)))</f>
        <v/>
      </c>
      <c r="E16" s="2" t="str">
        <f aca="false">IF($B16="","",COUNTIFS(Datos_problemas!$B:$B,$B16,Datos_problemas!$F:$F,"Evaluación"))</f>
        <v/>
      </c>
      <c r="F16" s="20" t="str">
        <f aca="false">IF($B16="","",IFERROR(AVERAGEIFS(Datos_problemas!$AE:$AE,Datos_problemas!$B:$B,$B16,Datos_problemas!$F:$F,"Evaluación"),""))</f>
        <v/>
      </c>
      <c r="G16" s="20" t="str">
        <f aca="false">IF($B16="","",IFERROR(AVERAGEIFS(Datos_problemas!$AE:$AE,Datos_problemas!$B:$B,$B16,Datos_problemas!$F:$F,"Evaluación",Datos_problemas!$E:$E,"Diagnóstico"),""))</f>
        <v/>
      </c>
      <c r="H16" s="20" t="str">
        <f aca="false">IF($B16="","",IFERROR(AVERAGEIFS(Datos_problemas!$AE:$AE,Datos_problemas!$B:$B,$B16,Datos_problemas!$F:$F,"Evaluación",Datos_problemas!$E:$E,"Final"),""))</f>
        <v/>
      </c>
      <c r="I16" s="21" t="str">
        <f aca="false">IF(OR(G16="",H16=""),"",IF(G16&gt;=10,"",(H16-G16)/(10-G16)))</f>
        <v/>
      </c>
      <c r="J16" s="18" t="str">
        <f aca="false">IF($B16="","",IFERROR(SUMIFS(Datos_items!$Z:$Z,Datos_items!$B:$B,$B16,Datos_items!$O:$O,J$4,Datos_items!$E:$E,Analisis_grupo!$C$4)/COUNTIFS(Datos_items!$B:$B,$B16,Datos_items!$O:$O,J$4,Datos_items!$E:$E,Analisis_grupo!$C$4),""))</f>
        <v/>
      </c>
      <c r="K16" s="18" t="str">
        <f aca="false">IF($B16="","",IFERROR(SUMIFS(Datos_items!$Z:$Z,Datos_items!$B:$B,$B16,Datos_items!$O:$O,K$4,Datos_items!$E:$E,Analisis_grupo!$C$4)/COUNTIFS(Datos_items!$B:$B,$B16,Datos_items!$O:$O,K$4,Datos_items!$E:$E,Analisis_grupo!$C$4),""))</f>
        <v/>
      </c>
      <c r="L16" s="18" t="str">
        <f aca="false">IF($B16="","",IFERROR(SUMIFS(Datos_items!$Z:$Z,Datos_items!$B:$B,$B16,Datos_items!$O:$O,L$4,Datos_items!$E:$E,Analisis_grupo!$C$4)/COUNTIFS(Datos_items!$B:$B,$B16,Datos_items!$O:$O,L$4,Datos_items!$E:$E,Analisis_grupo!$C$4),""))</f>
        <v/>
      </c>
      <c r="M16" s="18" t="str">
        <f aca="false">IF($B16="","",IFERROR(SUMIFS(Datos_items!$Z:$Z,Datos_items!$B:$B,$B16,Datos_items!$O:$O,M$4,Datos_items!$E:$E,Analisis_grupo!$C$4)/COUNTIFS(Datos_items!$B:$B,$B16,Datos_items!$O:$O,M$4,Datos_items!$E:$E,Analisis_grupo!$C$4),""))</f>
        <v/>
      </c>
      <c r="N16" s="18" t="str">
        <f aca="false">IF($B16="","",IFERROR(SUMIFS(Datos_items!$Z:$Z,Datos_items!$B:$B,$B16,Datos_items!$O:$O,N$4,Datos_items!$E:$E,Analisis_grupo!$C$4)/COUNTIFS(Datos_items!$B:$B,$B16,Datos_items!$O:$O,N$4,Datos_items!$E:$E,Analisis_grupo!$C$4),""))</f>
        <v/>
      </c>
      <c r="O16" s="18" t="str">
        <f aca="false">IF($B16="","",IFERROR(SUMIFS(Datos_items!$Z:$Z,Datos_items!$B:$B,$B16,Datos_items!$O:$O,O$4,Datos_items!$E:$E,Analisis_grupo!$C$4)/COUNTIFS(Datos_items!$B:$B,$B16,Datos_items!$O:$O,O$4,Datos_items!$E:$E,Analisis_grupo!$C$4),""))</f>
        <v/>
      </c>
      <c r="P16" s="18" t="str">
        <f aca="false">IF($B16="","",IFERROR(SUMIFS(Datos_items!$Z:$Z,Datos_items!$B:$B,$B16,Datos_items!$O:$O,P$4,Datos_items!$E:$E,Analisis_grupo!$C$4)/COUNTIFS(Datos_items!$B:$B,$B16,Datos_items!$O:$O,P$4,Datos_items!$E:$E,Analisis_grupo!$C$4),""))</f>
        <v/>
      </c>
      <c r="Q16" s="18" t="str">
        <f aca="false">IF($B16="","",IFERROR(SUMIFS(Datos_items!$Z:$Z,Datos_items!$B:$B,$B16,Datos_items!$O:$O,Q$4,Datos_items!$E:$E,Analisis_grupo!$C$4)/COUNTIFS(Datos_items!$B:$B,$B16,Datos_items!$O:$O,Q$4,Datos_items!$E:$E,Analisis_grupo!$C$4),""))</f>
        <v/>
      </c>
      <c r="R16" s="2" t="str">
        <f aca="false">IF(COUNT(J16:Q16)=0,"",IF(MIN(J16:Q16)&gt;=Analisis_grupo!$B$7,"(ninguna)",INDEX($J$4:$Q$4,MATCH(MIN(J16:Q16),J16:Q16,0))))</f>
        <v/>
      </c>
      <c r="S16" s="2" t="str">
        <f aca="false">IF($B16="","",COUNTIF(J16:Q16,"&lt;"&amp;Analisis_grupo!$B$7))</f>
        <v/>
      </c>
      <c r="T16" s="2" t="str">
        <f aca="false">IF($B16="","",COUNTIFS(Datos_items!$B:$B,$B16,Datos_items!$AA:$AA,T$4,Datos_items!$E:$E,Analisis_grupo!$C$4))</f>
        <v/>
      </c>
      <c r="U16" s="2" t="str">
        <f aca="false">IF($B16="","",COUNTIFS(Datos_items!$B:$B,$B16,Datos_items!$AA:$AA,U$4,Datos_items!$E:$E,Analisis_grupo!$C$4))</f>
        <v/>
      </c>
      <c r="V16" s="2" t="str">
        <f aca="false">IF($B16="","",COUNTIFS(Datos_items!$B:$B,$B16,Datos_items!$AA:$AA,V$4,Datos_items!$E:$E,Analisis_grupo!$C$4))</f>
        <v/>
      </c>
      <c r="W16" s="2" t="str">
        <f aca="false">IF($B16="","",COUNTIFS(Datos_items!$B:$B,$B16,Datos_items!$AA:$AA,W$4,Datos_items!$E:$E,Analisis_grupo!$C$4))</f>
        <v/>
      </c>
      <c r="X16" s="2" t="str">
        <f aca="false">IF($B16="","",COUNTIFS(Datos_items!$B:$B,$B16,Datos_items!$AA:$AA,X$4,Datos_items!$E:$E,Analisis_grupo!$C$4))</f>
        <v/>
      </c>
      <c r="Y16" s="2" t="str">
        <f aca="false">IF($B16="","",COUNTIFS(Datos_items!$B:$B,$B16,Datos_items!$AA:$AA,Y$4,Datos_items!$E:$E,Analisis_grupo!$C$4))</f>
        <v/>
      </c>
      <c r="Z16" s="2" t="str">
        <f aca="false">IF($B16="","",COUNTIFS(Datos_items!$B:$B,$B16,Datos_items!$AA:$AA,Z$4,Datos_items!$E:$E,Analisis_grupo!$C$4))</f>
        <v/>
      </c>
      <c r="AA16" s="2" t="str">
        <f aca="false">IF($B16="","",COUNTIFS(Datos_items!$B:$B,$B16,Datos_items!$AA:$AA,AA$4,Datos_items!$E:$E,Analisis_grupo!$C$4))</f>
        <v/>
      </c>
      <c r="AB16" s="2" t="str">
        <f aca="false">IF($B16="","",COUNTIFS(Datos_items!$B:$B,$B16,Datos_items!$AA:$AA,AB$4,Datos_items!$E:$E,Analisis_grupo!$C$4))</f>
        <v/>
      </c>
      <c r="AC16" s="2" t="str">
        <f aca="false">IF($B16="","",COUNTIFS(Datos_items!$B:$B,$B16,Datos_items!$AA:$AA,AC$4,Datos_items!$E:$E,Analisis_grupo!$C$4))</f>
        <v/>
      </c>
      <c r="AD16" s="2" t="str">
        <f aca="false">IF($B16="","",COUNTIFS(Datos_items!$B:$B,$B16,Datos_items!$AA:$AA,AD$4,Datos_items!$E:$E,Analisis_grupo!$C$4))</f>
        <v/>
      </c>
      <c r="AE16" s="2" t="str">
        <f aca="false">IF($B16="","",COUNTIFS(Datos_items!$B:$B,$B16,Datos_items!$AA:$AA,AE$4,Datos_items!$E:$E,Analisis_grupo!$C$4))</f>
        <v/>
      </c>
      <c r="AF16" s="2" t="str">
        <f aca="false">IF($B16="","",COUNTIFS(Datos_items!$B:$B,$B16,Datos_items!$AA:$AA,AF$4,Datos_items!$E:$E,Analisis_grupo!$C$4))</f>
        <v/>
      </c>
      <c r="AG16" s="2" t="str">
        <f aca="false">IF($B16="","",COUNTIFS(Datos_items!$B:$B,$B16,Datos_items!$AA:$AA,AG$4,Datos_items!$E:$E,Analisis_grupo!$C$4))</f>
        <v/>
      </c>
      <c r="AH16" s="2" t="str">
        <f aca="false">IF($B16="","",COUNTIFS(Datos_items!$B:$B,$B16,Datos_items!$AA:$AA,AH$4,Datos_items!$E:$E,Analisis_grupo!$C$4))</f>
        <v/>
      </c>
      <c r="AI16" s="2" t="str">
        <f aca="false">IF($B16="","",COUNTIFS(Datos_items!$B:$B,$B16,Datos_items!$AA:$AA,AI$4,Datos_items!$E:$E,Analisis_grupo!$C$4))</f>
        <v/>
      </c>
      <c r="AJ16" s="2" t="str">
        <f aca="false">IF($B16="","",COUNTIFS(Datos_items!$B:$B,$B16,Datos_items!$AA:$AA,AJ$4,Datos_items!$E:$E,Analisis_grupo!$C$4))</f>
        <v/>
      </c>
      <c r="AK16" s="2" t="str">
        <f aca="false">IF($B16="","",COUNTIFS(Datos_items!$B:$B,$B16,Datos_items!$AA:$AA,AK$4,Datos_items!$E:$E,Analisis_grupo!$C$4))</f>
        <v/>
      </c>
      <c r="AL16" s="2" t="str">
        <f aca="false">IF($B16="","",COUNTIFS(Datos_items!$B:$B,$B16,Datos_items!$AA:$AA,AL$4,Datos_items!$E:$E,Analisis_grupo!$C$4))</f>
        <v/>
      </c>
      <c r="AM16" s="2" t="str">
        <f aca="false">IF($B16="","",IF(MAX(Y16:AL16)=0,"",INDEX($Y$4:$AL$4,MATCH(MAX(Y16:AL16),Y16:AL16,0))))</f>
        <v/>
      </c>
      <c r="AN16" s="2" t="str">
        <f aca="false">IF($B16="","",COUNTIFS(Datos_problemas!$B:$B,$B16,Datos_problemas!$F:$F,"Práctica"))</f>
        <v/>
      </c>
      <c r="AO16" s="2" t="str">
        <f aca="false">IF($B16="","",SUMIFS(Datos_problemas!$AQ:$AQ,Datos_problemas!$B:$B,$B16,Datos_problemas!$F:$F,"Práctica"))</f>
        <v/>
      </c>
      <c r="AP16" s="2" t="str">
        <f aca="false">IF($B16="","",COUNTIFS(Datos_problemas!$B:$B,$B16,Datos_problemas!$F:$F,"Práctica",Datos_problemas!$AS:$AS,"Sí"))</f>
        <v/>
      </c>
    </row>
    <row r="17" customFormat="false" ht="15" hidden="false" customHeight="false" outlineLevel="0" collapsed="false">
      <c r="A17" s="2" t="n">
        <v>13</v>
      </c>
      <c r="B17" s="2" t="str">
        <f aca="false">IFERROR(INDEX(Datos_problemas!$B:$B,MATCH($A17,Datos_problemas!$AV:$AV,0)),"")</f>
        <v/>
      </c>
      <c r="C17" s="2" t="str">
        <f aca="false">IF($B17="","",INDEX(Datos_problemas!$C:$C,MATCH($A17,Datos_problemas!$AV:$AV,0)))</f>
        <v/>
      </c>
      <c r="D17" s="2" t="str">
        <f aca="false">IF($B17="","",INDEX(Datos_problemas!$D:$D,MATCH($A17,Datos_problemas!$AV:$AV,0)))</f>
        <v/>
      </c>
      <c r="E17" s="2" t="str">
        <f aca="false">IF($B17="","",COUNTIFS(Datos_problemas!$B:$B,$B17,Datos_problemas!$F:$F,"Evaluación"))</f>
        <v/>
      </c>
      <c r="F17" s="20" t="str">
        <f aca="false">IF($B17="","",IFERROR(AVERAGEIFS(Datos_problemas!$AE:$AE,Datos_problemas!$B:$B,$B17,Datos_problemas!$F:$F,"Evaluación"),""))</f>
        <v/>
      </c>
      <c r="G17" s="20" t="str">
        <f aca="false">IF($B17="","",IFERROR(AVERAGEIFS(Datos_problemas!$AE:$AE,Datos_problemas!$B:$B,$B17,Datos_problemas!$F:$F,"Evaluación",Datos_problemas!$E:$E,"Diagnóstico"),""))</f>
        <v/>
      </c>
      <c r="H17" s="20" t="str">
        <f aca="false">IF($B17="","",IFERROR(AVERAGEIFS(Datos_problemas!$AE:$AE,Datos_problemas!$B:$B,$B17,Datos_problemas!$F:$F,"Evaluación",Datos_problemas!$E:$E,"Final"),""))</f>
        <v/>
      </c>
      <c r="I17" s="21" t="str">
        <f aca="false">IF(OR(G17="",H17=""),"",IF(G17&gt;=10,"",(H17-G17)/(10-G17)))</f>
        <v/>
      </c>
      <c r="J17" s="18" t="str">
        <f aca="false">IF($B17="","",IFERROR(SUMIFS(Datos_items!$Z:$Z,Datos_items!$B:$B,$B17,Datos_items!$O:$O,J$4,Datos_items!$E:$E,Analisis_grupo!$C$4)/COUNTIFS(Datos_items!$B:$B,$B17,Datos_items!$O:$O,J$4,Datos_items!$E:$E,Analisis_grupo!$C$4),""))</f>
        <v/>
      </c>
      <c r="K17" s="18" t="str">
        <f aca="false">IF($B17="","",IFERROR(SUMIFS(Datos_items!$Z:$Z,Datos_items!$B:$B,$B17,Datos_items!$O:$O,K$4,Datos_items!$E:$E,Analisis_grupo!$C$4)/COUNTIFS(Datos_items!$B:$B,$B17,Datos_items!$O:$O,K$4,Datos_items!$E:$E,Analisis_grupo!$C$4),""))</f>
        <v/>
      </c>
      <c r="L17" s="18" t="str">
        <f aca="false">IF($B17="","",IFERROR(SUMIFS(Datos_items!$Z:$Z,Datos_items!$B:$B,$B17,Datos_items!$O:$O,L$4,Datos_items!$E:$E,Analisis_grupo!$C$4)/COUNTIFS(Datos_items!$B:$B,$B17,Datos_items!$O:$O,L$4,Datos_items!$E:$E,Analisis_grupo!$C$4),""))</f>
        <v/>
      </c>
      <c r="M17" s="18" t="str">
        <f aca="false">IF($B17="","",IFERROR(SUMIFS(Datos_items!$Z:$Z,Datos_items!$B:$B,$B17,Datos_items!$O:$O,M$4,Datos_items!$E:$E,Analisis_grupo!$C$4)/COUNTIFS(Datos_items!$B:$B,$B17,Datos_items!$O:$O,M$4,Datos_items!$E:$E,Analisis_grupo!$C$4),""))</f>
        <v/>
      </c>
      <c r="N17" s="18" t="str">
        <f aca="false">IF($B17="","",IFERROR(SUMIFS(Datos_items!$Z:$Z,Datos_items!$B:$B,$B17,Datos_items!$O:$O,N$4,Datos_items!$E:$E,Analisis_grupo!$C$4)/COUNTIFS(Datos_items!$B:$B,$B17,Datos_items!$O:$O,N$4,Datos_items!$E:$E,Analisis_grupo!$C$4),""))</f>
        <v/>
      </c>
      <c r="O17" s="18" t="str">
        <f aca="false">IF($B17="","",IFERROR(SUMIFS(Datos_items!$Z:$Z,Datos_items!$B:$B,$B17,Datos_items!$O:$O,O$4,Datos_items!$E:$E,Analisis_grupo!$C$4)/COUNTIFS(Datos_items!$B:$B,$B17,Datos_items!$O:$O,O$4,Datos_items!$E:$E,Analisis_grupo!$C$4),""))</f>
        <v/>
      </c>
      <c r="P17" s="18" t="str">
        <f aca="false">IF($B17="","",IFERROR(SUMIFS(Datos_items!$Z:$Z,Datos_items!$B:$B,$B17,Datos_items!$O:$O,P$4,Datos_items!$E:$E,Analisis_grupo!$C$4)/COUNTIFS(Datos_items!$B:$B,$B17,Datos_items!$O:$O,P$4,Datos_items!$E:$E,Analisis_grupo!$C$4),""))</f>
        <v/>
      </c>
      <c r="Q17" s="18" t="str">
        <f aca="false">IF($B17="","",IFERROR(SUMIFS(Datos_items!$Z:$Z,Datos_items!$B:$B,$B17,Datos_items!$O:$O,Q$4,Datos_items!$E:$E,Analisis_grupo!$C$4)/COUNTIFS(Datos_items!$B:$B,$B17,Datos_items!$O:$O,Q$4,Datos_items!$E:$E,Analisis_grupo!$C$4),""))</f>
        <v/>
      </c>
      <c r="R17" s="2" t="str">
        <f aca="false">IF(COUNT(J17:Q17)=0,"",IF(MIN(J17:Q17)&gt;=Analisis_grupo!$B$7,"(ninguna)",INDEX($J$4:$Q$4,MATCH(MIN(J17:Q17),J17:Q17,0))))</f>
        <v/>
      </c>
      <c r="S17" s="2" t="str">
        <f aca="false">IF($B17="","",COUNTIF(J17:Q17,"&lt;"&amp;Analisis_grupo!$B$7))</f>
        <v/>
      </c>
      <c r="T17" s="2" t="str">
        <f aca="false">IF($B17="","",COUNTIFS(Datos_items!$B:$B,$B17,Datos_items!$AA:$AA,T$4,Datos_items!$E:$E,Analisis_grupo!$C$4))</f>
        <v/>
      </c>
      <c r="U17" s="2" t="str">
        <f aca="false">IF($B17="","",COUNTIFS(Datos_items!$B:$B,$B17,Datos_items!$AA:$AA,U$4,Datos_items!$E:$E,Analisis_grupo!$C$4))</f>
        <v/>
      </c>
      <c r="V17" s="2" t="str">
        <f aca="false">IF($B17="","",COUNTIFS(Datos_items!$B:$B,$B17,Datos_items!$AA:$AA,V$4,Datos_items!$E:$E,Analisis_grupo!$C$4))</f>
        <v/>
      </c>
      <c r="W17" s="2" t="str">
        <f aca="false">IF($B17="","",COUNTIFS(Datos_items!$B:$B,$B17,Datos_items!$AA:$AA,W$4,Datos_items!$E:$E,Analisis_grupo!$C$4))</f>
        <v/>
      </c>
      <c r="X17" s="2" t="str">
        <f aca="false">IF($B17="","",COUNTIFS(Datos_items!$B:$B,$B17,Datos_items!$AA:$AA,X$4,Datos_items!$E:$E,Analisis_grupo!$C$4))</f>
        <v/>
      </c>
      <c r="Y17" s="2" t="str">
        <f aca="false">IF($B17="","",COUNTIFS(Datos_items!$B:$B,$B17,Datos_items!$AA:$AA,Y$4,Datos_items!$E:$E,Analisis_grupo!$C$4))</f>
        <v/>
      </c>
      <c r="Z17" s="2" t="str">
        <f aca="false">IF($B17="","",COUNTIFS(Datos_items!$B:$B,$B17,Datos_items!$AA:$AA,Z$4,Datos_items!$E:$E,Analisis_grupo!$C$4))</f>
        <v/>
      </c>
      <c r="AA17" s="2" t="str">
        <f aca="false">IF($B17="","",COUNTIFS(Datos_items!$B:$B,$B17,Datos_items!$AA:$AA,AA$4,Datos_items!$E:$E,Analisis_grupo!$C$4))</f>
        <v/>
      </c>
      <c r="AB17" s="2" t="str">
        <f aca="false">IF($B17="","",COUNTIFS(Datos_items!$B:$B,$B17,Datos_items!$AA:$AA,AB$4,Datos_items!$E:$E,Analisis_grupo!$C$4))</f>
        <v/>
      </c>
      <c r="AC17" s="2" t="str">
        <f aca="false">IF($B17="","",COUNTIFS(Datos_items!$B:$B,$B17,Datos_items!$AA:$AA,AC$4,Datos_items!$E:$E,Analisis_grupo!$C$4))</f>
        <v/>
      </c>
      <c r="AD17" s="2" t="str">
        <f aca="false">IF($B17="","",COUNTIFS(Datos_items!$B:$B,$B17,Datos_items!$AA:$AA,AD$4,Datos_items!$E:$E,Analisis_grupo!$C$4))</f>
        <v/>
      </c>
      <c r="AE17" s="2" t="str">
        <f aca="false">IF($B17="","",COUNTIFS(Datos_items!$B:$B,$B17,Datos_items!$AA:$AA,AE$4,Datos_items!$E:$E,Analisis_grupo!$C$4))</f>
        <v/>
      </c>
      <c r="AF17" s="2" t="str">
        <f aca="false">IF($B17="","",COUNTIFS(Datos_items!$B:$B,$B17,Datos_items!$AA:$AA,AF$4,Datos_items!$E:$E,Analisis_grupo!$C$4))</f>
        <v/>
      </c>
      <c r="AG17" s="2" t="str">
        <f aca="false">IF($B17="","",COUNTIFS(Datos_items!$B:$B,$B17,Datos_items!$AA:$AA,AG$4,Datos_items!$E:$E,Analisis_grupo!$C$4))</f>
        <v/>
      </c>
      <c r="AH17" s="2" t="str">
        <f aca="false">IF($B17="","",COUNTIFS(Datos_items!$B:$B,$B17,Datos_items!$AA:$AA,AH$4,Datos_items!$E:$E,Analisis_grupo!$C$4))</f>
        <v/>
      </c>
      <c r="AI17" s="2" t="str">
        <f aca="false">IF($B17="","",COUNTIFS(Datos_items!$B:$B,$B17,Datos_items!$AA:$AA,AI$4,Datos_items!$E:$E,Analisis_grupo!$C$4))</f>
        <v/>
      </c>
      <c r="AJ17" s="2" t="str">
        <f aca="false">IF($B17="","",COUNTIFS(Datos_items!$B:$B,$B17,Datos_items!$AA:$AA,AJ$4,Datos_items!$E:$E,Analisis_grupo!$C$4))</f>
        <v/>
      </c>
      <c r="AK17" s="2" t="str">
        <f aca="false">IF($B17="","",COUNTIFS(Datos_items!$B:$B,$B17,Datos_items!$AA:$AA,AK$4,Datos_items!$E:$E,Analisis_grupo!$C$4))</f>
        <v/>
      </c>
      <c r="AL17" s="2" t="str">
        <f aca="false">IF($B17="","",COUNTIFS(Datos_items!$B:$B,$B17,Datos_items!$AA:$AA,AL$4,Datos_items!$E:$E,Analisis_grupo!$C$4))</f>
        <v/>
      </c>
      <c r="AM17" s="2" t="str">
        <f aca="false">IF($B17="","",IF(MAX(Y17:AL17)=0,"",INDEX($Y$4:$AL$4,MATCH(MAX(Y17:AL17),Y17:AL17,0))))</f>
        <v/>
      </c>
      <c r="AN17" s="2" t="str">
        <f aca="false">IF($B17="","",COUNTIFS(Datos_problemas!$B:$B,$B17,Datos_problemas!$F:$F,"Práctica"))</f>
        <v/>
      </c>
      <c r="AO17" s="2" t="str">
        <f aca="false">IF($B17="","",SUMIFS(Datos_problemas!$AQ:$AQ,Datos_problemas!$B:$B,$B17,Datos_problemas!$F:$F,"Práctica"))</f>
        <v/>
      </c>
      <c r="AP17" s="2" t="str">
        <f aca="false">IF($B17="","",COUNTIFS(Datos_problemas!$B:$B,$B17,Datos_problemas!$F:$F,"Práctica",Datos_problemas!$AS:$AS,"Sí"))</f>
        <v/>
      </c>
    </row>
    <row r="18" customFormat="false" ht="15" hidden="false" customHeight="false" outlineLevel="0" collapsed="false">
      <c r="A18" s="2" t="n">
        <v>14</v>
      </c>
      <c r="B18" s="2" t="str">
        <f aca="false">IFERROR(INDEX(Datos_problemas!$B:$B,MATCH($A18,Datos_problemas!$AV:$AV,0)),"")</f>
        <v/>
      </c>
      <c r="C18" s="2" t="str">
        <f aca="false">IF($B18="","",INDEX(Datos_problemas!$C:$C,MATCH($A18,Datos_problemas!$AV:$AV,0)))</f>
        <v/>
      </c>
      <c r="D18" s="2" t="str">
        <f aca="false">IF($B18="","",INDEX(Datos_problemas!$D:$D,MATCH($A18,Datos_problemas!$AV:$AV,0)))</f>
        <v/>
      </c>
      <c r="E18" s="2" t="str">
        <f aca="false">IF($B18="","",COUNTIFS(Datos_problemas!$B:$B,$B18,Datos_problemas!$F:$F,"Evaluación"))</f>
        <v/>
      </c>
      <c r="F18" s="20" t="str">
        <f aca="false">IF($B18="","",IFERROR(AVERAGEIFS(Datos_problemas!$AE:$AE,Datos_problemas!$B:$B,$B18,Datos_problemas!$F:$F,"Evaluación"),""))</f>
        <v/>
      </c>
      <c r="G18" s="20" t="str">
        <f aca="false">IF($B18="","",IFERROR(AVERAGEIFS(Datos_problemas!$AE:$AE,Datos_problemas!$B:$B,$B18,Datos_problemas!$F:$F,"Evaluación",Datos_problemas!$E:$E,"Diagnóstico"),""))</f>
        <v/>
      </c>
      <c r="H18" s="20" t="str">
        <f aca="false">IF($B18="","",IFERROR(AVERAGEIFS(Datos_problemas!$AE:$AE,Datos_problemas!$B:$B,$B18,Datos_problemas!$F:$F,"Evaluación",Datos_problemas!$E:$E,"Final"),""))</f>
        <v/>
      </c>
      <c r="I18" s="21" t="str">
        <f aca="false">IF(OR(G18="",H18=""),"",IF(G18&gt;=10,"",(H18-G18)/(10-G18)))</f>
        <v/>
      </c>
      <c r="J18" s="18" t="str">
        <f aca="false">IF($B18="","",IFERROR(SUMIFS(Datos_items!$Z:$Z,Datos_items!$B:$B,$B18,Datos_items!$O:$O,J$4,Datos_items!$E:$E,Analisis_grupo!$C$4)/COUNTIFS(Datos_items!$B:$B,$B18,Datos_items!$O:$O,J$4,Datos_items!$E:$E,Analisis_grupo!$C$4),""))</f>
        <v/>
      </c>
      <c r="K18" s="18" t="str">
        <f aca="false">IF($B18="","",IFERROR(SUMIFS(Datos_items!$Z:$Z,Datos_items!$B:$B,$B18,Datos_items!$O:$O,K$4,Datos_items!$E:$E,Analisis_grupo!$C$4)/COUNTIFS(Datos_items!$B:$B,$B18,Datos_items!$O:$O,K$4,Datos_items!$E:$E,Analisis_grupo!$C$4),""))</f>
        <v/>
      </c>
      <c r="L18" s="18" t="str">
        <f aca="false">IF($B18="","",IFERROR(SUMIFS(Datos_items!$Z:$Z,Datos_items!$B:$B,$B18,Datos_items!$O:$O,L$4,Datos_items!$E:$E,Analisis_grupo!$C$4)/COUNTIFS(Datos_items!$B:$B,$B18,Datos_items!$O:$O,L$4,Datos_items!$E:$E,Analisis_grupo!$C$4),""))</f>
        <v/>
      </c>
      <c r="M18" s="18" t="str">
        <f aca="false">IF($B18="","",IFERROR(SUMIFS(Datos_items!$Z:$Z,Datos_items!$B:$B,$B18,Datos_items!$O:$O,M$4,Datos_items!$E:$E,Analisis_grupo!$C$4)/COUNTIFS(Datos_items!$B:$B,$B18,Datos_items!$O:$O,M$4,Datos_items!$E:$E,Analisis_grupo!$C$4),""))</f>
        <v/>
      </c>
      <c r="N18" s="18" t="str">
        <f aca="false">IF($B18="","",IFERROR(SUMIFS(Datos_items!$Z:$Z,Datos_items!$B:$B,$B18,Datos_items!$O:$O,N$4,Datos_items!$E:$E,Analisis_grupo!$C$4)/COUNTIFS(Datos_items!$B:$B,$B18,Datos_items!$O:$O,N$4,Datos_items!$E:$E,Analisis_grupo!$C$4),""))</f>
        <v/>
      </c>
      <c r="O18" s="18" t="str">
        <f aca="false">IF($B18="","",IFERROR(SUMIFS(Datos_items!$Z:$Z,Datos_items!$B:$B,$B18,Datos_items!$O:$O,O$4,Datos_items!$E:$E,Analisis_grupo!$C$4)/COUNTIFS(Datos_items!$B:$B,$B18,Datos_items!$O:$O,O$4,Datos_items!$E:$E,Analisis_grupo!$C$4),""))</f>
        <v/>
      </c>
      <c r="P18" s="18" t="str">
        <f aca="false">IF($B18="","",IFERROR(SUMIFS(Datos_items!$Z:$Z,Datos_items!$B:$B,$B18,Datos_items!$O:$O,P$4,Datos_items!$E:$E,Analisis_grupo!$C$4)/COUNTIFS(Datos_items!$B:$B,$B18,Datos_items!$O:$O,P$4,Datos_items!$E:$E,Analisis_grupo!$C$4),""))</f>
        <v/>
      </c>
      <c r="Q18" s="18" t="str">
        <f aca="false">IF($B18="","",IFERROR(SUMIFS(Datos_items!$Z:$Z,Datos_items!$B:$B,$B18,Datos_items!$O:$O,Q$4,Datos_items!$E:$E,Analisis_grupo!$C$4)/COUNTIFS(Datos_items!$B:$B,$B18,Datos_items!$O:$O,Q$4,Datos_items!$E:$E,Analisis_grupo!$C$4),""))</f>
        <v/>
      </c>
      <c r="R18" s="2" t="str">
        <f aca="false">IF(COUNT(J18:Q18)=0,"",IF(MIN(J18:Q18)&gt;=Analisis_grupo!$B$7,"(ninguna)",INDEX($J$4:$Q$4,MATCH(MIN(J18:Q18),J18:Q18,0))))</f>
        <v/>
      </c>
      <c r="S18" s="2" t="str">
        <f aca="false">IF($B18="","",COUNTIF(J18:Q18,"&lt;"&amp;Analisis_grupo!$B$7))</f>
        <v/>
      </c>
      <c r="T18" s="2" t="str">
        <f aca="false">IF($B18="","",COUNTIFS(Datos_items!$B:$B,$B18,Datos_items!$AA:$AA,T$4,Datos_items!$E:$E,Analisis_grupo!$C$4))</f>
        <v/>
      </c>
      <c r="U18" s="2" t="str">
        <f aca="false">IF($B18="","",COUNTIFS(Datos_items!$B:$B,$B18,Datos_items!$AA:$AA,U$4,Datos_items!$E:$E,Analisis_grupo!$C$4))</f>
        <v/>
      </c>
      <c r="V18" s="2" t="str">
        <f aca="false">IF($B18="","",COUNTIFS(Datos_items!$B:$B,$B18,Datos_items!$AA:$AA,V$4,Datos_items!$E:$E,Analisis_grupo!$C$4))</f>
        <v/>
      </c>
      <c r="W18" s="2" t="str">
        <f aca="false">IF($B18="","",COUNTIFS(Datos_items!$B:$B,$B18,Datos_items!$AA:$AA,W$4,Datos_items!$E:$E,Analisis_grupo!$C$4))</f>
        <v/>
      </c>
      <c r="X18" s="2" t="str">
        <f aca="false">IF($B18="","",COUNTIFS(Datos_items!$B:$B,$B18,Datos_items!$AA:$AA,X$4,Datos_items!$E:$E,Analisis_grupo!$C$4))</f>
        <v/>
      </c>
      <c r="Y18" s="2" t="str">
        <f aca="false">IF($B18="","",COUNTIFS(Datos_items!$B:$B,$B18,Datos_items!$AA:$AA,Y$4,Datos_items!$E:$E,Analisis_grupo!$C$4))</f>
        <v/>
      </c>
      <c r="Z18" s="2" t="str">
        <f aca="false">IF($B18="","",COUNTIFS(Datos_items!$B:$B,$B18,Datos_items!$AA:$AA,Z$4,Datos_items!$E:$E,Analisis_grupo!$C$4))</f>
        <v/>
      </c>
      <c r="AA18" s="2" t="str">
        <f aca="false">IF($B18="","",COUNTIFS(Datos_items!$B:$B,$B18,Datos_items!$AA:$AA,AA$4,Datos_items!$E:$E,Analisis_grupo!$C$4))</f>
        <v/>
      </c>
      <c r="AB18" s="2" t="str">
        <f aca="false">IF($B18="","",COUNTIFS(Datos_items!$B:$B,$B18,Datos_items!$AA:$AA,AB$4,Datos_items!$E:$E,Analisis_grupo!$C$4))</f>
        <v/>
      </c>
      <c r="AC18" s="2" t="str">
        <f aca="false">IF($B18="","",COUNTIFS(Datos_items!$B:$B,$B18,Datos_items!$AA:$AA,AC$4,Datos_items!$E:$E,Analisis_grupo!$C$4))</f>
        <v/>
      </c>
      <c r="AD18" s="2" t="str">
        <f aca="false">IF($B18="","",COUNTIFS(Datos_items!$B:$B,$B18,Datos_items!$AA:$AA,AD$4,Datos_items!$E:$E,Analisis_grupo!$C$4))</f>
        <v/>
      </c>
      <c r="AE18" s="2" t="str">
        <f aca="false">IF($B18="","",COUNTIFS(Datos_items!$B:$B,$B18,Datos_items!$AA:$AA,AE$4,Datos_items!$E:$E,Analisis_grupo!$C$4))</f>
        <v/>
      </c>
      <c r="AF18" s="2" t="str">
        <f aca="false">IF($B18="","",COUNTIFS(Datos_items!$B:$B,$B18,Datos_items!$AA:$AA,AF$4,Datos_items!$E:$E,Analisis_grupo!$C$4))</f>
        <v/>
      </c>
      <c r="AG18" s="2" t="str">
        <f aca="false">IF($B18="","",COUNTIFS(Datos_items!$B:$B,$B18,Datos_items!$AA:$AA,AG$4,Datos_items!$E:$E,Analisis_grupo!$C$4))</f>
        <v/>
      </c>
      <c r="AH18" s="2" t="str">
        <f aca="false">IF($B18="","",COUNTIFS(Datos_items!$B:$B,$B18,Datos_items!$AA:$AA,AH$4,Datos_items!$E:$E,Analisis_grupo!$C$4))</f>
        <v/>
      </c>
      <c r="AI18" s="2" t="str">
        <f aca="false">IF($B18="","",COUNTIFS(Datos_items!$B:$B,$B18,Datos_items!$AA:$AA,AI$4,Datos_items!$E:$E,Analisis_grupo!$C$4))</f>
        <v/>
      </c>
      <c r="AJ18" s="2" t="str">
        <f aca="false">IF($B18="","",COUNTIFS(Datos_items!$B:$B,$B18,Datos_items!$AA:$AA,AJ$4,Datos_items!$E:$E,Analisis_grupo!$C$4))</f>
        <v/>
      </c>
      <c r="AK18" s="2" t="str">
        <f aca="false">IF($B18="","",COUNTIFS(Datos_items!$B:$B,$B18,Datos_items!$AA:$AA,AK$4,Datos_items!$E:$E,Analisis_grupo!$C$4))</f>
        <v/>
      </c>
      <c r="AL18" s="2" t="str">
        <f aca="false">IF($B18="","",COUNTIFS(Datos_items!$B:$B,$B18,Datos_items!$AA:$AA,AL$4,Datos_items!$E:$E,Analisis_grupo!$C$4))</f>
        <v/>
      </c>
      <c r="AM18" s="2" t="str">
        <f aca="false">IF($B18="","",IF(MAX(Y18:AL18)=0,"",INDEX($Y$4:$AL$4,MATCH(MAX(Y18:AL18),Y18:AL18,0))))</f>
        <v/>
      </c>
      <c r="AN18" s="2" t="str">
        <f aca="false">IF($B18="","",COUNTIFS(Datos_problemas!$B:$B,$B18,Datos_problemas!$F:$F,"Práctica"))</f>
        <v/>
      </c>
      <c r="AO18" s="2" t="str">
        <f aca="false">IF($B18="","",SUMIFS(Datos_problemas!$AQ:$AQ,Datos_problemas!$B:$B,$B18,Datos_problemas!$F:$F,"Práctica"))</f>
        <v/>
      </c>
      <c r="AP18" s="2" t="str">
        <f aca="false">IF($B18="","",COUNTIFS(Datos_problemas!$B:$B,$B18,Datos_problemas!$F:$F,"Práctica",Datos_problemas!$AS:$AS,"Sí"))</f>
        <v/>
      </c>
    </row>
    <row r="19" customFormat="false" ht="15" hidden="false" customHeight="false" outlineLevel="0" collapsed="false">
      <c r="A19" s="2" t="n">
        <v>15</v>
      </c>
      <c r="B19" s="2" t="str">
        <f aca="false">IFERROR(INDEX(Datos_problemas!$B:$B,MATCH($A19,Datos_problemas!$AV:$AV,0)),"")</f>
        <v/>
      </c>
      <c r="C19" s="2" t="str">
        <f aca="false">IF($B19="","",INDEX(Datos_problemas!$C:$C,MATCH($A19,Datos_problemas!$AV:$AV,0)))</f>
        <v/>
      </c>
      <c r="D19" s="2" t="str">
        <f aca="false">IF($B19="","",INDEX(Datos_problemas!$D:$D,MATCH($A19,Datos_problemas!$AV:$AV,0)))</f>
        <v/>
      </c>
      <c r="E19" s="2" t="str">
        <f aca="false">IF($B19="","",COUNTIFS(Datos_problemas!$B:$B,$B19,Datos_problemas!$F:$F,"Evaluación"))</f>
        <v/>
      </c>
      <c r="F19" s="20" t="str">
        <f aca="false">IF($B19="","",IFERROR(AVERAGEIFS(Datos_problemas!$AE:$AE,Datos_problemas!$B:$B,$B19,Datos_problemas!$F:$F,"Evaluación"),""))</f>
        <v/>
      </c>
      <c r="G19" s="20" t="str">
        <f aca="false">IF($B19="","",IFERROR(AVERAGEIFS(Datos_problemas!$AE:$AE,Datos_problemas!$B:$B,$B19,Datos_problemas!$F:$F,"Evaluación",Datos_problemas!$E:$E,"Diagnóstico"),""))</f>
        <v/>
      </c>
      <c r="H19" s="20" t="str">
        <f aca="false">IF($B19="","",IFERROR(AVERAGEIFS(Datos_problemas!$AE:$AE,Datos_problemas!$B:$B,$B19,Datos_problemas!$F:$F,"Evaluación",Datos_problemas!$E:$E,"Final"),""))</f>
        <v/>
      </c>
      <c r="I19" s="21" t="str">
        <f aca="false">IF(OR(G19="",H19=""),"",IF(G19&gt;=10,"",(H19-G19)/(10-G19)))</f>
        <v/>
      </c>
      <c r="J19" s="18" t="str">
        <f aca="false">IF($B19="","",IFERROR(SUMIFS(Datos_items!$Z:$Z,Datos_items!$B:$B,$B19,Datos_items!$O:$O,J$4,Datos_items!$E:$E,Analisis_grupo!$C$4)/COUNTIFS(Datos_items!$B:$B,$B19,Datos_items!$O:$O,J$4,Datos_items!$E:$E,Analisis_grupo!$C$4),""))</f>
        <v/>
      </c>
      <c r="K19" s="18" t="str">
        <f aca="false">IF($B19="","",IFERROR(SUMIFS(Datos_items!$Z:$Z,Datos_items!$B:$B,$B19,Datos_items!$O:$O,K$4,Datos_items!$E:$E,Analisis_grupo!$C$4)/COUNTIFS(Datos_items!$B:$B,$B19,Datos_items!$O:$O,K$4,Datos_items!$E:$E,Analisis_grupo!$C$4),""))</f>
        <v/>
      </c>
      <c r="L19" s="18" t="str">
        <f aca="false">IF($B19="","",IFERROR(SUMIFS(Datos_items!$Z:$Z,Datos_items!$B:$B,$B19,Datos_items!$O:$O,L$4,Datos_items!$E:$E,Analisis_grupo!$C$4)/COUNTIFS(Datos_items!$B:$B,$B19,Datos_items!$O:$O,L$4,Datos_items!$E:$E,Analisis_grupo!$C$4),""))</f>
        <v/>
      </c>
      <c r="M19" s="18" t="str">
        <f aca="false">IF($B19="","",IFERROR(SUMIFS(Datos_items!$Z:$Z,Datos_items!$B:$B,$B19,Datos_items!$O:$O,M$4,Datos_items!$E:$E,Analisis_grupo!$C$4)/COUNTIFS(Datos_items!$B:$B,$B19,Datos_items!$O:$O,M$4,Datos_items!$E:$E,Analisis_grupo!$C$4),""))</f>
        <v/>
      </c>
      <c r="N19" s="18" t="str">
        <f aca="false">IF($B19="","",IFERROR(SUMIFS(Datos_items!$Z:$Z,Datos_items!$B:$B,$B19,Datos_items!$O:$O,N$4,Datos_items!$E:$E,Analisis_grupo!$C$4)/COUNTIFS(Datos_items!$B:$B,$B19,Datos_items!$O:$O,N$4,Datos_items!$E:$E,Analisis_grupo!$C$4),""))</f>
        <v/>
      </c>
      <c r="O19" s="18" t="str">
        <f aca="false">IF($B19="","",IFERROR(SUMIFS(Datos_items!$Z:$Z,Datos_items!$B:$B,$B19,Datos_items!$O:$O,O$4,Datos_items!$E:$E,Analisis_grupo!$C$4)/COUNTIFS(Datos_items!$B:$B,$B19,Datos_items!$O:$O,O$4,Datos_items!$E:$E,Analisis_grupo!$C$4),""))</f>
        <v/>
      </c>
      <c r="P19" s="18" t="str">
        <f aca="false">IF($B19="","",IFERROR(SUMIFS(Datos_items!$Z:$Z,Datos_items!$B:$B,$B19,Datos_items!$O:$O,P$4,Datos_items!$E:$E,Analisis_grupo!$C$4)/COUNTIFS(Datos_items!$B:$B,$B19,Datos_items!$O:$O,P$4,Datos_items!$E:$E,Analisis_grupo!$C$4),""))</f>
        <v/>
      </c>
      <c r="Q19" s="18" t="str">
        <f aca="false">IF($B19="","",IFERROR(SUMIFS(Datos_items!$Z:$Z,Datos_items!$B:$B,$B19,Datos_items!$O:$O,Q$4,Datos_items!$E:$E,Analisis_grupo!$C$4)/COUNTIFS(Datos_items!$B:$B,$B19,Datos_items!$O:$O,Q$4,Datos_items!$E:$E,Analisis_grupo!$C$4),""))</f>
        <v/>
      </c>
      <c r="R19" s="2" t="str">
        <f aca="false">IF(COUNT(J19:Q19)=0,"",IF(MIN(J19:Q19)&gt;=Analisis_grupo!$B$7,"(ninguna)",INDEX($J$4:$Q$4,MATCH(MIN(J19:Q19),J19:Q19,0))))</f>
        <v/>
      </c>
      <c r="S19" s="2" t="str">
        <f aca="false">IF($B19="","",COUNTIF(J19:Q19,"&lt;"&amp;Analisis_grupo!$B$7))</f>
        <v/>
      </c>
      <c r="T19" s="2" t="str">
        <f aca="false">IF($B19="","",COUNTIFS(Datos_items!$B:$B,$B19,Datos_items!$AA:$AA,T$4,Datos_items!$E:$E,Analisis_grupo!$C$4))</f>
        <v/>
      </c>
      <c r="U19" s="2" t="str">
        <f aca="false">IF($B19="","",COUNTIFS(Datos_items!$B:$B,$B19,Datos_items!$AA:$AA,U$4,Datos_items!$E:$E,Analisis_grupo!$C$4))</f>
        <v/>
      </c>
      <c r="V19" s="2" t="str">
        <f aca="false">IF($B19="","",COUNTIFS(Datos_items!$B:$B,$B19,Datos_items!$AA:$AA,V$4,Datos_items!$E:$E,Analisis_grupo!$C$4))</f>
        <v/>
      </c>
      <c r="W19" s="2" t="str">
        <f aca="false">IF($B19="","",COUNTIFS(Datos_items!$B:$B,$B19,Datos_items!$AA:$AA,W$4,Datos_items!$E:$E,Analisis_grupo!$C$4))</f>
        <v/>
      </c>
      <c r="X19" s="2" t="str">
        <f aca="false">IF($B19="","",COUNTIFS(Datos_items!$B:$B,$B19,Datos_items!$AA:$AA,X$4,Datos_items!$E:$E,Analisis_grupo!$C$4))</f>
        <v/>
      </c>
      <c r="Y19" s="2" t="str">
        <f aca="false">IF($B19="","",COUNTIFS(Datos_items!$B:$B,$B19,Datos_items!$AA:$AA,Y$4,Datos_items!$E:$E,Analisis_grupo!$C$4))</f>
        <v/>
      </c>
      <c r="Z19" s="2" t="str">
        <f aca="false">IF($B19="","",COUNTIFS(Datos_items!$B:$B,$B19,Datos_items!$AA:$AA,Z$4,Datos_items!$E:$E,Analisis_grupo!$C$4))</f>
        <v/>
      </c>
      <c r="AA19" s="2" t="str">
        <f aca="false">IF($B19="","",COUNTIFS(Datos_items!$B:$B,$B19,Datos_items!$AA:$AA,AA$4,Datos_items!$E:$E,Analisis_grupo!$C$4))</f>
        <v/>
      </c>
      <c r="AB19" s="2" t="str">
        <f aca="false">IF($B19="","",COUNTIFS(Datos_items!$B:$B,$B19,Datos_items!$AA:$AA,AB$4,Datos_items!$E:$E,Analisis_grupo!$C$4))</f>
        <v/>
      </c>
      <c r="AC19" s="2" t="str">
        <f aca="false">IF($B19="","",COUNTIFS(Datos_items!$B:$B,$B19,Datos_items!$AA:$AA,AC$4,Datos_items!$E:$E,Analisis_grupo!$C$4))</f>
        <v/>
      </c>
      <c r="AD19" s="2" t="str">
        <f aca="false">IF($B19="","",COUNTIFS(Datos_items!$B:$B,$B19,Datos_items!$AA:$AA,AD$4,Datos_items!$E:$E,Analisis_grupo!$C$4))</f>
        <v/>
      </c>
      <c r="AE19" s="2" t="str">
        <f aca="false">IF($B19="","",COUNTIFS(Datos_items!$B:$B,$B19,Datos_items!$AA:$AA,AE$4,Datos_items!$E:$E,Analisis_grupo!$C$4))</f>
        <v/>
      </c>
      <c r="AF19" s="2" t="str">
        <f aca="false">IF($B19="","",COUNTIFS(Datos_items!$B:$B,$B19,Datos_items!$AA:$AA,AF$4,Datos_items!$E:$E,Analisis_grupo!$C$4))</f>
        <v/>
      </c>
      <c r="AG19" s="2" t="str">
        <f aca="false">IF($B19="","",COUNTIFS(Datos_items!$B:$B,$B19,Datos_items!$AA:$AA,AG$4,Datos_items!$E:$E,Analisis_grupo!$C$4))</f>
        <v/>
      </c>
      <c r="AH19" s="2" t="str">
        <f aca="false">IF($B19="","",COUNTIFS(Datos_items!$B:$B,$B19,Datos_items!$AA:$AA,AH$4,Datos_items!$E:$E,Analisis_grupo!$C$4))</f>
        <v/>
      </c>
      <c r="AI19" s="2" t="str">
        <f aca="false">IF($B19="","",COUNTIFS(Datos_items!$B:$B,$B19,Datos_items!$AA:$AA,AI$4,Datos_items!$E:$E,Analisis_grupo!$C$4))</f>
        <v/>
      </c>
      <c r="AJ19" s="2" t="str">
        <f aca="false">IF($B19="","",COUNTIFS(Datos_items!$B:$B,$B19,Datos_items!$AA:$AA,AJ$4,Datos_items!$E:$E,Analisis_grupo!$C$4))</f>
        <v/>
      </c>
      <c r="AK19" s="2" t="str">
        <f aca="false">IF($B19="","",COUNTIFS(Datos_items!$B:$B,$B19,Datos_items!$AA:$AA,AK$4,Datos_items!$E:$E,Analisis_grupo!$C$4))</f>
        <v/>
      </c>
      <c r="AL19" s="2" t="str">
        <f aca="false">IF($B19="","",COUNTIFS(Datos_items!$B:$B,$B19,Datos_items!$AA:$AA,AL$4,Datos_items!$E:$E,Analisis_grupo!$C$4))</f>
        <v/>
      </c>
      <c r="AM19" s="2" t="str">
        <f aca="false">IF($B19="","",IF(MAX(Y19:AL19)=0,"",INDEX($Y$4:$AL$4,MATCH(MAX(Y19:AL19),Y19:AL19,0))))</f>
        <v/>
      </c>
      <c r="AN19" s="2" t="str">
        <f aca="false">IF($B19="","",COUNTIFS(Datos_problemas!$B:$B,$B19,Datos_problemas!$F:$F,"Práctica"))</f>
        <v/>
      </c>
      <c r="AO19" s="2" t="str">
        <f aca="false">IF($B19="","",SUMIFS(Datos_problemas!$AQ:$AQ,Datos_problemas!$B:$B,$B19,Datos_problemas!$F:$F,"Práctica"))</f>
        <v/>
      </c>
      <c r="AP19" s="2" t="str">
        <f aca="false">IF($B19="","",COUNTIFS(Datos_problemas!$B:$B,$B19,Datos_problemas!$F:$F,"Práctica",Datos_problemas!$AS:$AS,"Sí"))</f>
        <v/>
      </c>
    </row>
    <row r="20" customFormat="false" ht="15" hidden="false" customHeight="false" outlineLevel="0" collapsed="false">
      <c r="A20" s="2" t="n">
        <v>16</v>
      </c>
      <c r="B20" s="2" t="str">
        <f aca="false">IFERROR(INDEX(Datos_problemas!$B:$B,MATCH($A20,Datos_problemas!$AV:$AV,0)),"")</f>
        <v/>
      </c>
      <c r="C20" s="2" t="str">
        <f aca="false">IF($B20="","",INDEX(Datos_problemas!$C:$C,MATCH($A20,Datos_problemas!$AV:$AV,0)))</f>
        <v/>
      </c>
      <c r="D20" s="2" t="str">
        <f aca="false">IF($B20="","",INDEX(Datos_problemas!$D:$D,MATCH($A20,Datos_problemas!$AV:$AV,0)))</f>
        <v/>
      </c>
      <c r="E20" s="2" t="str">
        <f aca="false">IF($B20="","",COUNTIFS(Datos_problemas!$B:$B,$B20,Datos_problemas!$F:$F,"Evaluación"))</f>
        <v/>
      </c>
      <c r="F20" s="20" t="str">
        <f aca="false">IF($B20="","",IFERROR(AVERAGEIFS(Datos_problemas!$AE:$AE,Datos_problemas!$B:$B,$B20,Datos_problemas!$F:$F,"Evaluación"),""))</f>
        <v/>
      </c>
      <c r="G20" s="20" t="str">
        <f aca="false">IF($B20="","",IFERROR(AVERAGEIFS(Datos_problemas!$AE:$AE,Datos_problemas!$B:$B,$B20,Datos_problemas!$F:$F,"Evaluación",Datos_problemas!$E:$E,"Diagnóstico"),""))</f>
        <v/>
      </c>
      <c r="H20" s="20" t="str">
        <f aca="false">IF($B20="","",IFERROR(AVERAGEIFS(Datos_problemas!$AE:$AE,Datos_problemas!$B:$B,$B20,Datos_problemas!$F:$F,"Evaluación",Datos_problemas!$E:$E,"Final"),""))</f>
        <v/>
      </c>
      <c r="I20" s="21" t="str">
        <f aca="false">IF(OR(G20="",H20=""),"",IF(G20&gt;=10,"",(H20-G20)/(10-G20)))</f>
        <v/>
      </c>
      <c r="J20" s="18" t="str">
        <f aca="false">IF($B20="","",IFERROR(SUMIFS(Datos_items!$Z:$Z,Datos_items!$B:$B,$B20,Datos_items!$O:$O,J$4,Datos_items!$E:$E,Analisis_grupo!$C$4)/COUNTIFS(Datos_items!$B:$B,$B20,Datos_items!$O:$O,J$4,Datos_items!$E:$E,Analisis_grupo!$C$4),""))</f>
        <v/>
      </c>
      <c r="K20" s="18" t="str">
        <f aca="false">IF($B20="","",IFERROR(SUMIFS(Datos_items!$Z:$Z,Datos_items!$B:$B,$B20,Datos_items!$O:$O,K$4,Datos_items!$E:$E,Analisis_grupo!$C$4)/COUNTIFS(Datos_items!$B:$B,$B20,Datos_items!$O:$O,K$4,Datos_items!$E:$E,Analisis_grupo!$C$4),""))</f>
        <v/>
      </c>
      <c r="L20" s="18" t="str">
        <f aca="false">IF($B20="","",IFERROR(SUMIFS(Datos_items!$Z:$Z,Datos_items!$B:$B,$B20,Datos_items!$O:$O,L$4,Datos_items!$E:$E,Analisis_grupo!$C$4)/COUNTIFS(Datos_items!$B:$B,$B20,Datos_items!$O:$O,L$4,Datos_items!$E:$E,Analisis_grupo!$C$4),""))</f>
        <v/>
      </c>
      <c r="M20" s="18" t="str">
        <f aca="false">IF($B20="","",IFERROR(SUMIFS(Datos_items!$Z:$Z,Datos_items!$B:$B,$B20,Datos_items!$O:$O,M$4,Datos_items!$E:$E,Analisis_grupo!$C$4)/COUNTIFS(Datos_items!$B:$B,$B20,Datos_items!$O:$O,M$4,Datos_items!$E:$E,Analisis_grupo!$C$4),""))</f>
        <v/>
      </c>
      <c r="N20" s="18" t="str">
        <f aca="false">IF($B20="","",IFERROR(SUMIFS(Datos_items!$Z:$Z,Datos_items!$B:$B,$B20,Datos_items!$O:$O,N$4,Datos_items!$E:$E,Analisis_grupo!$C$4)/COUNTIFS(Datos_items!$B:$B,$B20,Datos_items!$O:$O,N$4,Datos_items!$E:$E,Analisis_grupo!$C$4),""))</f>
        <v/>
      </c>
      <c r="O20" s="18" t="str">
        <f aca="false">IF($B20="","",IFERROR(SUMIFS(Datos_items!$Z:$Z,Datos_items!$B:$B,$B20,Datos_items!$O:$O,O$4,Datos_items!$E:$E,Analisis_grupo!$C$4)/COUNTIFS(Datos_items!$B:$B,$B20,Datos_items!$O:$O,O$4,Datos_items!$E:$E,Analisis_grupo!$C$4),""))</f>
        <v/>
      </c>
      <c r="P20" s="18" t="str">
        <f aca="false">IF($B20="","",IFERROR(SUMIFS(Datos_items!$Z:$Z,Datos_items!$B:$B,$B20,Datos_items!$O:$O,P$4,Datos_items!$E:$E,Analisis_grupo!$C$4)/COUNTIFS(Datos_items!$B:$B,$B20,Datos_items!$O:$O,P$4,Datos_items!$E:$E,Analisis_grupo!$C$4),""))</f>
        <v/>
      </c>
      <c r="Q20" s="18" t="str">
        <f aca="false">IF($B20="","",IFERROR(SUMIFS(Datos_items!$Z:$Z,Datos_items!$B:$B,$B20,Datos_items!$O:$O,Q$4,Datos_items!$E:$E,Analisis_grupo!$C$4)/COUNTIFS(Datos_items!$B:$B,$B20,Datos_items!$O:$O,Q$4,Datos_items!$E:$E,Analisis_grupo!$C$4),""))</f>
        <v/>
      </c>
      <c r="R20" s="2" t="str">
        <f aca="false">IF(COUNT(J20:Q20)=0,"",IF(MIN(J20:Q20)&gt;=Analisis_grupo!$B$7,"(ninguna)",INDEX($J$4:$Q$4,MATCH(MIN(J20:Q20),J20:Q20,0))))</f>
        <v/>
      </c>
      <c r="S20" s="2" t="str">
        <f aca="false">IF($B20="","",COUNTIF(J20:Q20,"&lt;"&amp;Analisis_grupo!$B$7))</f>
        <v/>
      </c>
      <c r="T20" s="2" t="str">
        <f aca="false">IF($B20="","",COUNTIFS(Datos_items!$B:$B,$B20,Datos_items!$AA:$AA,T$4,Datos_items!$E:$E,Analisis_grupo!$C$4))</f>
        <v/>
      </c>
      <c r="U20" s="2" t="str">
        <f aca="false">IF($B20="","",COUNTIFS(Datos_items!$B:$B,$B20,Datos_items!$AA:$AA,U$4,Datos_items!$E:$E,Analisis_grupo!$C$4))</f>
        <v/>
      </c>
      <c r="V20" s="2" t="str">
        <f aca="false">IF($B20="","",COUNTIFS(Datos_items!$B:$B,$B20,Datos_items!$AA:$AA,V$4,Datos_items!$E:$E,Analisis_grupo!$C$4))</f>
        <v/>
      </c>
      <c r="W20" s="2" t="str">
        <f aca="false">IF($B20="","",COUNTIFS(Datos_items!$B:$B,$B20,Datos_items!$AA:$AA,W$4,Datos_items!$E:$E,Analisis_grupo!$C$4))</f>
        <v/>
      </c>
      <c r="X20" s="2" t="str">
        <f aca="false">IF($B20="","",COUNTIFS(Datos_items!$B:$B,$B20,Datos_items!$AA:$AA,X$4,Datos_items!$E:$E,Analisis_grupo!$C$4))</f>
        <v/>
      </c>
      <c r="Y20" s="2" t="str">
        <f aca="false">IF($B20="","",COUNTIFS(Datos_items!$B:$B,$B20,Datos_items!$AA:$AA,Y$4,Datos_items!$E:$E,Analisis_grupo!$C$4))</f>
        <v/>
      </c>
      <c r="Z20" s="2" t="str">
        <f aca="false">IF($B20="","",COUNTIFS(Datos_items!$B:$B,$B20,Datos_items!$AA:$AA,Z$4,Datos_items!$E:$E,Analisis_grupo!$C$4))</f>
        <v/>
      </c>
      <c r="AA20" s="2" t="str">
        <f aca="false">IF($B20="","",COUNTIFS(Datos_items!$B:$B,$B20,Datos_items!$AA:$AA,AA$4,Datos_items!$E:$E,Analisis_grupo!$C$4))</f>
        <v/>
      </c>
      <c r="AB20" s="2" t="str">
        <f aca="false">IF($B20="","",COUNTIFS(Datos_items!$B:$B,$B20,Datos_items!$AA:$AA,AB$4,Datos_items!$E:$E,Analisis_grupo!$C$4))</f>
        <v/>
      </c>
      <c r="AC20" s="2" t="str">
        <f aca="false">IF($B20="","",COUNTIFS(Datos_items!$B:$B,$B20,Datos_items!$AA:$AA,AC$4,Datos_items!$E:$E,Analisis_grupo!$C$4))</f>
        <v/>
      </c>
      <c r="AD20" s="2" t="str">
        <f aca="false">IF($B20="","",COUNTIFS(Datos_items!$B:$B,$B20,Datos_items!$AA:$AA,AD$4,Datos_items!$E:$E,Analisis_grupo!$C$4))</f>
        <v/>
      </c>
      <c r="AE20" s="2" t="str">
        <f aca="false">IF($B20="","",COUNTIFS(Datos_items!$B:$B,$B20,Datos_items!$AA:$AA,AE$4,Datos_items!$E:$E,Analisis_grupo!$C$4))</f>
        <v/>
      </c>
      <c r="AF20" s="2" t="str">
        <f aca="false">IF($B20="","",COUNTIFS(Datos_items!$B:$B,$B20,Datos_items!$AA:$AA,AF$4,Datos_items!$E:$E,Analisis_grupo!$C$4))</f>
        <v/>
      </c>
      <c r="AG20" s="2" t="str">
        <f aca="false">IF($B20="","",COUNTIFS(Datos_items!$B:$B,$B20,Datos_items!$AA:$AA,AG$4,Datos_items!$E:$E,Analisis_grupo!$C$4))</f>
        <v/>
      </c>
      <c r="AH20" s="2" t="str">
        <f aca="false">IF($B20="","",COUNTIFS(Datos_items!$B:$B,$B20,Datos_items!$AA:$AA,AH$4,Datos_items!$E:$E,Analisis_grupo!$C$4))</f>
        <v/>
      </c>
      <c r="AI20" s="2" t="str">
        <f aca="false">IF($B20="","",COUNTIFS(Datos_items!$B:$B,$B20,Datos_items!$AA:$AA,AI$4,Datos_items!$E:$E,Analisis_grupo!$C$4))</f>
        <v/>
      </c>
      <c r="AJ20" s="2" t="str">
        <f aca="false">IF($B20="","",COUNTIFS(Datos_items!$B:$B,$B20,Datos_items!$AA:$AA,AJ$4,Datos_items!$E:$E,Analisis_grupo!$C$4))</f>
        <v/>
      </c>
      <c r="AK20" s="2" t="str">
        <f aca="false">IF($B20="","",COUNTIFS(Datos_items!$B:$B,$B20,Datos_items!$AA:$AA,AK$4,Datos_items!$E:$E,Analisis_grupo!$C$4))</f>
        <v/>
      </c>
      <c r="AL20" s="2" t="str">
        <f aca="false">IF($B20="","",COUNTIFS(Datos_items!$B:$B,$B20,Datos_items!$AA:$AA,AL$4,Datos_items!$E:$E,Analisis_grupo!$C$4))</f>
        <v/>
      </c>
      <c r="AM20" s="2" t="str">
        <f aca="false">IF($B20="","",IF(MAX(Y20:AL20)=0,"",INDEX($Y$4:$AL$4,MATCH(MAX(Y20:AL20),Y20:AL20,0))))</f>
        <v/>
      </c>
      <c r="AN20" s="2" t="str">
        <f aca="false">IF($B20="","",COUNTIFS(Datos_problemas!$B:$B,$B20,Datos_problemas!$F:$F,"Práctica"))</f>
        <v/>
      </c>
      <c r="AO20" s="2" t="str">
        <f aca="false">IF($B20="","",SUMIFS(Datos_problemas!$AQ:$AQ,Datos_problemas!$B:$B,$B20,Datos_problemas!$F:$F,"Práctica"))</f>
        <v/>
      </c>
      <c r="AP20" s="2" t="str">
        <f aca="false">IF($B20="","",COUNTIFS(Datos_problemas!$B:$B,$B20,Datos_problemas!$F:$F,"Práctica",Datos_problemas!$AS:$AS,"Sí"))</f>
        <v/>
      </c>
    </row>
    <row r="21" customFormat="false" ht="15" hidden="false" customHeight="false" outlineLevel="0" collapsed="false">
      <c r="A21" s="2" t="n">
        <v>17</v>
      </c>
      <c r="B21" s="2" t="str">
        <f aca="false">IFERROR(INDEX(Datos_problemas!$B:$B,MATCH($A21,Datos_problemas!$AV:$AV,0)),"")</f>
        <v/>
      </c>
      <c r="C21" s="2" t="str">
        <f aca="false">IF($B21="","",INDEX(Datos_problemas!$C:$C,MATCH($A21,Datos_problemas!$AV:$AV,0)))</f>
        <v/>
      </c>
      <c r="D21" s="2" t="str">
        <f aca="false">IF($B21="","",INDEX(Datos_problemas!$D:$D,MATCH($A21,Datos_problemas!$AV:$AV,0)))</f>
        <v/>
      </c>
      <c r="E21" s="2" t="str">
        <f aca="false">IF($B21="","",COUNTIFS(Datos_problemas!$B:$B,$B21,Datos_problemas!$F:$F,"Evaluación"))</f>
        <v/>
      </c>
      <c r="F21" s="20" t="str">
        <f aca="false">IF($B21="","",IFERROR(AVERAGEIFS(Datos_problemas!$AE:$AE,Datos_problemas!$B:$B,$B21,Datos_problemas!$F:$F,"Evaluación"),""))</f>
        <v/>
      </c>
      <c r="G21" s="20" t="str">
        <f aca="false">IF($B21="","",IFERROR(AVERAGEIFS(Datos_problemas!$AE:$AE,Datos_problemas!$B:$B,$B21,Datos_problemas!$F:$F,"Evaluación",Datos_problemas!$E:$E,"Diagnóstico"),""))</f>
        <v/>
      </c>
      <c r="H21" s="20" t="str">
        <f aca="false">IF($B21="","",IFERROR(AVERAGEIFS(Datos_problemas!$AE:$AE,Datos_problemas!$B:$B,$B21,Datos_problemas!$F:$F,"Evaluación",Datos_problemas!$E:$E,"Final"),""))</f>
        <v/>
      </c>
      <c r="I21" s="21" t="str">
        <f aca="false">IF(OR(G21="",H21=""),"",IF(G21&gt;=10,"",(H21-G21)/(10-G21)))</f>
        <v/>
      </c>
      <c r="J21" s="18" t="str">
        <f aca="false">IF($B21="","",IFERROR(SUMIFS(Datos_items!$Z:$Z,Datos_items!$B:$B,$B21,Datos_items!$O:$O,J$4,Datos_items!$E:$E,Analisis_grupo!$C$4)/COUNTIFS(Datos_items!$B:$B,$B21,Datos_items!$O:$O,J$4,Datos_items!$E:$E,Analisis_grupo!$C$4),""))</f>
        <v/>
      </c>
      <c r="K21" s="18" t="str">
        <f aca="false">IF($B21="","",IFERROR(SUMIFS(Datos_items!$Z:$Z,Datos_items!$B:$B,$B21,Datos_items!$O:$O,K$4,Datos_items!$E:$E,Analisis_grupo!$C$4)/COUNTIFS(Datos_items!$B:$B,$B21,Datos_items!$O:$O,K$4,Datos_items!$E:$E,Analisis_grupo!$C$4),""))</f>
        <v/>
      </c>
      <c r="L21" s="18" t="str">
        <f aca="false">IF($B21="","",IFERROR(SUMIFS(Datos_items!$Z:$Z,Datos_items!$B:$B,$B21,Datos_items!$O:$O,L$4,Datos_items!$E:$E,Analisis_grupo!$C$4)/COUNTIFS(Datos_items!$B:$B,$B21,Datos_items!$O:$O,L$4,Datos_items!$E:$E,Analisis_grupo!$C$4),""))</f>
        <v/>
      </c>
      <c r="M21" s="18" t="str">
        <f aca="false">IF($B21="","",IFERROR(SUMIFS(Datos_items!$Z:$Z,Datos_items!$B:$B,$B21,Datos_items!$O:$O,M$4,Datos_items!$E:$E,Analisis_grupo!$C$4)/COUNTIFS(Datos_items!$B:$B,$B21,Datos_items!$O:$O,M$4,Datos_items!$E:$E,Analisis_grupo!$C$4),""))</f>
        <v/>
      </c>
      <c r="N21" s="18" t="str">
        <f aca="false">IF($B21="","",IFERROR(SUMIFS(Datos_items!$Z:$Z,Datos_items!$B:$B,$B21,Datos_items!$O:$O,N$4,Datos_items!$E:$E,Analisis_grupo!$C$4)/COUNTIFS(Datos_items!$B:$B,$B21,Datos_items!$O:$O,N$4,Datos_items!$E:$E,Analisis_grupo!$C$4),""))</f>
        <v/>
      </c>
      <c r="O21" s="18" t="str">
        <f aca="false">IF($B21="","",IFERROR(SUMIFS(Datos_items!$Z:$Z,Datos_items!$B:$B,$B21,Datos_items!$O:$O,O$4,Datos_items!$E:$E,Analisis_grupo!$C$4)/COUNTIFS(Datos_items!$B:$B,$B21,Datos_items!$O:$O,O$4,Datos_items!$E:$E,Analisis_grupo!$C$4),""))</f>
        <v/>
      </c>
      <c r="P21" s="18" t="str">
        <f aca="false">IF($B21="","",IFERROR(SUMIFS(Datos_items!$Z:$Z,Datos_items!$B:$B,$B21,Datos_items!$O:$O,P$4,Datos_items!$E:$E,Analisis_grupo!$C$4)/COUNTIFS(Datos_items!$B:$B,$B21,Datos_items!$O:$O,P$4,Datos_items!$E:$E,Analisis_grupo!$C$4),""))</f>
        <v/>
      </c>
      <c r="Q21" s="18" t="str">
        <f aca="false">IF($B21="","",IFERROR(SUMIFS(Datos_items!$Z:$Z,Datos_items!$B:$B,$B21,Datos_items!$O:$O,Q$4,Datos_items!$E:$E,Analisis_grupo!$C$4)/COUNTIFS(Datos_items!$B:$B,$B21,Datos_items!$O:$O,Q$4,Datos_items!$E:$E,Analisis_grupo!$C$4),""))</f>
        <v/>
      </c>
      <c r="R21" s="2" t="str">
        <f aca="false">IF(COUNT(J21:Q21)=0,"",IF(MIN(J21:Q21)&gt;=Analisis_grupo!$B$7,"(ninguna)",INDEX($J$4:$Q$4,MATCH(MIN(J21:Q21),J21:Q21,0))))</f>
        <v/>
      </c>
      <c r="S21" s="2" t="str">
        <f aca="false">IF($B21="","",COUNTIF(J21:Q21,"&lt;"&amp;Analisis_grupo!$B$7))</f>
        <v/>
      </c>
      <c r="T21" s="2" t="str">
        <f aca="false">IF($B21="","",COUNTIFS(Datos_items!$B:$B,$B21,Datos_items!$AA:$AA,T$4,Datos_items!$E:$E,Analisis_grupo!$C$4))</f>
        <v/>
      </c>
      <c r="U21" s="2" t="str">
        <f aca="false">IF($B21="","",COUNTIFS(Datos_items!$B:$B,$B21,Datos_items!$AA:$AA,U$4,Datos_items!$E:$E,Analisis_grupo!$C$4))</f>
        <v/>
      </c>
      <c r="V21" s="2" t="str">
        <f aca="false">IF($B21="","",COUNTIFS(Datos_items!$B:$B,$B21,Datos_items!$AA:$AA,V$4,Datos_items!$E:$E,Analisis_grupo!$C$4))</f>
        <v/>
      </c>
      <c r="W21" s="2" t="str">
        <f aca="false">IF($B21="","",COUNTIFS(Datos_items!$B:$B,$B21,Datos_items!$AA:$AA,W$4,Datos_items!$E:$E,Analisis_grupo!$C$4))</f>
        <v/>
      </c>
      <c r="X21" s="2" t="str">
        <f aca="false">IF($B21="","",COUNTIFS(Datos_items!$B:$B,$B21,Datos_items!$AA:$AA,X$4,Datos_items!$E:$E,Analisis_grupo!$C$4))</f>
        <v/>
      </c>
      <c r="Y21" s="2" t="str">
        <f aca="false">IF($B21="","",COUNTIFS(Datos_items!$B:$B,$B21,Datos_items!$AA:$AA,Y$4,Datos_items!$E:$E,Analisis_grupo!$C$4))</f>
        <v/>
      </c>
      <c r="Z21" s="2" t="str">
        <f aca="false">IF($B21="","",COUNTIFS(Datos_items!$B:$B,$B21,Datos_items!$AA:$AA,Z$4,Datos_items!$E:$E,Analisis_grupo!$C$4))</f>
        <v/>
      </c>
      <c r="AA21" s="2" t="str">
        <f aca="false">IF($B21="","",COUNTIFS(Datos_items!$B:$B,$B21,Datos_items!$AA:$AA,AA$4,Datos_items!$E:$E,Analisis_grupo!$C$4))</f>
        <v/>
      </c>
      <c r="AB21" s="2" t="str">
        <f aca="false">IF($B21="","",COUNTIFS(Datos_items!$B:$B,$B21,Datos_items!$AA:$AA,AB$4,Datos_items!$E:$E,Analisis_grupo!$C$4))</f>
        <v/>
      </c>
      <c r="AC21" s="2" t="str">
        <f aca="false">IF($B21="","",COUNTIFS(Datos_items!$B:$B,$B21,Datos_items!$AA:$AA,AC$4,Datos_items!$E:$E,Analisis_grupo!$C$4))</f>
        <v/>
      </c>
      <c r="AD21" s="2" t="str">
        <f aca="false">IF($B21="","",COUNTIFS(Datos_items!$B:$B,$B21,Datos_items!$AA:$AA,AD$4,Datos_items!$E:$E,Analisis_grupo!$C$4))</f>
        <v/>
      </c>
      <c r="AE21" s="2" t="str">
        <f aca="false">IF($B21="","",COUNTIFS(Datos_items!$B:$B,$B21,Datos_items!$AA:$AA,AE$4,Datos_items!$E:$E,Analisis_grupo!$C$4))</f>
        <v/>
      </c>
      <c r="AF21" s="2" t="str">
        <f aca="false">IF($B21="","",COUNTIFS(Datos_items!$B:$B,$B21,Datos_items!$AA:$AA,AF$4,Datos_items!$E:$E,Analisis_grupo!$C$4))</f>
        <v/>
      </c>
      <c r="AG21" s="2" t="str">
        <f aca="false">IF($B21="","",COUNTIFS(Datos_items!$B:$B,$B21,Datos_items!$AA:$AA,AG$4,Datos_items!$E:$E,Analisis_grupo!$C$4))</f>
        <v/>
      </c>
      <c r="AH21" s="2" t="str">
        <f aca="false">IF($B21="","",COUNTIFS(Datos_items!$B:$B,$B21,Datos_items!$AA:$AA,AH$4,Datos_items!$E:$E,Analisis_grupo!$C$4))</f>
        <v/>
      </c>
      <c r="AI21" s="2" t="str">
        <f aca="false">IF($B21="","",COUNTIFS(Datos_items!$B:$B,$B21,Datos_items!$AA:$AA,AI$4,Datos_items!$E:$E,Analisis_grupo!$C$4))</f>
        <v/>
      </c>
      <c r="AJ21" s="2" t="str">
        <f aca="false">IF($B21="","",COUNTIFS(Datos_items!$B:$B,$B21,Datos_items!$AA:$AA,AJ$4,Datos_items!$E:$E,Analisis_grupo!$C$4))</f>
        <v/>
      </c>
      <c r="AK21" s="2" t="str">
        <f aca="false">IF($B21="","",COUNTIFS(Datos_items!$B:$B,$B21,Datos_items!$AA:$AA,AK$4,Datos_items!$E:$E,Analisis_grupo!$C$4))</f>
        <v/>
      </c>
      <c r="AL21" s="2" t="str">
        <f aca="false">IF($B21="","",COUNTIFS(Datos_items!$B:$B,$B21,Datos_items!$AA:$AA,AL$4,Datos_items!$E:$E,Analisis_grupo!$C$4))</f>
        <v/>
      </c>
      <c r="AM21" s="2" t="str">
        <f aca="false">IF($B21="","",IF(MAX(Y21:AL21)=0,"",INDEX($Y$4:$AL$4,MATCH(MAX(Y21:AL21),Y21:AL21,0))))</f>
        <v/>
      </c>
      <c r="AN21" s="2" t="str">
        <f aca="false">IF($B21="","",COUNTIFS(Datos_problemas!$B:$B,$B21,Datos_problemas!$F:$F,"Práctica"))</f>
        <v/>
      </c>
      <c r="AO21" s="2" t="str">
        <f aca="false">IF($B21="","",SUMIFS(Datos_problemas!$AQ:$AQ,Datos_problemas!$B:$B,$B21,Datos_problemas!$F:$F,"Práctica"))</f>
        <v/>
      </c>
      <c r="AP21" s="2" t="str">
        <f aca="false">IF($B21="","",COUNTIFS(Datos_problemas!$B:$B,$B21,Datos_problemas!$F:$F,"Práctica",Datos_problemas!$AS:$AS,"Sí"))</f>
        <v/>
      </c>
    </row>
    <row r="22" customFormat="false" ht="15" hidden="false" customHeight="false" outlineLevel="0" collapsed="false">
      <c r="A22" s="2" t="n">
        <v>18</v>
      </c>
      <c r="B22" s="2" t="str">
        <f aca="false">IFERROR(INDEX(Datos_problemas!$B:$B,MATCH($A22,Datos_problemas!$AV:$AV,0)),"")</f>
        <v/>
      </c>
      <c r="C22" s="2" t="str">
        <f aca="false">IF($B22="","",INDEX(Datos_problemas!$C:$C,MATCH($A22,Datos_problemas!$AV:$AV,0)))</f>
        <v/>
      </c>
      <c r="D22" s="2" t="str">
        <f aca="false">IF($B22="","",INDEX(Datos_problemas!$D:$D,MATCH($A22,Datos_problemas!$AV:$AV,0)))</f>
        <v/>
      </c>
      <c r="E22" s="2" t="str">
        <f aca="false">IF($B22="","",COUNTIFS(Datos_problemas!$B:$B,$B22,Datos_problemas!$F:$F,"Evaluación"))</f>
        <v/>
      </c>
      <c r="F22" s="20" t="str">
        <f aca="false">IF($B22="","",IFERROR(AVERAGEIFS(Datos_problemas!$AE:$AE,Datos_problemas!$B:$B,$B22,Datos_problemas!$F:$F,"Evaluación"),""))</f>
        <v/>
      </c>
      <c r="G22" s="20" t="str">
        <f aca="false">IF($B22="","",IFERROR(AVERAGEIFS(Datos_problemas!$AE:$AE,Datos_problemas!$B:$B,$B22,Datos_problemas!$F:$F,"Evaluación",Datos_problemas!$E:$E,"Diagnóstico"),""))</f>
        <v/>
      </c>
      <c r="H22" s="20" t="str">
        <f aca="false">IF($B22="","",IFERROR(AVERAGEIFS(Datos_problemas!$AE:$AE,Datos_problemas!$B:$B,$B22,Datos_problemas!$F:$F,"Evaluación",Datos_problemas!$E:$E,"Final"),""))</f>
        <v/>
      </c>
      <c r="I22" s="21" t="str">
        <f aca="false">IF(OR(G22="",H22=""),"",IF(G22&gt;=10,"",(H22-G22)/(10-G22)))</f>
        <v/>
      </c>
      <c r="J22" s="18" t="str">
        <f aca="false">IF($B22="","",IFERROR(SUMIFS(Datos_items!$Z:$Z,Datos_items!$B:$B,$B22,Datos_items!$O:$O,J$4,Datos_items!$E:$E,Analisis_grupo!$C$4)/COUNTIFS(Datos_items!$B:$B,$B22,Datos_items!$O:$O,J$4,Datos_items!$E:$E,Analisis_grupo!$C$4),""))</f>
        <v/>
      </c>
      <c r="K22" s="18" t="str">
        <f aca="false">IF($B22="","",IFERROR(SUMIFS(Datos_items!$Z:$Z,Datos_items!$B:$B,$B22,Datos_items!$O:$O,K$4,Datos_items!$E:$E,Analisis_grupo!$C$4)/COUNTIFS(Datos_items!$B:$B,$B22,Datos_items!$O:$O,K$4,Datos_items!$E:$E,Analisis_grupo!$C$4),""))</f>
        <v/>
      </c>
      <c r="L22" s="18" t="str">
        <f aca="false">IF($B22="","",IFERROR(SUMIFS(Datos_items!$Z:$Z,Datos_items!$B:$B,$B22,Datos_items!$O:$O,L$4,Datos_items!$E:$E,Analisis_grupo!$C$4)/COUNTIFS(Datos_items!$B:$B,$B22,Datos_items!$O:$O,L$4,Datos_items!$E:$E,Analisis_grupo!$C$4),""))</f>
        <v/>
      </c>
      <c r="M22" s="18" t="str">
        <f aca="false">IF($B22="","",IFERROR(SUMIFS(Datos_items!$Z:$Z,Datos_items!$B:$B,$B22,Datos_items!$O:$O,M$4,Datos_items!$E:$E,Analisis_grupo!$C$4)/COUNTIFS(Datos_items!$B:$B,$B22,Datos_items!$O:$O,M$4,Datos_items!$E:$E,Analisis_grupo!$C$4),""))</f>
        <v/>
      </c>
      <c r="N22" s="18" t="str">
        <f aca="false">IF($B22="","",IFERROR(SUMIFS(Datos_items!$Z:$Z,Datos_items!$B:$B,$B22,Datos_items!$O:$O,N$4,Datos_items!$E:$E,Analisis_grupo!$C$4)/COUNTIFS(Datos_items!$B:$B,$B22,Datos_items!$O:$O,N$4,Datos_items!$E:$E,Analisis_grupo!$C$4),""))</f>
        <v/>
      </c>
      <c r="O22" s="18" t="str">
        <f aca="false">IF($B22="","",IFERROR(SUMIFS(Datos_items!$Z:$Z,Datos_items!$B:$B,$B22,Datos_items!$O:$O,O$4,Datos_items!$E:$E,Analisis_grupo!$C$4)/COUNTIFS(Datos_items!$B:$B,$B22,Datos_items!$O:$O,O$4,Datos_items!$E:$E,Analisis_grupo!$C$4),""))</f>
        <v/>
      </c>
      <c r="P22" s="18" t="str">
        <f aca="false">IF($B22="","",IFERROR(SUMIFS(Datos_items!$Z:$Z,Datos_items!$B:$B,$B22,Datos_items!$O:$O,P$4,Datos_items!$E:$E,Analisis_grupo!$C$4)/COUNTIFS(Datos_items!$B:$B,$B22,Datos_items!$O:$O,P$4,Datos_items!$E:$E,Analisis_grupo!$C$4),""))</f>
        <v/>
      </c>
      <c r="Q22" s="18" t="str">
        <f aca="false">IF($B22="","",IFERROR(SUMIFS(Datos_items!$Z:$Z,Datos_items!$B:$B,$B22,Datos_items!$O:$O,Q$4,Datos_items!$E:$E,Analisis_grupo!$C$4)/COUNTIFS(Datos_items!$B:$B,$B22,Datos_items!$O:$O,Q$4,Datos_items!$E:$E,Analisis_grupo!$C$4),""))</f>
        <v/>
      </c>
      <c r="R22" s="2" t="str">
        <f aca="false">IF(COUNT(J22:Q22)=0,"",IF(MIN(J22:Q22)&gt;=Analisis_grupo!$B$7,"(ninguna)",INDEX($J$4:$Q$4,MATCH(MIN(J22:Q22),J22:Q22,0))))</f>
        <v/>
      </c>
      <c r="S22" s="2" t="str">
        <f aca="false">IF($B22="","",COUNTIF(J22:Q22,"&lt;"&amp;Analisis_grupo!$B$7))</f>
        <v/>
      </c>
      <c r="T22" s="2" t="str">
        <f aca="false">IF($B22="","",COUNTIFS(Datos_items!$B:$B,$B22,Datos_items!$AA:$AA,T$4,Datos_items!$E:$E,Analisis_grupo!$C$4))</f>
        <v/>
      </c>
      <c r="U22" s="2" t="str">
        <f aca="false">IF($B22="","",COUNTIFS(Datos_items!$B:$B,$B22,Datos_items!$AA:$AA,U$4,Datos_items!$E:$E,Analisis_grupo!$C$4))</f>
        <v/>
      </c>
      <c r="V22" s="2" t="str">
        <f aca="false">IF($B22="","",COUNTIFS(Datos_items!$B:$B,$B22,Datos_items!$AA:$AA,V$4,Datos_items!$E:$E,Analisis_grupo!$C$4))</f>
        <v/>
      </c>
      <c r="W22" s="2" t="str">
        <f aca="false">IF($B22="","",COUNTIFS(Datos_items!$B:$B,$B22,Datos_items!$AA:$AA,W$4,Datos_items!$E:$E,Analisis_grupo!$C$4))</f>
        <v/>
      </c>
      <c r="X22" s="2" t="str">
        <f aca="false">IF($B22="","",COUNTIFS(Datos_items!$B:$B,$B22,Datos_items!$AA:$AA,X$4,Datos_items!$E:$E,Analisis_grupo!$C$4))</f>
        <v/>
      </c>
      <c r="Y22" s="2" t="str">
        <f aca="false">IF($B22="","",COUNTIFS(Datos_items!$B:$B,$B22,Datos_items!$AA:$AA,Y$4,Datos_items!$E:$E,Analisis_grupo!$C$4))</f>
        <v/>
      </c>
      <c r="Z22" s="2" t="str">
        <f aca="false">IF($B22="","",COUNTIFS(Datos_items!$B:$B,$B22,Datos_items!$AA:$AA,Z$4,Datos_items!$E:$E,Analisis_grupo!$C$4))</f>
        <v/>
      </c>
      <c r="AA22" s="2" t="str">
        <f aca="false">IF($B22="","",COUNTIFS(Datos_items!$B:$B,$B22,Datos_items!$AA:$AA,AA$4,Datos_items!$E:$E,Analisis_grupo!$C$4))</f>
        <v/>
      </c>
      <c r="AB22" s="2" t="str">
        <f aca="false">IF($B22="","",COUNTIFS(Datos_items!$B:$B,$B22,Datos_items!$AA:$AA,AB$4,Datos_items!$E:$E,Analisis_grupo!$C$4))</f>
        <v/>
      </c>
      <c r="AC22" s="2" t="str">
        <f aca="false">IF($B22="","",COUNTIFS(Datos_items!$B:$B,$B22,Datos_items!$AA:$AA,AC$4,Datos_items!$E:$E,Analisis_grupo!$C$4))</f>
        <v/>
      </c>
      <c r="AD22" s="2" t="str">
        <f aca="false">IF($B22="","",COUNTIFS(Datos_items!$B:$B,$B22,Datos_items!$AA:$AA,AD$4,Datos_items!$E:$E,Analisis_grupo!$C$4))</f>
        <v/>
      </c>
      <c r="AE22" s="2" t="str">
        <f aca="false">IF($B22="","",COUNTIFS(Datos_items!$B:$B,$B22,Datos_items!$AA:$AA,AE$4,Datos_items!$E:$E,Analisis_grupo!$C$4))</f>
        <v/>
      </c>
      <c r="AF22" s="2" t="str">
        <f aca="false">IF($B22="","",COUNTIFS(Datos_items!$B:$B,$B22,Datos_items!$AA:$AA,AF$4,Datos_items!$E:$E,Analisis_grupo!$C$4))</f>
        <v/>
      </c>
      <c r="AG22" s="2" t="str">
        <f aca="false">IF($B22="","",COUNTIFS(Datos_items!$B:$B,$B22,Datos_items!$AA:$AA,AG$4,Datos_items!$E:$E,Analisis_grupo!$C$4))</f>
        <v/>
      </c>
      <c r="AH22" s="2" t="str">
        <f aca="false">IF($B22="","",COUNTIFS(Datos_items!$B:$B,$B22,Datos_items!$AA:$AA,AH$4,Datos_items!$E:$E,Analisis_grupo!$C$4))</f>
        <v/>
      </c>
      <c r="AI22" s="2" t="str">
        <f aca="false">IF($B22="","",COUNTIFS(Datos_items!$B:$B,$B22,Datos_items!$AA:$AA,AI$4,Datos_items!$E:$E,Analisis_grupo!$C$4))</f>
        <v/>
      </c>
      <c r="AJ22" s="2" t="str">
        <f aca="false">IF($B22="","",COUNTIFS(Datos_items!$B:$B,$B22,Datos_items!$AA:$AA,AJ$4,Datos_items!$E:$E,Analisis_grupo!$C$4))</f>
        <v/>
      </c>
      <c r="AK22" s="2" t="str">
        <f aca="false">IF($B22="","",COUNTIFS(Datos_items!$B:$B,$B22,Datos_items!$AA:$AA,AK$4,Datos_items!$E:$E,Analisis_grupo!$C$4))</f>
        <v/>
      </c>
      <c r="AL22" s="2" t="str">
        <f aca="false">IF($B22="","",COUNTIFS(Datos_items!$B:$B,$B22,Datos_items!$AA:$AA,AL$4,Datos_items!$E:$E,Analisis_grupo!$C$4))</f>
        <v/>
      </c>
      <c r="AM22" s="2" t="str">
        <f aca="false">IF($B22="","",IF(MAX(Y22:AL22)=0,"",INDEX($Y$4:$AL$4,MATCH(MAX(Y22:AL22),Y22:AL22,0))))</f>
        <v/>
      </c>
      <c r="AN22" s="2" t="str">
        <f aca="false">IF($B22="","",COUNTIFS(Datos_problemas!$B:$B,$B22,Datos_problemas!$F:$F,"Práctica"))</f>
        <v/>
      </c>
      <c r="AO22" s="2" t="str">
        <f aca="false">IF($B22="","",SUMIFS(Datos_problemas!$AQ:$AQ,Datos_problemas!$B:$B,$B22,Datos_problemas!$F:$F,"Práctica"))</f>
        <v/>
      </c>
      <c r="AP22" s="2" t="str">
        <f aca="false">IF($B22="","",COUNTIFS(Datos_problemas!$B:$B,$B22,Datos_problemas!$F:$F,"Práctica",Datos_problemas!$AS:$AS,"Sí"))</f>
        <v/>
      </c>
    </row>
    <row r="23" customFormat="false" ht="15" hidden="false" customHeight="false" outlineLevel="0" collapsed="false">
      <c r="A23" s="2" t="n">
        <v>19</v>
      </c>
      <c r="B23" s="2" t="str">
        <f aca="false">IFERROR(INDEX(Datos_problemas!$B:$B,MATCH($A23,Datos_problemas!$AV:$AV,0)),"")</f>
        <v/>
      </c>
      <c r="C23" s="2" t="str">
        <f aca="false">IF($B23="","",INDEX(Datos_problemas!$C:$C,MATCH($A23,Datos_problemas!$AV:$AV,0)))</f>
        <v/>
      </c>
      <c r="D23" s="2" t="str">
        <f aca="false">IF($B23="","",INDEX(Datos_problemas!$D:$D,MATCH($A23,Datos_problemas!$AV:$AV,0)))</f>
        <v/>
      </c>
      <c r="E23" s="2" t="str">
        <f aca="false">IF($B23="","",COUNTIFS(Datos_problemas!$B:$B,$B23,Datos_problemas!$F:$F,"Evaluación"))</f>
        <v/>
      </c>
      <c r="F23" s="20" t="str">
        <f aca="false">IF($B23="","",IFERROR(AVERAGEIFS(Datos_problemas!$AE:$AE,Datos_problemas!$B:$B,$B23,Datos_problemas!$F:$F,"Evaluación"),""))</f>
        <v/>
      </c>
      <c r="G23" s="20" t="str">
        <f aca="false">IF($B23="","",IFERROR(AVERAGEIFS(Datos_problemas!$AE:$AE,Datos_problemas!$B:$B,$B23,Datos_problemas!$F:$F,"Evaluación",Datos_problemas!$E:$E,"Diagnóstico"),""))</f>
        <v/>
      </c>
      <c r="H23" s="20" t="str">
        <f aca="false">IF($B23="","",IFERROR(AVERAGEIFS(Datos_problemas!$AE:$AE,Datos_problemas!$B:$B,$B23,Datos_problemas!$F:$F,"Evaluación",Datos_problemas!$E:$E,"Final"),""))</f>
        <v/>
      </c>
      <c r="I23" s="21" t="str">
        <f aca="false">IF(OR(G23="",H23=""),"",IF(G23&gt;=10,"",(H23-G23)/(10-G23)))</f>
        <v/>
      </c>
      <c r="J23" s="18" t="str">
        <f aca="false">IF($B23="","",IFERROR(SUMIFS(Datos_items!$Z:$Z,Datos_items!$B:$B,$B23,Datos_items!$O:$O,J$4,Datos_items!$E:$E,Analisis_grupo!$C$4)/COUNTIFS(Datos_items!$B:$B,$B23,Datos_items!$O:$O,J$4,Datos_items!$E:$E,Analisis_grupo!$C$4),""))</f>
        <v/>
      </c>
      <c r="K23" s="18" t="str">
        <f aca="false">IF($B23="","",IFERROR(SUMIFS(Datos_items!$Z:$Z,Datos_items!$B:$B,$B23,Datos_items!$O:$O,K$4,Datos_items!$E:$E,Analisis_grupo!$C$4)/COUNTIFS(Datos_items!$B:$B,$B23,Datos_items!$O:$O,K$4,Datos_items!$E:$E,Analisis_grupo!$C$4),""))</f>
        <v/>
      </c>
      <c r="L23" s="18" t="str">
        <f aca="false">IF($B23="","",IFERROR(SUMIFS(Datos_items!$Z:$Z,Datos_items!$B:$B,$B23,Datos_items!$O:$O,L$4,Datos_items!$E:$E,Analisis_grupo!$C$4)/COUNTIFS(Datos_items!$B:$B,$B23,Datos_items!$O:$O,L$4,Datos_items!$E:$E,Analisis_grupo!$C$4),""))</f>
        <v/>
      </c>
      <c r="M23" s="18" t="str">
        <f aca="false">IF($B23="","",IFERROR(SUMIFS(Datos_items!$Z:$Z,Datos_items!$B:$B,$B23,Datos_items!$O:$O,M$4,Datos_items!$E:$E,Analisis_grupo!$C$4)/COUNTIFS(Datos_items!$B:$B,$B23,Datos_items!$O:$O,M$4,Datos_items!$E:$E,Analisis_grupo!$C$4),""))</f>
        <v/>
      </c>
      <c r="N23" s="18" t="str">
        <f aca="false">IF($B23="","",IFERROR(SUMIFS(Datos_items!$Z:$Z,Datos_items!$B:$B,$B23,Datos_items!$O:$O,N$4,Datos_items!$E:$E,Analisis_grupo!$C$4)/COUNTIFS(Datos_items!$B:$B,$B23,Datos_items!$O:$O,N$4,Datos_items!$E:$E,Analisis_grupo!$C$4),""))</f>
        <v/>
      </c>
      <c r="O23" s="18" t="str">
        <f aca="false">IF($B23="","",IFERROR(SUMIFS(Datos_items!$Z:$Z,Datos_items!$B:$B,$B23,Datos_items!$O:$O,O$4,Datos_items!$E:$E,Analisis_grupo!$C$4)/COUNTIFS(Datos_items!$B:$B,$B23,Datos_items!$O:$O,O$4,Datos_items!$E:$E,Analisis_grupo!$C$4),""))</f>
        <v/>
      </c>
      <c r="P23" s="18" t="str">
        <f aca="false">IF($B23="","",IFERROR(SUMIFS(Datos_items!$Z:$Z,Datos_items!$B:$B,$B23,Datos_items!$O:$O,P$4,Datos_items!$E:$E,Analisis_grupo!$C$4)/COUNTIFS(Datos_items!$B:$B,$B23,Datos_items!$O:$O,P$4,Datos_items!$E:$E,Analisis_grupo!$C$4),""))</f>
        <v/>
      </c>
      <c r="Q23" s="18" t="str">
        <f aca="false">IF($B23="","",IFERROR(SUMIFS(Datos_items!$Z:$Z,Datos_items!$B:$B,$B23,Datos_items!$O:$O,Q$4,Datos_items!$E:$E,Analisis_grupo!$C$4)/COUNTIFS(Datos_items!$B:$B,$B23,Datos_items!$O:$O,Q$4,Datos_items!$E:$E,Analisis_grupo!$C$4),""))</f>
        <v/>
      </c>
      <c r="R23" s="2" t="str">
        <f aca="false">IF(COUNT(J23:Q23)=0,"",IF(MIN(J23:Q23)&gt;=Analisis_grupo!$B$7,"(ninguna)",INDEX($J$4:$Q$4,MATCH(MIN(J23:Q23),J23:Q23,0))))</f>
        <v/>
      </c>
      <c r="S23" s="2" t="str">
        <f aca="false">IF($B23="","",COUNTIF(J23:Q23,"&lt;"&amp;Analisis_grupo!$B$7))</f>
        <v/>
      </c>
      <c r="T23" s="2" t="str">
        <f aca="false">IF($B23="","",COUNTIFS(Datos_items!$B:$B,$B23,Datos_items!$AA:$AA,T$4,Datos_items!$E:$E,Analisis_grupo!$C$4))</f>
        <v/>
      </c>
      <c r="U23" s="2" t="str">
        <f aca="false">IF($B23="","",COUNTIFS(Datos_items!$B:$B,$B23,Datos_items!$AA:$AA,U$4,Datos_items!$E:$E,Analisis_grupo!$C$4))</f>
        <v/>
      </c>
      <c r="V23" s="2" t="str">
        <f aca="false">IF($B23="","",COUNTIFS(Datos_items!$B:$B,$B23,Datos_items!$AA:$AA,V$4,Datos_items!$E:$E,Analisis_grupo!$C$4))</f>
        <v/>
      </c>
      <c r="W23" s="2" t="str">
        <f aca="false">IF($B23="","",COUNTIFS(Datos_items!$B:$B,$B23,Datos_items!$AA:$AA,W$4,Datos_items!$E:$E,Analisis_grupo!$C$4))</f>
        <v/>
      </c>
      <c r="X23" s="2" t="str">
        <f aca="false">IF($B23="","",COUNTIFS(Datos_items!$B:$B,$B23,Datos_items!$AA:$AA,X$4,Datos_items!$E:$E,Analisis_grupo!$C$4))</f>
        <v/>
      </c>
      <c r="Y23" s="2" t="str">
        <f aca="false">IF($B23="","",COUNTIFS(Datos_items!$B:$B,$B23,Datos_items!$AA:$AA,Y$4,Datos_items!$E:$E,Analisis_grupo!$C$4))</f>
        <v/>
      </c>
      <c r="Z23" s="2" t="str">
        <f aca="false">IF($B23="","",COUNTIFS(Datos_items!$B:$B,$B23,Datos_items!$AA:$AA,Z$4,Datos_items!$E:$E,Analisis_grupo!$C$4))</f>
        <v/>
      </c>
      <c r="AA23" s="2" t="str">
        <f aca="false">IF($B23="","",COUNTIFS(Datos_items!$B:$B,$B23,Datos_items!$AA:$AA,AA$4,Datos_items!$E:$E,Analisis_grupo!$C$4))</f>
        <v/>
      </c>
      <c r="AB23" s="2" t="str">
        <f aca="false">IF($B23="","",COUNTIFS(Datos_items!$B:$B,$B23,Datos_items!$AA:$AA,AB$4,Datos_items!$E:$E,Analisis_grupo!$C$4))</f>
        <v/>
      </c>
      <c r="AC23" s="2" t="str">
        <f aca="false">IF($B23="","",COUNTIFS(Datos_items!$B:$B,$B23,Datos_items!$AA:$AA,AC$4,Datos_items!$E:$E,Analisis_grupo!$C$4))</f>
        <v/>
      </c>
      <c r="AD23" s="2" t="str">
        <f aca="false">IF($B23="","",COUNTIFS(Datos_items!$B:$B,$B23,Datos_items!$AA:$AA,AD$4,Datos_items!$E:$E,Analisis_grupo!$C$4))</f>
        <v/>
      </c>
      <c r="AE23" s="2" t="str">
        <f aca="false">IF($B23="","",COUNTIFS(Datos_items!$B:$B,$B23,Datos_items!$AA:$AA,AE$4,Datos_items!$E:$E,Analisis_grupo!$C$4))</f>
        <v/>
      </c>
      <c r="AF23" s="2" t="str">
        <f aca="false">IF($B23="","",COUNTIFS(Datos_items!$B:$B,$B23,Datos_items!$AA:$AA,AF$4,Datos_items!$E:$E,Analisis_grupo!$C$4))</f>
        <v/>
      </c>
      <c r="AG23" s="2" t="str">
        <f aca="false">IF($B23="","",COUNTIFS(Datos_items!$B:$B,$B23,Datos_items!$AA:$AA,AG$4,Datos_items!$E:$E,Analisis_grupo!$C$4))</f>
        <v/>
      </c>
      <c r="AH23" s="2" t="str">
        <f aca="false">IF($B23="","",COUNTIFS(Datos_items!$B:$B,$B23,Datos_items!$AA:$AA,AH$4,Datos_items!$E:$E,Analisis_grupo!$C$4))</f>
        <v/>
      </c>
      <c r="AI23" s="2" t="str">
        <f aca="false">IF($B23="","",COUNTIFS(Datos_items!$B:$B,$B23,Datos_items!$AA:$AA,AI$4,Datos_items!$E:$E,Analisis_grupo!$C$4))</f>
        <v/>
      </c>
      <c r="AJ23" s="2" t="str">
        <f aca="false">IF($B23="","",COUNTIFS(Datos_items!$B:$B,$B23,Datos_items!$AA:$AA,AJ$4,Datos_items!$E:$E,Analisis_grupo!$C$4))</f>
        <v/>
      </c>
      <c r="AK23" s="2" t="str">
        <f aca="false">IF($B23="","",COUNTIFS(Datos_items!$B:$B,$B23,Datos_items!$AA:$AA,AK$4,Datos_items!$E:$E,Analisis_grupo!$C$4))</f>
        <v/>
      </c>
      <c r="AL23" s="2" t="str">
        <f aca="false">IF($B23="","",COUNTIFS(Datos_items!$B:$B,$B23,Datos_items!$AA:$AA,AL$4,Datos_items!$E:$E,Analisis_grupo!$C$4))</f>
        <v/>
      </c>
      <c r="AM23" s="2" t="str">
        <f aca="false">IF($B23="","",IF(MAX(Y23:AL23)=0,"",INDEX($Y$4:$AL$4,MATCH(MAX(Y23:AL23),Y23:AL23,0))))</f>
        <v/>
      </c>
      <c r="AN23" s="2" t="str">
        <f aca="false">IF($B23="","",COUNTIFS(Datos_problemas!$B:$B,$B23,Datos_problemas!$F:$F,"Práctica"))</f>
        <v/>
      </c>
      <c r="AO23" s="2" t="str">
        <f aca="false">IF($B23="","",SUMIFS(Datos_problemas!$AQ:$AQ,Datos_problemas!$B:$B,$B23,Datos_problemas!$F:$F,"Práctica"))</f>
        <v/>
      </c>
      <c r="AP23" s="2" t="str">
        <f aca="false">IF($B23="","",COUNTIFS(Datos_problemas!$B:$B,$B23,Datos_problemas!$F:$F,"Práctica",Datos_problemas!$AS:$AS,"Sí"))</f>
        <v/>
      </c>
    </row>
    <row r="24" customFormat="false" ht="15" hidden="false" customHeight="false" outlineLevel="0" collapsed="false">
      <c r="A24" s="2" t="n">
        <v>20</v>
      </c>
      <c r="B24" s="2" t="str">
        <f aca="false">IFERROR(INDEX(Datos_problemas!$B:$B,MATCH($A24,Datos_problemas!$AV:$AV,0)),"")</f>
        <v/>
      </c>
      <c r="C24" s="2" t="str">
        <f aca="false">IF($B24="","",INDEX(Datos_problemas!$C:$C,MATCH($A24,Datos_problemas!$AV:$AV,0)))</f>
        <v/>
      </c>
      <c r="D24" s="2" t="str">
        <f aca="false">IF($B24="","",INDEX(Datos_problemas!$D:$D,MATCH($A24,Datos_problemas!$AV:$AV,0)))</f>
        <v/>
      </c>
      <c r="E24" s="2" t="str">
        <f aca="false">IF($B24="","",COUNTIFS(Datos_problemas!$B:$B,$B24,Datos_problemas!$F:$F,"Evaluación"))</f>
        <v/>
      </c>
      <c r="F24" s="20" t="str">
        <f aca="false">IF($B24="","",IFERROR(AVERAGEIFS(Datos_problemas!$AE:$AE,Datos_problemas!$B:$B,$B24,Datos_problemas!$F:$F,"Evaluación"),""))</f>
        <v/>
      </c>
      <c r="G24" s="20" t="str">
        <f aca="false">IF($B24="","",IFERROR(AVERAGEIFS(Datos_problemas!$AE:$AE,Datos_problemas!$B:$B,$B24,Datos_problemas!$F:$F,"Evaluación",Datos_problemas!$E:$E,"Diagnóstico"),""))</f>
        <v/>
      </c>
      <c r="H24" s="20" t="str">
        <f aca="false">IF($B24="","",IFERROR(AVERAGEIFS(Datos_problemas!$AE:$AE,Datos_problemas!$B:$B,$B24,Datos_problemas!$F:$F,"Evaluación",Datos_problemas!$E:$E,"Final"),""))</f>
        <v/>
      </c>
      <c r="I24" s="21" t="str">
        <f aca="false">IF(OR(G24="",H24=""),"",IF(G24&gt;=10,"",(H24-G24)/(10-G24)))</f>
        <v/>
      </c>
      <c r="J24" s="18" t="str">
        <f aca="false">IF($B24="","",IFERROR(SUMIFS(Datos_items!$Z:$Z,Datos_items!$B:$B,$B24,Datos_items!$O:$O,J$4,Datos_items!$E:$E,Analisis_grupo!$C$4)/COUNTIFS(Datos_items!$B:$B,$B24,Datos_items!$O:$O,J$4,Datos_items!$E:$E,Analisis_grupo!$C$4),""))</f>
        <v/>
      </c>
      <c r="K24" s="18" t="str">
        <f aca="false">IF($B24="","",IFERROR(SUMIFS(Datos_items!$Z:$Z,Datos_items!$B:$B,$B24,Datos_items!$O:$O,K$4,Datos_items!$E:$E,Analisis_grupo!$C$4)/COUNTIFS(Datos_items!$B:$B,$B24,Datos_items!$O:$O,K$4,Datos_items!$E:$E,Analisis_grupo!$C$4),""))</f>
        <v/>
      </c>
      <c r="L24" s="18" t="str">
        <f aca="false">IF($B24="","",IFERROR(SUMIFS(Datos_items!$Z:$Z,Datos_items!$B:$B,$B24,Datos_items!$O:$O,L$4,Datos_items!$E:$E,Analisis_grupo!$C$4)/COUNTIFS(Datos_items!$B:$B,$B24,Datos_items!$O:$O,L$4,Datos_items!$E:$E,Analisis_grupo!$C$4),""))</f>
        <v/>
      </c>
      <c r="M24" s="18" t="str">
        <f aca="false">IF($B24="","",IFERROR(SUMIFS(Datos_items!$Z:$Z,Datos_items!$B:$B,$B24,Datos_items!$O:$O,M$4,Datos_items!$E:$E,Analisis_grupo!$C$4)/COUNTIFS(Datos_items!$B:$B,$B24,Datos_items!$O:$O,M$4,Datos_items!$E:$E,Analisis_grupo!$C$4),""))</f>
        <v/>
      </c>
      <c r="N24" s="18" t="str">
        <f aca="false">IF($B24="","",IFERROR(SUMIFS(Datos_items!$Z:$Z,Datos_items!$B:$B,$B24,Datos_items!$O:$O,N$4,Datos_items!$E:$E,Analisis_grupo!$C$4)/COUNTIFS(Datos_items!$B:$B,$B24,Datos_items!$O:$O,N$4,Datos_items!$E:$E,Analisis_grupo!$C$4),""))</f>
        <v/>
      </c>
      <c r="O24" s="18" t="str">
        <f aca="false">IF($B24="","",IFERROR(SUMIFS(Datos_items!$Z:$Z,Datos_items!$B:$B,$B24,Datos_items!$O:$O,O$4,Datos_items!$E:$E,Analisis_grupo!$C$4)/COUNTIFS(Datos_items!$B:$B,$B24,Datos_items!$O:$O,O$4,Datos_items!$E:$E,Analisis_grupo!$C$4),""))</f>
        <v/>
      </c>
      <c r="P24" s="18" t="str">
        <f aca="false">IF($B24="","",IFERROR(SUMIFS(Datos_items!$Z:$Z,Datos_items!$B:$B,$B24,Datos_items!$O:$O,P$4,Datos_items!$E:$E,Analisis_grupo!$C$4)/COUNTIFS(Datos_items!$B:$B,$B24,Datos_items!$O:$O,P$4,Datos_items!$E:$E,Analisis_grupo!$C$4),""))</f>
        <v/>
      </c>
      <c r="Q24" s="18" t="str">
        <f aca="false">IF($B24="","",IFERROR(SUMIFS(Datos_items!$Z:$Z,Datos_items!$B:$B,$B24,Datos_items!$O:$O,Q$4,Datos_items!$E:$E,Analisis_grupo!$C$4)/COUNTIFS(Datos_items!$B:$B,$B24,Datos_items!$O:$O,Q$4,Datos_items!$E:$E,Analisis_grupo!$C$4),""))</f>
        <v/>
      </c>
      <c r="R24" s="2" t="str">
        <f aca="false">IF(COUNT(J24:Q24)=0,"",IF(MIN(J24:Q24)&gt;=Analisis_grupo!$B$7,"(ninguna)",INDEX($J$4:$Q$4,MATCH(MIN(J24:Q24),J24:Q24,0))))</f>
        <v/>
      </c>
      <c r="S24" s="2" t="str">
        <f aca="false">IF($B24="","",COUNTIF(J24:Q24,"&lt;"&amp;Analisis_grupo!$B$7))</f>
        <v/>
      </c>
      <c r="T24" s="2" t="str">
        <f aca="false">IF($B24="","",COUNTIFS(Datos_items!$B:$B,$B24,Datos_items!$AA:$AA,T$4,Datos_items!$E:$E,Analisis_grupo!$C$4))</f>
        <v/>
      </c>
      <c r="U24" s="2" t="str">
        <f aca="false">IF($B24="","",COUNTIFS(Datos_items!$B:$B,$B24,Datos_items!$AA:$AA,U$4,Datos_items!$E:$E,Analisis_grupo!$C$4))</f>
        <v/>
      </c>
      <c r="V24" s="2" t="str">
        <f aca="false">IF($B24="","",COUNTIFS(Datos_items!$B:$B,$B24,Datos_items!$AA:$AA,V$4,Datos_items!$E:$E,Analisis_grupo!$C$4))</f>
        <v/>
      </c>
      <c r="W24" s="2" t="str">
        <f aca="false">IF($B24="","",COUNTIFS(Datos_items!$B:$B,$B24,Datos_items!$AA:$AA,W$4,Datos_items!$E:$E,Analisis_grupo!$C$4))</f>
        <v/>
      </c>
      <c r="X24" s="2" t="str">
        <f aca="false">IF($B24="","",COUNTIFS(Datos_items!$B:$B,$B24,Datos_items!$AA:$AA,X$4,Datos_items!$E:$E,Analisis_grupo!$C$4))</f>
        <v/>
      </c>
      <c r="Y24" s="2" t="str">
        <f aca="false">IF($B24="","",COUNTIFS(Datos_items!$B:$B,$B24,Datos_items!$AA:$AA,Y$4,Datos_items!$E:$E,Analisis_grupo!$C$4))</f>
        <v/>
      </c>
      <c r="Z24" s="2" t="str">
        <f aca="false">IF($B24="","",COUNTIFS(Datos_items!$B:$B,$B24,Datos_items!$AA:$AA,Z$4,Datos_items!$E:$E,Analisis_grupo!$C$4))</f>
        <v/>
      </c>
      <c r="AA24" s="2" t="str">
        <f aca="false">IF($B24="","",COUNTIFS(Datos_items!$B:$B,$B24,Datos_items!$AA:$AA,AA$4,Datos_items!$E:$E,Analisis_grupo!$C$4))</f>
        <v/>
      </c>
      <c r="AB24" s="2" t="str">
        <f aca="false">IF($B24="","",COUNTIFS(Datos_items!$B:$B,$B24,Datos_items!$AA:$AA,AB$4,Datos_items!$E:$E,Analisis_grupo!$C$4))</f>
        <v/>
      </c>
      <c r="AC24" s="2" t="str">
        <f aca="false">IF($B24="","",COUNTIFS(Datos_items!$B:$B,$B24,Datos_items!$AA:$AA,AC$4,Datos_items!$E:$E,Analisis_grupo!$C$4))</f>
        <v/>
      </c>
      <c r="AD24" s="2" t="str">
        <f aca="false">IF($B24="","",COUNTIFS(Datos_items!$B:$B,$B24,Datos_items!$AA:$AA,AD$4,Datos_items!$E:$E,Analisis_grupo!$C$4))</f>
        <v/>
      </c>
      <c r="AE24" s="2" t="str">
        <f aca="false">IF($B24="","",COUNTIFS(Datos_items!$B:$B,$B24,Datos_items!$AA:$AA,AE$4,Datos_items!$E:$E,Analisis_grupo!$C$4))</f>
        <v/>
      </c>
      <c r="AF24" s="2" t="str">
        <f aca="false">IF($B24="","",COUNTIFS(Datos_items!$B:$B,$B24,Datos_items!$AA:$AA,AF$4,Datos_items!$E:$E,Analisis_grupo!$C$4))</f>
        <v/>
      </c>
      <c r="AG24" s="2" t="str">
        <f aca="false">IF($B24="","",COUNTIFS(Datos_items!$B:$B,$B24,Datos_items!$AA:$AA,AG$4,Datos_items!$E:$E,Analisis_grupo!$C$4))</f>
        <v/>
      </c>
      <c r="AH24" s="2" t="str">
        <f aca="false">IF($B24="","",COUNTIFS(Datos_items!$B:$B,$B24,Datos_items!$AA:$AA,AH$4,Datos_items!$E:$E,Analisis_grupo!$C$4))</f>
        <v/>
      </c>
      <c r="AI24" s="2" t="str">
        <f aca="false">IF($B24="","",COUNTIFS(Datos_items!$B:$B,$B24,Datos_items!$AA:$AA,AI$4,Datos_items!$E:$E,Analisis_grupo!$C$4))</f>
        <v/>
      </c>
      <c r="AJ24" s="2" t="str">
        <f aca="false">IF($B24="","",COUNTIFS(Datos_items!$B:$B,$B24,Datos_items!$AA:$AA,AJ$4,Datos_items!$E:$E,Analisis_grupo!$C$4))</f>
        <v/>
      </c>
      <c r="AK24" s="2" t="str">
        <f aca="false">IF($B24="","",COUNTIFS(Datos_items!$B:$B,$B24,Datos_items!$AA:$AA,AK$4,Datos_items!$E:$E,Analisis_grupo!$C$4))</f>
        <v/>
      </c>
      <c r="AL24" s="2" t="str">
        <f aca="false">IF($B24="","",COUNTIFS(Datos_items!$B:$B,$B24,Datos_items!$AA:$AA,AL$4,Datos_items!$E:$E,Analisis_grupo!$C$4))</f>
        <v/>
      </c>
      <c r="AM24" s="2" t="str">
        <f aca="false">IF($B24="","",IF(MAX(Y24:AL24)=0,"",INDEX($Y$4:$AL$4,MATCH(MAX(Y24:AL24),Y24:AL24,0))))</f>
        <v/>
      </c>
      <c r="AN24" s="2" t="str">
        <f aca="false">IF($B24="","",COUNTIFS(Datos_problemas!$B:$B,$B24,Datos_problemas!$F:$F,"Práctica"))</f>
        <v/>
      </c>
      <c r="AO24" s="2" t="str">
        <f aca="false">IF($B24="","",SUMIFS(Datos_problemas!$AQ:$AQ,Datos_problemas!$B:$B,$B24,Datos_problemas!$F:$F,"Práctica"))</f>
        <v/>
      </c>
      <c r="AP24" s="2" t="str">
        <f aca="false">IF($B24="","",COUNTIFS(Datos_problemas!$B:$B,$B24,Datos_problemas!$F:$F,"Práctica",Datos_problemas!$AS:$AS,"Sí"))</f>
        <v/>
      </c>
    </row>
    <row r="25" customFormat="false" ht="15" hidden="false" customHeight="false" outlineLevel="0" collapsed="false">
      <c r="A25" s="2" t="n">
        <v>21</v>
      </c>
      <c r="B25" s="2" t="str">
        <f aca="false">IFERROR(INDEX(Datos_problemas!$B:$B,MATCH($A25,Datos_problemas!$AV:$AV,0)),"")</f>
        <v/>
      </c>
      <c r="C25" s="2" t="str">
        <f aca="false">IF($B25="","",INDEX(Datos_problemas!$C:$C,MATCH($A25,Datos_problemas!$AV:$AV,0)))</f>
        <v/>
      </c>
      <c r="D25" s="2" t="str">
        <f aca="false">IF($B25="","",INDEX(Datos_problemas!$D:$D,MATCH($A25,Datos_problemas!$AV:$AV,0)))</f>
        <v/>
      </c>
      <c r="E25" s="2" t="str">
        <f aca="false">IF($B25="","",COUNTIFS(Datos_problemas!$B:$B,$B25,Datos_problemas!$F:$F,"Evaluación"))</f>
        <v/>
      </c>
      <c r="F25" s="20" t="str">
        <f aca="false">IF($B25="","",IFERROR(AVERAGEIFS(Datos_problemas!$AE:$AE,Datos_problemas!$B:$B,$B25,Datos_problemas!$F:$F,"Evaluación"),""))</f>
        <v/>
      </c>
      <c r="G25" s="20" t="str">
        <f aca="false">IF($B25="","",IFERROR(AVERAGEIFS(Datos_problemas!$AE:$AE,Datos_problemas!$B:$B,$B25,Datos_problemas!$F:$F,"Evaluación",Datos_problemas!$E:$E,"Diagnóstico"),""))</f>
        <v/>
      </c>
      <c r="H25" s="20" t="str">
        <f aca="false">IF($B25="","",IFERROR(AVERAGEIFS(Datos_problemas!$AE:$AE,Datos_problemas!$B:$B,$B25,Datos_problemas!$F:$F,"Evaluación",Datos_problemas!$E:$E,"Final"),""))</f>
        <v/>
      </c>
      <c r="I25" s="21" t="str">
        <f aca="false">IF(OR(G25="",H25=""),"",IF(G25&gt;=10,"",(H25-G25)/(10-G25)))</f>
        <v/>
      </c>
      <c r="J25" s="18" t="str">
        <f aca="false">IF($B25="","",IFERROR(SUMIFS(Datos_items!$Z:$Z,Datos_items!$B:$B,$B25,Datos_items!$O:$O,J$4,Datos_items!$E:$E,Analisis_grupo!$C$4)/COUNTIFS(Datos_items!$B:$B,$B25,Datos_items!$O:$O,J$4,Datos_items!$E:$E,Analisis_grupo!$C$4),""))</f>
        <v/>
      </c>
      <c r="K25" s="18" t="str">
        <f aca="false">IF($B25="","",IFERROR(SUMIFS(Datos_items!$Z:$Z,Datos_items!$B:$B,$B25,Datos_items!$O:$O,K$4,Datos_items!$E:$E,Analisis_grupo!$C$4)/COUNTIFS(Datos_items!$B:$B,$B25,Datos_items!$O:$O,K$4,Datos_items!$E:$E,Analisis_grupo!$C$4),""))</f>
        <v/>
      </c>
      <c r="L25" s="18" t="str">
        <f aca="false">IF($B25="","",IFERROR(SUMIFS(Datos_items!$Z:$Z,Datos_items!$B:$B,$B25,Datos_items!$O:$O,L$4,Datos_items!$E:$E,Analisis_grupo!$C$4)/COUNTIFS(Datos_items!$B:$B,$B25,Datos_items!$O:$O,L$4,Datos_items!$E:$E,Analisis_grupo!$C$4),""))</f>
        <v/>
      </c>
      <c r="M25" s="18" t="str">
        <f aca="false">IF($B25="","",IFERROR(SUMIFS(Datos_items!$Z:$Z,Datos_items!$B:$B,$B25,Datos_items!$O:$O,M$4,Datos_items!$E:$E,Analisis_grupo!$C$4)/COUNTIFS(Datos_items!$B:$B,$B25,Datos_items!$O:$O,M$4,Datos_items!$E:$E,Analisis_grupo!$C$4),""))</f>
        <v/>
      </c>
      <c r="N25" s="18" t="str">
        <f aca="false">IF($B25="","",IFERROR(SUMIFS(Datos_items!$Z:$Z,Datos_items!$B:$B,$B25,Datos_items!$O:$O,N$4,Datos_items!$E:$E,Analisis_grupo!$C$4)/COUNTIFS(Datos_items!$B:$B,$B25,Datos_items!$O:$O,N$4,Datos_items!$E:$E,Analisis_grupo!$C$4),""))</f>
        <v/>
      </c>
      <c r="O25" s="18" t="str">
        <f aca="false">IF($B25="","",IFERROR(SUMIFS(Datos_items!$Z:$Z,Datos_items!$B:$B,$B25,Datos_items!$O:$O,O$4,Datos_items!$E:$E,Analisis_grupo!$C$4)/COUNTIFS(Datos_items!$B:$B,$B25,Datos_items!$O:$O,O$4,Datos_items!$E:$E,Analisis_grupo!$C$4),""))</f>
        <v/>
      </c>
      <c r="P25" s="18" t="str">
        <f aca="false">IF($B25="","",IFERROR(SUMIFS(Datos_items!$Z:$Z,Datos_items!$B:$B,$B25,Datos_items!$O:$O,P$4,Datos_items!$E:$E,Analisis_grupo!$C$4)/COUNTIFS(Datos_items!$B:$B,$B25,Datos_items!$O:$O,P$4,Datos_items!$E:$E,Analisis_grupo!$C$4),""))</f>
        <v/>
      </c>
      <c r="Q25" s="18" t="str">
        <f aca="false">IF($B25="","",IFERROR(SUMIFS(Datos_items!$Z:$Z,Datos_items!$B:$B,$B25,Datos_items!$O:$O,Q$4,Datos_items!$E:$E,Analisis_grupo!$C$4)/COUNTIFS(Datos_items!$B:$B,$B25,Datos_items!$O:$O,Q$4,Datos_items!$E:$E,Analisis_grupo!$C$4),""))</f>
        <v/>
      </c>
      <c r="R25" s="2" t="str">
        <f aca="false">IF(COUNT(J25:Q25)=0,"",IF(MIN(J25:Q25)&gt;=Analisis_grupo!$B$7,"(ninguna)",INDEX($J$4:$Q$4,MATCH(MIN(J25:Q25),J25:Q25,0))))</f>
        <v/>
      </c>
      <c r="S25" s="2" t="str">
        <f aca="false">IF($B25="","",COUNTIF(J25:Q25,"&lt;"&amp;Analisis_grupo!$B$7))</f>
        <v/>
      </c>
      <c r="T25" s="2" t="str">
        <f aca="false">IF($B25="","",COUNTIFS(Datos_items!$B:$B,$B25,Datos_items!$AA:$AA,T$4,Datos_items!$E:$E,Analisis_grupo!$C$4))</f>
        <v/>
      </c>
      <c r="U25" s="2" t="str">
        <f aca="false">IF($B25="","",COUNTIFS(Datos_items!$B:$B,$B25,Datos_items!$AA:$AA,U$4,Datos_items!$E:$E,Analisis_grupo!$C$4))</f>
        <v/>
      </c>
      <c r="V25" s="2" t="str">
        <f aca="false">IF($B25="","",COUNTIFS(Datos_items!$B:$B,$B25,Datos_items!$AA:$AA,V$4,Datos_items!$E:$E,Analisis_grupo!$C$4))</f>
        <v/>
      </c>
      <c r="W25" s="2" t="str">
        <f aca="false">IF($B25="","",COUNTIFS(Datos_items!$B:$B,$B25,Datos_items!$AA:$AA,W$4,Datos_items!$E:$E,Analisis_grupo!$C$4))</f>
        <v/>
      </c>
      <c r="X25" s="2" t="str">
        <f aca="false">IF($B25="","",COUNTIFS(Datos_items!$B:$B,$B25,Datos_items!$AA:$AA,X$4,Datos_items!$E:$E,Analisis_grupo!$C$4))</f>
        <v/>
      </c>
      <c r="Y25" s="2" t="str">
        <f aca="false">IF($B25="","",COUNTIFS(Datos_items!$B:$B,$B25,Datos_items!$AA:$AA,Y$4,Datos_items!$E:$E,Analisis_grupo!$C$4))</f>
        <v/>
      </c>
      <c r="Z25" s="2" t="str">
        <f aca="false">IF($B25="","",COUNTIFS(Datos_items!$B:$B,$B25,Datos_items!$AA:$AA,Z$4,Datos_items!$E:$E,Analisis_grupo!$C$4))</f>
        <v/>
      </c>
      <c r="AA25" s="2" t="str">
        <f aca="false">IF($B25="","",COUNTIFS(Datos_items!$B:$B,$B25,Datos_items!$AA:$AA,AA$4,Datos_items!$E:$E,Analisis_grupo!$C$4))</f>
        <v/>
      </c>
      <c r="AB25" s="2" t="str">
        <f aca="false">IF($B25="","",COUNTIFS(Datos_items!$B:$B,$B25,Datos_items!$AA:$AA,AB$4,Datos_items!$E:$E,Analisis_grupo!$C$4))</f>
        <v/>
      </c>
      <c r="AC25" s="2" t="str">
        <f aca="false">IF($B25="","",COUNTIFS(Datos_items!$B:$B,$B25,Datos_items!$AA:$AA,AC$4,Datos_items!$E:$E,Analisis_grupo!$C$4))</f>
        <v/>
      </c>
      <c r="AD25" s="2" t="str">
        <f aca="false">IF($B25="","",COUNTIFS(Datos_items!$B:$B,$B25,Datos_items!$AA:$AA,AD$4,Datos_items!$E:$E,Analisis_grupo!$C$4))</f>
        <v/>
      </c>
      <c r="AE25" s="2" t="str">
        <f aca="false">IF($B25="","",COUNTIFS(Datos_items!$B:$B,$B25,Datos_items!$AA:$AA,AE$4,Datos_items!$E:$E,Analisis_grupo!$C$4))</f>
        <v/>
      </c>
      <c r="AF25" s="2" t="str">
        <f aca="false">IF($B25="","",COUNTIFS(Datos_items!$B:$B,$B25,Datos_items!$AA:$AA,AF$4,Datos_items!$E:$E,Analisis_grupo!$C$4))</f>
        <v/>
      </c>
      <c r="AG25" s="2" t="str">
        <f aca="false">IF($B25="","",COUNTIFS(Datos_items!$B:$B,$B25,Datos_items!$AA:$AA,AG$4,Datos_items!$E:$E,Analisis_grupo!$C$4))</f>
        <v/>
      </c>
      <c r="AH25" s="2" t="str">
        <f aca="false">IF($B25="","",COUNTIFS(Datos_items!$B:$B,$B25,Datos_items!$AA:$AA,AH$4,Datos_items!$E:$E,Analisis_grupo!$C$4))</f>
        <v/>
      </c>
      <c r="AI25" s="2" t="str">
        <f aca="false">IF($B25="","",COUNTIFS(Datos_items!$B:$B,$B25,Datos_items!$AA:$AA,AI$4,Datos_items!$E:$E,Analisis_grupo!$C$4))</f>
        <v/>
      </c>
      <c r="AJ25" s="2" t="str">
        <f aca="false">IF($B25="","",COUNTIFS(Datos_items!$B:$B,$B25,Datos_items!$AA:$AA,AJ$4,Datos_items!$E:$E,Analisis_grupo!$C$4))</f>
        <v/>
      </c>
      <c r="AK25" s="2" t="str">
        <f aca="false">IF($B25="","",COUNTIFS(Datos_items!$B:$B,$B25,Datos_items!$AA:$AA,AK$4,Datos_items!$E:$E,Analisis_grupo!$C$4))</f>
        <v/>
      </c>
      <c r="AL25" s="2" t="str">
        <f aca="false">IF($B25="","",COUNTIFS(Datos_items!$B:$B,$B25,Datos_items!$AA:$AA,AL$4,Datos_items!$E:$E,Analisis_grupo!$C$4))</f>
        <v/>
      </c>
      <c r="AM25" s="2" t="str">
        <f aca="false">IF($B25="","",IF(MAX(Y25:AL25)=0,"",INDEX($Y$4:$AL$4,MATCH(MAX(Y25:AL25),Y25:AL25,0))))</f>
        <v/>
      </c>
      <c r="AN25" s="2" t="str">
        <f aca="false">IF($B25="","",COUNTIFS(Datos_problemas!$B:$B,$B25,Datos_problemas!$F:$F,"Práctica"))</f>
        <v/>
      </c>
      <c r="AO25" s="2" t="str">
        <f aca="false">IF($B25="","",SUMIFS(Datos_problemas!$AQ:$AQ,Datos_problemas!$B:$B,$B25,Datos_problemas!$F:$F,"Práctica"))</f>
        <v/>
      </c>
      <c r="AP25" s="2" t="str">
        <f aca="false">IF($B25="","",COUNTIFS(Datos_problemas!$B:$B,$B25,Datos_problemas!$F:$F,"Práctica",Datos_problemas!$AS:$AS,"Sí"))</f>
        <v/>
      </c>
    </row>
    <row r="26" customFormat="false" ht="15" hidden="false" customHeight="false" outlineLevel="0" collapsed="false">
      <c r="A26" s="2" t="n">
        <v>22</v>
      </c>
      <c r="B26" s="2" t="str">
        <f aca="false">IFERROR(INDEX(Datos_problemas!$B:$B,MATCH($A26,Datos_problemas!$AV:$AV,0)),"")</f>
        <v/>
      </c>
      <c r="C26" s="2" t="str">
        <f aca="false">IF($B26="","",INDEX(Datos_problemas!$C:$C,MATCH($A26,Datos_problemas!$AV:$AV,0)))</f>
        <v/>
      </c>
      <c r="D26" s="2" t="str">
        <f aca="false">IF($B26="","",INDEX(Datos_problemas!$D:$D,MATCH($A26,Datos_problemas!$AV:$AV,0)))</f>
        <v/>
      </c>
      <c r="E26" s="2" t="str">
        <f aca="false">IF($B26="","",COUNTIFS(Datos_problemas!$B:$B,$B26,Datos_problemas!$F:$F,"Evaluación"))</f>
        <v/>
      </c>
      <c r="F26" s="20" t="str">
        <f aca="false">IF($B26="","",IFERROR(AVERAGEIFS(Datos_problemas!$AE:$AE,Datos_problemas!$B:$B,$B26,Datos_problemas!$F:$F,"Evaluación"),""))</f>
        <v/>
      </c>
      <c r="G26" s="20" t="str">
        <f aca="false">IF($B26="","",IFERROR(AVERAGEIFS(Datos_problemas!$AE:$AE,Datos_problemas!$B:$B,$B26,Datos_problemas!$F:$F,"Evaluación",Datos_problemas!$E:$E,"Diagnóstico"),""))</f>
        <v/>
      </c>
      <c r="H26" s="20" t="str">
        <f aca="false">IF($B26="","",IFERROR(AVERAGEIFS(Datos_problemas!$AE:$AE,Datos_problemas!$B:$B,$B26,Datos_problemas!$F:$F,"Evaluación",Datos_problemas!$E:$E,"Final"),""))</f>
        <v/>
      </c>
      <c r="I26" s="21" t="str">
        <f aca="false">IF(OR(G26="",H26=""),"",IF(G26&gt;=10,"",(H26-G26)/(10-G26)))</f>
        <v/>
      </c>
      <c r="J26" s="18" t="str">
        <f aca="false">IF($B26="","",IFERROR(SUMIFS(Datos_items!$Z:$Z,Datos_items!$B:$B,$B26,Datos_items!$O:$O,J$4,Datos_items!$E:$E,Analisis_grupo!$C$4)/COUNTIFS(Datos_items!$B:$B,$B26,Datos_items!$O:$O,J$4,Datos_items!$E:$E,Analisis_grupo!$C$4),""))</f>
        <v/>
      </c>
      <c r="K26" s="18" t="str">
        <f aca="false">IF($B26="","",IFERROR(SUMIFS(Datos_items!$Z:$Z,Datos_items!$B:$B,$B26,Datos_items!$O:$O,K$4,Datos_items!$E:$E,Analisis_grupo!$C$4)/COUNTIFS(Datos_items!$B:$B,$B26,Datos_items!$O:$O,K$4,Datos_items!$E:$E,Analisis_grupo!$C$4),""))</f>
        <v/>
      </c>
      <c r="L26" s="18" t="str">
        <f aca="false">IF($B26="","",IFERROR(SUMIFS(Datos_items!$Z:$Z,Datos_items!$B:$B,$B26,Datos_items!$O:$O,L$4,Datos_items!$E:$E,Analisis_grupo!$C$4)/COUNTIFS(Datos_items!$B:$B,$B26,Datos_items!$O:$O,L$4,Datos_items!$E:$E,Analisis_grupo!$C$4),""))</f>
        <v/>
      </c>
      <c r="M26" s="18" t="str">
        <f aca="false">IF($B26="","",IFERROR(SUMIFS(Datos_items!$Z:$Z,Datos_items!$B:$B,$B26,Datos_items!$O:$O,M$4,Datos_items!$E:$E,Analisis_grupo!$C$4)/COUNTIFS(Datos_items!$B:$B,$B26,Datos_items!$O:$O,M$4,Datos_items!$E:$E,Analisis_grupo!$C$4),""))</f>
        <v/>
      </c>
      <c r="N26" s="18" t="str">
        <f aca="false">IF($B26="","",IFERROR(SUMIFS(Datos_items!$Z:$Z,Datos_items!$B:$B,$B26,Datos_items!$O:$O,N$4,Datos_items!$E:$E,Analisis_grupo!$C$4)/COUNTIFS(Datos_items!$B:$B,$B26,Datos_items!$O:$O,N$4,Datos_items!$E:$E,Analisis_grupo!$C$4),""))</f>
        <v/>
      </c>
      <c r="O26" s="18" t="str">
        <f aca="false">IF($B26="","",IFERROR(SUMIFS(Datos_items!$Z:$Z,Datos_items!$B:$B,$B26,Datos_items!$O:$O,O$4,Datos_items!$E:$E,Analisis_grupo!$C$4)/COUNTIFS(Datos_items!$B:$B,$B26,Datos_items!$O:$O,O$4,Datos_items!$E:$E,Analisis_grupo!$C$4),""))</f>
        <v/>
      </c>
      <c r="P26" s="18" t="str">
        <f aca="false">IF($B26="","",IFERROR(SUMIFS(Datos_items!$Z:$Z,Datos_items!$B:$B,$B26,Datos_items!$O:$O,P$4,Datos_items!$E:$E,Analisis_grupo!$C$4)/COUNTIFS(Datos_items!$B:$B,$B26,Datos_items!$O:$O,P$4,Datos_items!$E:$E,Analisis_grupo!$C$4),""))</f>
        <v/>
      </c>
      <c r="Q26" s="18" t="str">
        <f aca="false">IF($B26="","",IFERROR(SUMIFS(Datos_items!$Z:$Z,Datos_items!$B:$B,$B26,Datos_items!$O:$O,Q$4,Datos_items!$E:$E,Analisis_grupo!$C$4)/COUNTIFS(Datos_items!$B:$B,$B26,Datos_items!$O:$O,Q$4,Datos_items!$E:$E,Analisis_grupo!$C$4),""))</f>
        <v/>
      </c>
      <c r="R26" s="2" t="str">
        <f aca="false">IF(COUNT(J26:Q26)=0,"",IF(MIN(J26:Q26)&gt;=Analisis_grupo!$B$7,"(ninguna)",INDEX($J$4:$Q$4,MATCH(MIN(J26:Q26),J26:Q26,0))))</f>
        <v/>
      </c>
      <c r="S26" s="2" t="str">
        <f aca="false">IF($B26="","",COUNTIF(J26:Q26,"&lt;"&amp;Analisis_grupo!$B$7))</f>
        <v/>
      </c>
      <c r="T26" s="2" t="str">
        <f aca="false">IF($B26="","",COUNTIFS(Datos_items!$B:$B,$B26,Datos_items!$AA:$AA,T$4,Datos_items!$E:$E,Analisis_grupo!$C$4))</f>
        <v/>
      </c>
      <c r="U26" s="2" t="str">
        <f aca="false">IF($B26="","",COUNTIFS(Datos_items!$B:$B,$B26,Datos_items!$AA:$AA,U$4,Datos_items!$E:$E,Analisis_grupo!$C$4))</f>
        <v/>
      </c>
      <c r="V26" s="2" t="str">
        <f aca="false">IF($B26="","",COUNTIFS(Datos_items!$B:$B,$B26,Datos_items!$AA:$AA,V$4,Datos_items!$E:$E,Analisis_grupo!$C$4))</f>
        <v/>
      </c>
      <c r="W26" s="2" t="str">
        <f aca="false">IF($B26="","",COUNTIFS(Datos_items!$B:$B,$B26,Datos_items!$AA:$AA,W$4,Datos_items!$E:$E,Analisis_grupo!$C$4))</f>
        <v/>
      </c>
      <c r="X26" s="2" t="str">
        <f aca="false">IF($B26="","",COUNTIFS(Datos_items!$B:$B,$B26,Datos_items!$AA:$AA,X$4,Datos_items!$E:$E,Analisis_grupo!$C$4))</f>
        <v/>
      </c>
      <c r="Y26" s="2" t="str">
        <f aca="false">IF($B26="","",COUNTIFS(Datos_items!$B:$B,$B26,Datos_items!$AA:$AA,Y$4,Datos_items!$E:$E,Analisis_grupo!$C$4))</f>
        <v/>
      </c>
      <c r="Z26" s="2" t="str">
        <f aca="false">IF($B26="","",COUNTIFS(Datos_items!$B:$B,$B26,Datos_items!$AA:$AA,Z$4,Datos_items!$E:$E,Analisis_grupo!$C$4))</f>
        <v/>
      </c>
      <c r="AA26" s="2" t="str">
        <f aca="false">IF($B26="","",COUNTIFS(Datos_items!$B:$B,$B26,Datos_items!$AA:$AA,AA$4,Datos_items!$E:$E,Analisis_grupo!$C$4))</f>
        <v/>
      </c>
      <c r="AB26" s="2" t="str">
        <f aca="false">IF($B26="","",COUNTIFS(Datos_items!$B:$B,$B26,Datos_items!$AA:$AA,AB$4,Datos_items!$E:$E,Analisis_grupo!$C$4))</f>
        <v/>
      </c>
      <c r="AC26" s="2" t="str">
        <f aca="false">IF($B26="","",COUNTIFS(Datos_items!$B:$B,$B26,Datos_items!$AA:$AA,AC$4,Datos_items!$E:$E,Analisis_grupo!$C$4))</f>
        <v/>
      </c>
      <c r="AD26" s="2" t="str">
        <f aca="false">IF($B26="","",COUNTIFS(Datos_items!$B:$B,$B26,Datos_items!$AA:$AA,AD$4,Datos_items!$E:$E,Analisis_grupo!$C$4))</f>
        <v/>
      </c>
      <c r="AE26" s="2" t="str">
        <f aca="false">IF($B26="","",COUNTIFS(Datos_items!$B:$B,$B26,Datos_items!$AA:$AA,AE$4,Datos_items!$E:$E,Analisis_grupo!$C$4))</f>
        <v/>
      </c>
      <c r="AF26" s="2" t="str">
        <f aca="false">IF($B26="","",COUNTIFS(Datos_items!$B:$B,$B26,Datos_items!$AA:$AA,AF$4,Datos_items!$E:$E,Analisis_grupo!$C$4))</f>
        <v/>
      </c>
      <c r="AG26" s="2" t="str">
        <f aca="false">IF($B26="","",COUNTIFS(Datos_items!$B:$B,$B26,Datos_items!$AA:$AA,AG$4,Datos_items!$E:$E,Analisis_grupo!$C$4))</f>
        <v/>
      </c>
      <c r="AH26" s="2" t="str">
        <f aca="false">IF($B26="","",COUNTIFS(Datos_items!$B:$B,$B26,Datos_items!$AA:$AA,AH$4,Datos_items!$E:$E,Analisis_grupo!$C$4))</f>
        <v/>
      </c>
      <c r="AI26" s="2" t="str">
        <f aca="false">IF($B26="","",COUNTIFS(Datos_items!$B:$B,$B26,Datos_items!$AA:$AA,AI$4,Datos_items!$E:$E,Analisis_grupo!$C$4))</f>
        <v/>
      </c>
      <c r="AJ26" s="2" t="str">
        <f aca="false">IF($B26="","",COUNTIFS(Datos_items!$B:$B,$B26,Datos_items!$AA:$AA,AJ$4,Datos_items!$E:$E,Analisis_grupo!$C$4))</f>
        <v/>
      </c>
      <c r="AK26" s="2" t="str">
        <f aca="false">IF($B26="","",COUNTIFS(Datos_items!$B:$B,$B26,Datos_items!$AA:$AA,AK$4,Datos_items!$E:$E,Analisis_grupo!$C$4))</f>
        <v/>
      </c>
      <c r="AL26" s="2" t="str">
        <f aca="false">IF($B26="","",COUNTIFS(Datos_items!$B:$B,$B26,Datos_items!$AA:$AA,AL$4,Datos_items!$E:$E,Analisis_grupo!$C$4))</f>
        <v/>
      </c>
      <c r="AM26" s="2" t="str">
        <f aca="false">IF($B26="","",IF(MAX(Y26:AL26)=0,"",INDEX($Y$4:$AL$4,MATCH(MAX(Y26:AL26),Y26:AL26,0))))</f>
        <v/>
      </c>
      <c r="AN26" s="2" t="str">
        <f aca="false">IF($B26="","",COUNTIFS(Datos_problemas!$B:$B,$B26,Datos_problemas!$F:$F,"Práctica"))</f>
        <v/>
      </c>
      <c r="AO26" s="2" t="str">
        <f aca="false">IF($B26="","",SUMIFS(Datos_problemas!$AQ:$AQ,Datos_problemas!$B:$B,$B26,Datos_problemas!$F:$F,"Práctica"))</f>
        <v/>
      </c>
      <c r="AP26" s="2" t="str">
        <f aca="false">IF($B26="","",COUNTIFS(Datos_problemas!$B:$B,$B26,Datos_problemas!$F:$F,"Práctica",Datos_problemas!$AS:$AS,"Sí"))</f>
        <v/>
      </c>
    </row>
    <row r="27" customFormat="false" ht="15" hidden="false" customHeight="false" outlineLevel="0" collapsed="false">
      <c r="A27" s="2" t="n">
        <v>23</v>
      </c>
      <c r="B27" s="2" t="str">
        <f aca="false">IFERROR(INDEX(Datos_problemas!$B:$B,MATCH($A27,Datos_problemas!$AV:$AV,0)),"")</f>
        <v/>
      </c>
      <c r="C27" s="2" t="str">
        <f aca="false">IF($B27="","",INDEX(Datos_problemas!$C:$C,MATCH($A27,Datos_problemas!$AV:$AV,0)))</f>
        <v/>
      </c>
      <c r="D27" s="2" t="str">
        <f aca="false">IF($B27="","",INDEX(Datos_problemas!$D:$D,MATCH($A27,Datos_problemas!$AV:$AV,0)))</f>
        <v/>
      </c>
      <c r="E27" s="2" t="str">
        <f aca="false">IF($B27="","",COUNTIFS(Datos_problemas!$B:$B,$B27,Datos_problemas!$F:$F,"Evaluación"))</f>
        <v/>
      </c>
      <c r="F27" s="20" t="str">
        <f aca="false">IF($B27="","",IFERROR(AVERAGEIFS(Datos_problemas!$AE:$AE,Datos_problemas!$B:$B,$B27,Datos_problemas!$F:$F,"Evaluación"),""))</f>
        <v/>
      </c>
      <c r="G27" s="20" t="str">
        <f aca="false">IF($B27="","",IFERROR(AVERAGEIFS(Datos_problemas!$AE:$AE,Datos_problemas!$B:$B,$B27,Datos_problemas!$F:$F,"Evaluación",Datos_problemas!$E:$E,"Diagnóstico"),""))</f>
        <v/>
      </c>
      <c r="H27" s="20" t="str">
        <f aca="false">IF($B27="","",IFERROR(AVERAGEIFS(Datos_problemas!$AE:$AE,Datos_problemas!$B:$B,$B27,Datos_problemas!$F:$F,"Evaluación",Datos_problemas!$E:$E,"Final"),""))</f>
        <v/>
      </c>
      <c r="I27" s="21" t="str">
        <f aca="false">IF(OR(G27="",H27=""),"",IF(G27&gt;=10,"",(H27-G27)/(10-G27)))</f>
        <v/>
      </c>
      <c r="J27" s="18" t="str">
        <f aca="false">IF($B27="","",IFERROR(SUMIFS(Datos_items!$Z:$Z,Datos_items!$B:$B,$B27,Datos_items!$O:$O,J$4,Datos_items!$E:$E,Analisis_grupo!$C$4)/COUNTIFS(Datos_items!$B:$B,$B27,Datos_items!$O:$O,J$4,Datos_items!$E:$E,Analisis_grupo!$C$4),""))</f>
        <v/>
      </c>
      <c r="K27" s="18" t="str">
        <f aca="false">IF($B27="","",IFERROR(SUMIFS(Datos_items!$Z:$Z,Datos_items!$B:$B,$B27,Datos_items!$O:$O,K$4,Datos_items!$E:$E,Analisis_grupo!$C$4)/COUNTIFS(Datos_items!$B:$B,$B27,Datos_items!$O:$O,K$4,Datos_items!$E:$E,Analisis_grupo!$C$4),""))</f>
        <v/>
      </c>
      <c r="L27" s="18" t="str">
        <f aca="false">IF($B27="","",IFERROR(SUMIFS(Datos_items!$Z:$Z,Datos_items!$B:$B,$B27,Datos_items!$O:$O,L$4,Datos_items!$E:$E,Analisis_grupo!$C$4)/COUNTIFS(Datos_items!$B:$B,$B27,Datos_items!$O:$O,L$4,Datos_items!$E:$E,Analisis_grupo!$C$4),""))</f>
        <v/>
      </c>
      <c r="M27" s="18" t="str">
        <f aca="false">IF($B27="","",IFERROR(SUMIFS(Datos_items!$Z:$Z,Datos_items!$B:$B,$B27,Datos_items!$O:$O,M$4,Datos_items!$E:$E,Analisis_grupo!$C$4)/COUNTIFS(Datos_items!$B:$B,$B27,Datos_items!$O:$O,M$4,Datos_items!$E:$E,Analisis_grupo!$C$4),""))</f>
        <v/>
      </c>
      <c r="N27" s="18" t="str">
        <f aca="false">IF($B27="","",IFERROR(SUMIFS(Datos_items!$Z:$Z,Datos_items!$B:$B,$B27,Datos_items!$O:$O,N$4,Datos_items!$E:$E,Analisis_grupo!$C$4)/COUNTIFS(Datos_items!$B:$B,$B27,Datos_items!$O:$O,N$4,Datos_items!$E:$E,Analisis_grupo!$C$4),""))</f>
        <v/>
      </c>
      <c r="O27" s="18" t="str">
        <f aca="false">IF($B27="","",IFERROR(SUMIFS(Datos_items!$Z:$Z,Datos_items!$B:$B,$B27,Datos_items!$O:$O,O$4,Datos_items!$E:$E,Analisis_grupo!$C$4)/COUNTIFS(Datos_items!$B:$B,$B27,Datos_items!$O:$O,O$4,Datos_items!$E:$E,Analisis_grupo!$C$4),""))</f>
        <v/>
      </c>
      <c r="P27" s="18" t="str">
        <f aca="false">IF($B27="","",IFERROR(SUMIFS(Datos_items!$Z:$Z,Datos_items!$B:$B,$B27,Datos_items!$O:$O,P$4,Datos_items!$E:$E,Analisis_grupo!$C$4)/COUNTIFS(Datos_items!$B:$B,$B27,Datos_items!$O:$O,P$4,Datos_items!$E:$E,Analisis_grupo!$C$4),""))</f>
        <v/>
      </c>
      <c r="Q27" s="18" t="str">
        <f aca="false">IF($B27="","",IFERROR(SUMIFS(Datos_items!$Z:$Z,Datos_items!$B:$B,$B27,Datos_items!$O:$O,Q$4,Datos_items!$E:$E,Analisis_grupo!$C$4)/COUNTIFS(Datos_items!$B:$B,$B27,Datos_items!$O:$O,Q$4,Datos_items!$E:$E,Analisis_grupo!$C$4),""))</f>
        <v/>
      </c>
      <c r="R27" s="2" t="str">
        <f aca="false">IF(COUNT(J27:Q27)=0,"",IF(MIN(J27:Q27)&gt;=Analisis_grupo!$B$7,"(ninguna)",INDEX($J$4:$Q$4,MATCH(MIN(J27:Q27),J27:Q27,0))))</f>
        <v/>
      </c>
      <c r="S27" s="2" t="str">
        <f aca="false">IF($B27="","",COUNTIF(J27:Q27,"&lt;"&amp;Analisis_grupo!$B$7))</f>
        <v/>
      </c>
      <c r="T27" s="2" t="str">
        <f aca="false">IF($B27="","",COUNTIFS(Datos_items!$B:$B,$B27,Datos_items!$AA:$AA,T$4,Datos_items!$E:$E,Analisis_grupo!$C$4))</f>
        <v/>
      </c>
      <c r="U27" s="2" t="str">
        <f aca="false">IF($B27="","",COUNTIFS(Datos_items!$B:$B,$B27,Datos_items!$AA:$AA,U$4,Datos_items!$E:$E,Analisis_grupo!$C$4))</f>
        <v/>
      </c>
      <c r="V27" s="2" t="str">
        <f aca="false">IF($B27="","",COUNTIFS(Datos_items!$B:$B,$B27,Datos_items!$AA:$AA,V$4,Datos_items!$E:$E,Analisis_grupo!$C$4))</f>
        <v/>
      </c>
      <c r="W27" s="2" t="str">
        <f aca="false">IF($B27="","",COUNTIFS(Datos_items!$B:$B,$B27,Datos_items!$AA:$AA,W$4,Datos_items!$E:$E,Analisis_grupo!$C$4))</f>
        <v/>
      </c>
      <c r="X27" s="2" t="str">
        <f aca="false">IF($B27="","",COUNTIFS(Datos_items!$B:$B,$B27,Datos_items!$AA:$AA,X$4,Datos_items!$E:$E,Analisis_grupo!$C$4))</f>
        <v/>
      </c>
      <c r="Y27" s="2" t="str">
        <f aca="false">IF($B27="","",COUNTIFS(Datos_items!$B:$B,$B27,Datos_items!$AA:$AA,Y$4,Datos_items!$E:$E,Analisis_grupo!$C$4))</f>
        <v/>
      </c>
      <c r="Z27" s="2" t="str">
        <f aca="false">IF($B27="","",COUNTIFS(Datos_items!$B:$B,$B27,Datos_items!$AA:$AA,Z$4,Datos_items!$E:$E,Analisis_grupo!$C$4))</f>
        <v/>
      </c>
      <c r="AA27" s="2" t="str">
        <f aca="false">IF($B27="","",COUNTIFS(Datos_items!$B:$B,$B27,Datos_items!$AA:$AA,AA$4,Datos_items!$E:$E,Analisis_grupo!$C$4))</f>
        <v/>
      </c>
      <c r="AB27" s="2" t="str">
        <f aca="false">IF($B27="","",COUNTIFS(Datos_items!$B:$B,$B27,Datos_items!$AA:$AA,AB$4,Datos_items!$E:$E,Analisis_grupo!$C$4))</f>
        <v/>
      </c>
      <c r="AC27" s="2" t="str">
        <f aca="false">IF($B27="","",COUNTIFS(Datos_items!$B:$B,$B27,Datos_items!$AA:$AA,AC$4,Datos_items!$E:$E,Analisis_grupo!$C$4))</f>
        <v/>
      </c>
      <c r="AD27" s="2" t="str">
        <f aca="false">IF($B27="","",COUNTIFS(Datos_items!$B:$B,$B27,Datos_items!$AA:$AA,AD$4,Datos_items!$E:$E,Analisis_grupo!$C$4))</f>
        <v/>
      </c>
      <c r="AE27" s="2" t="str">
        <f aca="false">IF($B27="","",COUNTIFS(Datos_items!$B:$B,$B27,Datos_items!$AA:$AA,AE$4,Datos_items!$E:$E,Analisis_grupo!$C$4))</f>
        <v/>
      </c>
      <c r="AF27" s="2" t="str">
        <f aca="false">IF($B27="","",COUNTIFS(Datos_items!$B:$B,$B27,Datos_items!$AA:$AA,AF$4,Datos_items!$E:$E,Analisis_grupo!$C$4))</f>
        <v/>
      </c>
      <c r="AG27" s="2" t="str">
        <f aca="false">IF($B27="","",COUNTIFS(Datos_items!$B:$B,$B27,Datos_items!$AA:$AA,AG$4,Datos_items!$E:$E,Analisis_grupo!$C$4))</f>
        <v/>
      </c>
      <c r="AH27" s="2" t="str">
        <f aca="false">IF($B27="","",COUNTIFS(Datos_items!$B:$B,$B27,Datos_items!$AA:$AA,AH$4,Datos_items!$E:$E,Analisis_grupo!$C$4))</f>
        <v/>
      </c>
      <c r="AI27" s="2" t="str">
        <f aca="false">IF($B27="","",COUNTIFS(Datos_items!$B:$B,$B27,Datos_items!$AA:$AA,AI$4,Datos_items!$E:$E,Analisis_grupo!$C$4))</f>
        <v/>
      </c>
      <c r="AJ27" s="2" t="str">
        <f aca="false">IF($B27="","",COUNTIFS(Datos_items!$B:$B,$B27,Datos_items!$AA:$AA,AJ$4,Datos_items!$E:$E,Analisis_grupo!$C$4))</f>
        <v/>
      </c>
      <c r="AK27" s="2" t="str">
        <f aca="false">IF($B27="","",COUNTIFS(Datos_items!$B:$B,$B27,Datos_items!$AA:$AA,AK$4,Datos_items!$E:$E,Analisis_grupo!$C$4))</f>
        <v/>
      </c>
      <c r="AL27" s="2" t="str">
        <f aca="false">IF($B27="","",COUNTIFS(Datos_items!$B:$B,$B27,Datos_items!$AA:$AA,AL$4,Datos_items!$E:$E,Analisis_grupo!$C$4))</f>
        <v/>
      </c>
      <c r="AM27" s="2" t="str">
        <f aca="false">IF($B27="","",IF(MAX(Y27:AL27)=0,"",INDEX($Y$4:$AL$4,MATCH(MAX(Y27:AL27),Y27:AL27,0))))</f>
        <v/>
      </c>
      <c r="AN27" s="2" t="str">
        <f aca="false">IF($B27="","",COUNTIFS(Datos_problemas!$B:$B,$B27,Datos_problemas!$F:$F,"Práctica"))</f>
        <v/>
      </c>
      <c r="AO27" s="2" t="str">
        <f aca="false">IF($B27="","",SUMIFS(Datos_problemas!$AQ:$AQ,Datos_problemas!$B:$B,$B27,Datos_problemas!$F:$F,"Práctica"))</f>
        <v/>
      </c>
      <c r="AP27" s="2" t="str">
        <f aca="false">IF($B27="","",COUNTIFS(Datos_problemas!$B:$B,$B27,Datos_problemas!$F:$F,"Práctica",Datos_problemas!$AS:$AS,"Sí"))</f>
        <v/>
      </c>
    </row>
    <row r="28" customFormat="false" ht="15" hidden="false" customHeight="false" outlineLevel="0" collapsed="false">
      <c r="A28" s="2" t="n">
        <v>24</v>
      </c>
      <c r="B28" s="2" t="str">
        <f aca="false">IFERROR(INDEX(Datos_problemas!$B:$B,MATCH($A28,Datos_problemas!$AV:$AV,0)),"")</f>
        <v/>
      </c>
      <c r="C28" s="2" t="str">
        <f aca="false">IF($B28="","",INDEX(Datos_problemas!$C:$C,MATCH($A28,Datos_problemas!$AV:$AV,0)))</f>
        <v/>
      </c>
      <c r="D28" s="2" t="str">
        <f aca="false">IF($B28="","",INDEX(Datos_problemas!$D:$D,MATCH($A28,Datos_problemas!$AV:$AV,0)))</f>
        <v/>
      </c>
      <c r="E28" s="2" t="str">
        <f aca="false">IF($B28="","",COUNTIFS(Datos_problemas!$B:$B,$B28,Datos_problemas!$F:$F,"Evaluación"))</f>
        <v/>
      </c>
      <c r="F28" s="20" t="str">
        <f aca="false">IF($B28="","",IFERROR(AVERAGEIFS(Datos_problemas!$AE:$AE,Datos_problemas!$B:$B,$B28,Datos_problemas!$F:$F,"Evaluación"),""))</f>
        <v/>
      </c>
      <c r="G28" s="20" t="str">
        <f aca="false">IF($B28="","",IFERROR(AVERAGEIFS(Datos_problemas!$AE:$AE,Datos_problemas!$B:$B,$B28,Datos_problemas!$F:$F,"Evaluación",Datos_problemas!$E:$E,"Diagnóstico"),""))</f>
        <v/>
      </c>
      <c r="H28" s="20" t="str">
        <f aca="false">IF($B28="","",IFERROR(AVERAGEIFS(Datos_problemas!$AE:$AE,Datos_problemas!$B:$B,$B28,Datos_problemas!$F:$F,"Evaluación",Datos_problemas!$E:$E,"Final"),""))</f>
        <v/>
      </c>
      <c r="I28" s="21" t="str">
        <f aca="false">IF(OR(G28="",H28=""),"",IF(G28&gt;=10,"",(H28-G28)/(10-G28)))</f>
        <v/>
      </c>
      <c r="J28" s="18" t="str">
        <f aca="false">IF($B28="","",IFERROR(SUMIFS(Datos_items!$Z:$Z,Datos_items!$B:$B,$B28,Datos_items!$O:$O,J$4,Datos_items!$E:$E,Analisis_grupo!$C$4)/COUNTIFS(Datos_items!$B:$B,$B28,Datos_items!$O:$O,J$4,Datos_items!$E:$E,Analisis_grupo!$C$4),""))</f>
        <v/>
      </c>
      <c r="K28" s="18" t="str">
        <f aca="false">IF($B28="","",IFERROR(SUMIFS(Datos_items!$Z:$Z,Datos_items!$B:$B,$B28,Datos_items!$O:$O,K$4,Datos_items!$E:$E,Analisis_grupo!$C$4)/COUNTIFS(Datos_items!$B:$B,$B28,Datos_items!$O:$O,K$4,Datos_items!$E:$E,Analisis_grupo!$C$4),""))</f>
        <v/>
      </c>
      <c r="L28" s="18" t="str">
        <f aca="false">IF($B28="","",IFERROR(SUMIFS(Datos_items!$Z:$Z,Datos_items!$B:$B,$B28,Datos_items!$O:$O,L$4,Datos_items!$E:$E,Analisis_grupo!$C$4)/COUNTIFS(Datos_items!$B:$B,$B28,Datos_items!$O:$O,L$4,Datos_items!$E:$E,Analisis_grupo!$C$4),""))</f>
        <v/>
      </c>
      <c r="M28" s="18" t="str">
        <f aca="false">IF($B28="","",IFERROR(SUMIFS(Datos_items!$Z:$Z,Datos_items!$B:$B,$B28,Datos_items!$O:$O,M$4,Datos_items!$E:$E,Analisis_grupo!$C$4)/COUNTIFS(Datos_items!$B:$B,$B28,Datos_items!$O:$O,M$4,Datos_items!$E:$E,Analisis_grupo!$C$4),""))</f>
        <v/>
      </c>
      <c r="N28" s="18" t="str">
        <f aca="false">IF($B28="","",IFERROR(SUMIFS(Datos_items!$Z:$Z,Datos_items!$B:$B,$B28,Datos_items!$O:$O,N$4,Datos_items!$E:$E,Analisis_grupo!$C$4)/COUNTIFS(Datos_items!$B:$B,$B28,Datos_items!$O:$O,N$4,Datos_items!$E:$E,Analisis_grupo!$C$4),""))</f>
        <v/>
      </c>
      <c r="O28" s="18" t="str">
        <f aca="false">IF($B28="","",IFERROR(SUMIFS(Datos_items!$Z:$Z,Datos_items!$B:$B,$B28,Datos_items!$O:$O,O$4,Datos_items!$E:$E,Analisis_grupo!$C$4)/COUNTIFS(Datos_items!$B:$B,$B28,Datos_items!$O:$O,O$4,Datos_items!$E:$E,Analisis_grupo!$C$4),""))</f>
        <v/>
      </c>
      <c r="P28" s="18" t="str">
        <f aca="false">IF($B28="","",IFERROR(SUMIFS(Datos_items!$Z:$Z,Datos_items!$B:$B,$B28,Datos_items!$O:$O,P$4,Datos_items!$E:$E,Analisis_grupo!$C$4)/COUNTIFS(Datos_items!$B:$B,$B28,Datos_items!$O:$O,P$4,Datos_items!$E:$E,Analisis_grupo!$C$4),""))</f>
        <v/>
      </c>
      <c r="Q28" s="18" t="str">
        <f aca="false">IF($B28="","",IFERROR(SUMIFS(Datos_items!$Z:$Z,Datos_items!$B:$B,$B28,Datos_items!$O:$O,Q$4,Datos_items!$E:$E,Analisis_grupo!$C$4)/COUNTIFS(Datos_items!$B:$B,$B28,Datos_items!$O:$O,Q$4,Datos_items!$E:$E,Analisis_grupo!$C$4),""))</f>
        <v/>
      </c>
      <c r="R28" s="2" t="str">
        <f aca="false">IF(COUNT(J28:Q28)=0,"",IF(MIN(J28:Q28)&gt;=Analisis_grupo!$B$7,"(ninguna)",INDEX($J$4:$Q$4,MATCH(MIN(J28:Q28),J28:Q28,0))))</f>
        <v/>
      </c>
      <c r="S28" s="2" t="str">
        <f aca="false">IF($B28="","",COUNTIF(J28:Q28,"&lt;"&amp;Analisis_grupo!$B$7))</f>
        <v/>
      </c>
      <c r="T28" s="2" t="str">
        <f aca="false">IF($B28="","",COUNTIFS(Datos_items!$B:$B,$B28,Datos_items!$AA:$AA,T$4,Datos_items!$E:$E,Analisis_grupo!$C$4))</f>
        <v/>
      </c>
      <c r="U28" s="2" t="str">
        <f aca="false">IF($B28="","",COUNTIFS(Datos_items!$B:$B,$B28,Datos_items!$AA:$AA,U$4,Datos_items!$E:$E,Analisis_grupo!$C$4))</f>
        <v/>
      </c>
      <c r="V28" s="2" t="str">
        <f aca="false">IF($B28="","",COUNTIFS(Datos_items!$B:$B,$B28,Datos_items!$AA:$AA,V$4,Datos_items!$E:$E,Analisis_grupo!$C$4))</f>
        <v/>
      </c>
      <c r="W28" s="2" t="str">
        <f aca="false">IF($B28="","",COUNTIFS(Datos_items!$B:$B,$B28,Datos_items!$AA:$AA,W$4,Datos_items!$E:$E,Analisis_grupo!$C$4))</f>
        <v/>
      </c>
      <c r="X28" s="2" t="str">
        <f aca="false">IF($B28="","",COUNTIFS(Datos_items!$B:$B,$B28,Datos_items!$AA:$AA,X$4,Datos_items!$E:$E,Analisis_grupo!$C$4))</f>
        <v/>
      </c>
      <c r="Y28" s="2" t="str">
        <f aca="false">IF($B28="","",COUNTIFS(Datos_items!$B:$B,$B28,Datos_items!$AA:$AA,Y$4,Datos_items!$E:$E,Analisis_grupo!$C$4))</f>
        <v/>
      </c>
      <c r="Z28" s="2" t="str">
        <f aca="false">IF($B28="","",COUNTIFS(Datos_items!$B:$B,$B28,Datos_items!$AA:$AA,Z$4,Datos_items!$E:$E,Analisis_grupo!$C$4))</f>
        <v/>
      </c>
      <c r="AA28" s="2" t="str">
        <f aca="false">IF($B28="","",COUNTIFS(Datos_items!$B:$B,$B28,Datos_items!$AA:$AA,AA$4,Datos_items!$E:$E,Analisis_grupo!$C$4))</f>
        <v/>
      </c>
      <c r="AB28" s="2" t="str">
        <f aca="false">IF($B28="","",COUNTIFS(Datos_items!$B:$B,$B28,Datos_items!$AA:$AA,AB$4,Datos_items!$E:$E,Analisis_grupo!$C$4))</f>
        <v/>
      </c>
      <c r="AC28" s="2" t="str">
        <f aca="false">IF($B28="","",COUNTIFS(Datos_items!$B:$B,$B28,Datos_items!$AA:$AA,AC$4,Datos_items!$E:$E,Analisis_grupo!$C$4))</f>
        <v/>
      </c>
      <c r="AD28" s="2" t="str">
        <f aca="false">IF($B28="","",COUNTIFS(Datos_items!$B:$B,$B28,Datos_items!$AA:$AA,AD$4,Datos_items!$E:$E,Analisis_grupo!$C$4))</f>
        <v/>
      </c>
      <c r="AE28" s="2" t="str">
        <f aca="false">IF($B28="","",COUNTIFS(Datos_items!$B:$B,$B28,Datos_items!$AA:$AA,AE$4,Datos_items!$E:$E,Analisis_grupo!$C$4))</f>
        <v/>
      </c>
      <c r="AF28" s="2" t="str">
        <f aca="false">IF($B28="","",COUNTIFS(Datos_items!$B:$B,$B28,Datos_items!$AA:$AA,AF$4,Datos_items!$E:$E,Analisis_grupo!$C$4))</f>
        <v/>
      </c>
      <c r="AG28" s="2" t="str">
        <f aca="false">IF($B28="","",COUNTIFS(Datos_items!$B:$B,$B28,Datos_items!$AA:$AA,AG$4,Datos_items!$E:$E,Analisis_grupo!$C$4))</f>
        <v/>
      </c>
      <c r="AH28" s="2" t="str">
        <f aca="false">IF($B28="","",COUNTIFS(Datos_items!$B:$B,$B28,Datos_items!$AA:$AA,AH$4,Datos_items!$E:$E,Analisis_grupo!$C$4))</f>
        <v/>
      </c>
      <c r="AI28" s="2" t="str">
        <f aca="false">IF($B28="","",COUNTIFS(Datos_items!$B:$B,$B28,Datos_items!$AA:$AA,AI$4,Datos_items!$E:$E,Analisis_grupo!$C$4))</f>
        <v/>
      </c>
      <c r="AJ28" s="2" t="str">
        <f aca="false">IF($B28="","",COUNTIFS(Datos_items!$B:$B,$B28,Datos_items!$AA:$AA,AJ$4,Datos_items!$E:$E,Analisis_grupo!$C$4))</f>
        <v/>
      </c>
      <c r="AK28" s="2" t="str">
        <f aca="false">IF($B28="","",COUNTIFS(Datos_items!$B:$B,$B28,Datos_items!$AA:$AA,AK$4,Datos_items!$E:$E,Analisis_grupo!$C$4))</f>
        <v/>
      </c>
      <c r="AL28" s="2" t="str">
        <f aca="false">IF($B28="","",COUNTIFS(Datos_items!$B:$B,$B28,Datos_items!$AA:$AA,AL$4,Datos_items!$E:$E,Analisis_grupo!$C$4))</f>
        <v/>
      </c>
      <c r="AM28" s="2" t="str">
        <f aca="false">IF($B28="","",IF(MAX(Y28:AL28)=0,"",INDEX($Y$4:$AL$4,MATCH(MAX(Y28:AL28),Y28:AL28,0))))</f>
        <v/>
      </c>
      <c r="AN28" s="2" t="str">
        <f aca="false">IF($B28="","",COUNTIFS(Datos_problemas!$B:$B,$B28,Datos_problemas!$F:$F,"Práctica"))</f>
        <v/>
      </c>
      <c r="AO28" s="2" t="str">
        <f aca="false">IF($B28="","",SUMIFS(Datos_problemas!$AQ:$AQ,Datos_problemas!$B:$B,$B28,Datos_problemas!$F:$F,"Práctica"))</f>
        <v/>
      </c>
      <c r="AP28" s="2" t="str">
        <f aca="false">IF($B28="","",COUNTIFS(Datos_problemas!$B:$B,$B28,Datos_problemas!$F:$F,"Práctica",Datos_problemas!$AS:$AS,"Sí"))</f>
        <v/>
      </c>
    </row>
    <row r="29" customFormat="false" ht="15" hidden="false" customHeight="false" outlineLevel="0" collapsed="false">
      <c r="A29" s="2" t="n">
        <v>25</v>
      </c>
      <c r="B29" s="2" t="str">
        <f aca="false">IFERROR(INDEX(Datos_problemas!$B:$B,MATCH($A29,Datos_problemas!$AV:$AV,0)),"")</f>
        <v/>
      </c>
      <c r="C29" s="2" t="str">
        <f aca="false">IF($B29="","",INDEX(Datos_problemas!$C:$C,MATCH($A29,Datos_problemas!$AV:$AV,0)))</f>
        <v/>
      </c>
      <c r="D29" s="2" t="str">
        <f aca="false">IF($B29="","",INDEX(Datos_problemas!$D:$D,MATCH($A29,Datos_problemas!$AV:$AV,0)))</f>
        <v/>
      </c>
      <c r="E29" s="2" t="str">
        <f aca="false">IF($B29="","",COUNTIFS(Datos_problemas!$B:$B,$B29,Datos_problemas!$F:$F,"Evaluación"))</f>
        <v/>
      </c>
      <c r="F29" s="20" t="str">
        <f aca="false">IF($B29="","",IFERROR(AVERAGEIFS(Datos_problemas!$AE:$AE,Datos_problemas!$B:$B,$B29,Datos_problemas!$F:$F,"Evaluación"),""))</f>
        <v/>
      </c>
      <c r="G29" s="20" t="str">
        <f aca="false">IF($B29="","",IFERROR(AVERAGEIFS(Datos_problemas!$AE:$AE,Datos_problemas!$B:$B,$B29,Datos_problemas!$F:$F,"Evaluación",Datos_problemas!$E:$E,"Diagnóstico"),""))</f>
        <v/>
      </c>
      <c r="H29" s="20" t="str">
        <f aca="false">IF($B29="","",IFERROR(AVERAGEIFS(Datos_problemas!$AE:$AE,Datos_problemas!$B:$B,$B29,Datos_problemas!$F:$F,"Evaluación",Datos_problemas!$E:$E,"Final"),""))</f>
        <v/>
      </c>
      <c r="I29" s="21" t="str">
        <f aca="false">IF(OR(G29="",H29=""),"",IF(G29&gt;=10,"",(H29-G29)/(10-G29)))</f>
        <v/>
      </c>
      <c r="J29" s="18" t="str">
        <f aca="false">IF($B29="","",IFERROR(SUMIFS(Datos_items!$Z:$Z,Datos_items!$B:$B,$B29,Datos_items!$O:$O,J$4,Datos_items!$E:$E,Analisis_grupo!$C$4)/COUNTIFS(Datos_items!$B:$B,$B29,Datos_items!$O:$O,J$4,Datos_items!$E:$E,Analisis_grupo!$C$4),""))</f>
        <v/>
      </c>
      <c r="K29" s="18" t="str">
        <f aca="false">IF($B29="","",IFERROR(SUMIFS(Datos_items!$Z:$Z,Datos_items!$B:$B,$B29,Datos_items!$O:$O,K$4,Datos_items!$E:$E,Analisis_grupo!$C$4)/COUNTIFS(Datos_items!$B:$B,$B29,Datos_items!$O:$O,K$4,Datos_items!$E:$E,Analisis_grupo!$C$4),""))</f>
        <v/>
      </c>
      <c r="L29" s="18" t="str">
        <f aca="false">IF($B29="","",IFERROR(SUMIFS(Datos_items!$Z:$Z,Datos_items!$B:$B,$B29,Datos_items!$O:$O,L$4,Datos_items!$E:$E,Analisis_grupo!$C$4)/COUNTIFS(Datos_items!$B:$B,$B29,Datos_items!$O:$O,L$4,Datos_items!$E:$E,Analisis_grupo!$C$4),""))</f>
        <v/>
      </c>
      <c r="M29" s="18" t="str">
        <f aca="false">IF($B29="","",IFERROR(SUMIFS(Datos_items!$Z:$Z,Datos_items!$B:$B,$B29,Datos_items!$O:$O,M$4,Datos_items!$E:$E,Analisis_grupo!$C$4)/COUNTIFS(Datos_items!$B:$B,$B29,Datos_items!$O:$O,M$4,Datos_items!$E:$E,Analisis_grupo!$C$4),""))</f>
        <v/>
      </c>
      <c r="N29" s="18" t="str">
        <f aca="false">IF($B29="","",IFERROR(SUMIFS(Datos_items!$Z:$Z,Datos_items!$B:$B,$B29,Datos_items!$O:$O,N$4,Datos_items!$E:$E,Analisis_grupo!$C$4)/COUNTIFS(Datos_items!$B:$B,$B29,Datos_items!$O:$O,N$4,Datos_items!$E:$E,Analisis_grupo!$C$4),""))</f>
        <v/>
      </c>
      <c r="O29" s="18" t="str">
        <f aca="false">IF($B29="","",IFERROR(SUMIFS(Datos_items!$Z:$Z,Datos_items!$B:$B,$B29,Datos_items!$O:$O,O$4,Datos_items!$E:$E,Analisis_grupo!$C$4)/COUNTIFS(Datos_items!$B:$B,$B29,Datos_items!$O:$O,O$4,Datos_items!$E:$E,Analisis_grupo!$C$4),""))</f>
        <v/>
      </c>
      <c r="P29" s="18" t="str">
        <f aca="false">IF($B29="","",IFERROR(SUMIFS(Datos_items!$Z:$Z,Datos_items!$B:$B,$B29,Datos_items!$O:$O,P$4,Datos_items!$E:$E,Analisis_grupo!$C$4)/COUNTIFS(Datos_items!$B:$B,$B29,Datos_items!$O:$O,P$4,Datos_items!$E:$E,Analisis_grupo!$C$4),""))</f>
        <v/>
      </c>
      <c r="Q29" s="18" t="str">
        <f aca="false">IF($B29="","",IFERROR(SUMIFS(Datos_items!$Z:$Z,Datos_items!$B:$B,$B29,Datos_items!$O:$O,Q$4,Datos_items!$E:$E,Analisis_grupo!$C$4)/COUNTIFS(Datos_items!$B:$B,$B29,Datos_items!$O:$O,Q$4,Datos_items!$E:$E,Analisis_grupo!$C$4),""))</f>
        <v/>
      </c>
      <c r="R29" s="2" t="str">
        <f aca="false">IF(COUNT(J29:Q29)=0,"",IF(MIN(J29:Q29)&gt;=Analisis_grupo!$B$7,"(ninguna)",INDEX($J$4:$Q$4,MATCH(MIN(J29:Q29),J29:Q29,0))))</f>
        <v/>
      </c>
      <c r="S29" s="2" t="str">
        <f aca="false">IF($B29="","",COUNTIF(J29:Q29,"&lt;"&amp;Analisis_grupo!$B$7))</f>
        <v/>
      </c>
      <c r="T29" s="2" t="str">
        <f aca="false">IF($B29="","",COUNTIFS(Datos_items!$B:$B,$B29,Datos_items!$AA:$AA,T$4,Datos_items!$E:$E,Analisis_grupo!$C$4))</f>
        <v/>
      </c>
      <c r="U29" s="2" t="str">
        <f aca="false">IF($B29="","",COUNTIFS(Datos_items!$B:$B,$B29,Datos_items!$AA:$AA,U$4,Datos_items!$E:$E,Analisis_grupo!$C$4))</f>
        <v/>
      </c>
      <c r="V29" s="2" t="str">
        <f aca="false">IF($B29="","",COUNTIFS(Datos_items!$B:$B,$B29,Datos_items!$AA:$AA,V$4,Datos_items!$E:$E,Analisis_grupo!$C$4))</f>
        <v/>
      </c>
      <c r="W29" s="2" t="str">
        <f aca="false">IF($B29="","",COUNTIFS(Datos_items!$B:$B,$B29,Datos_items!$AA:$AA,W$4,Datos_items!$E:$E,Analisis_grupo!$C$4))</f>
        <v/>
      </c>
      <c r="X29" s="2" t="str">
        <f aca="false">IF($B29="","",COUNTIFS(Datos_items!$B:$B,$B29,Datos_items!$AA:$AA,X$4,Datos_items!$E:$E,Analisis_grupo!$C$4))</f>
        <v/>
      </c>
      <c r="Y29" s="2" t="str">
        <f aca="false">IF($B29="","",COUNTIFS(Datos_items!$B:$B,$B29,Datos_items!$AA:$AA,Y$4,Datos_items!$E:$E,Analisis_grupo!$C$4))</f>
        <v/>
      </c>
      <c r="Z29" s="2" t="str">
        <f aca="false">IF($B29="","",COUNTIFS(Datos_items!$B:$B,$B29,Datos_items!$AA:$AA,Z$4,Datos_items!$E:$E,Analisis_grupo!$C$4))</f>
        <v/>
      </c>
      <c r="AA29" s="2" t="str">
        <f aca="false">IF($B29="","",COUNTIFS(Datos_items!$B:$B,$B29,Datos_items!$AA:$AA,AA$4,Datos_items!$E:$E,Analisis_grupo!$C$4))</f>
        <v/>
      </c>
      <c r="AB29" s="2" t="str">
        <f aca="false">IF($B29="","",COUNTIFS(Datos_items!$B:$B,$B29,Datos_items!$AA:$AA,AB$4,Datos_items!$E:$E,Analisis_grupo!$C$4))</f>
        <v/>
      </c>
      <c r="AC29" s="2" t="str">
        <f aca="false">IF($B29="","",COUNTIFS(Datos_items!$B:$B,$B29,Datos_items!$AA:$AA,AC$4,Datos_items!$E:$E,Analisis_grupo!$C$4))</f>
        <v/>
      </c>
      <c r="AD29" s="2" t="str">
        <f aca="false">IF($B29="","",COUNTIFS(Datos_items!$B:$B,$B29,Datos_items!$AA:$AA,AD$4,Datos_items!$E:$E,Analisis_grupo!$C$4))</f>
        <v/>
      </c>
      <c r="AE29" s="2" t="str">
        <f aca="false">IF($B29="","",COUNTIFS(Datos_items!$B:$B,$B29,Datos_items!$AA:$AA,AE$4,Datos_items!$E:$E,Analisis_grupo!$C$4))</f>
        <v/>
      </c>
      <c r="AF29" s="2" t="str">
        <f aca="false">IF($B29="","",COUNTIFS(Datos_items!$B:$B,$B29,Datos_items!$AA:$AA,AF$4,Datos_items!$E:$E,Analisis_grupo!$C$4))</f>
        <v/>
      </c>
      <c r="AG29" s="2" t="str">
        <f aca="false">IF($B29="","",COUNTIFS(Datos_items!$B:$B,$B29,Datos_items!$AA:$AA,AG$4,Datos_items!$E:$E,Analisis_grupo!$C$4))</f>
        <v/>
      </c>
      <c r="AH29" s="2" t="str">
        <f aca="false">IF($B29="","",COUNTIFS(Datos_items!$B:$B,$B29,Datos_items!$AA:$AA,AH$4,Datos_items!$E:$E,Analisis_grupo!$C$4))</f>
        <v/>
      </c>
      <c r="AI29" s="2" t="str">
        <f aca="false">IF($B29="","",COUNTIFS(Datos_items!$B:$B,$B29,Datos_items!$AA:$AA,AI$4,Datos_items!$E:$E,Analisis_grupo!$C$4))</f>
        <v/>
      </c>
      <c r="AJ29" s="2" t="str">
        <f aca="false">IF($B29="","",COUNTIFS(Datos_items!$B:$B,$B29,Datos_items!$AA:$AA,AJ$4,Datos_items!$E:$E,Analisis_grupo!$C$4))</f>
        <v/>
      </c>
      <c r="AK29" s="2" t="str">
        <f aca="false">IF($B29="","",COUNTIFS(Datos_items!$B:$B,$B29,Datos_items!$AA:$AA,AK$4,Datos_items!$E:$E,Analisis_grupo!$C$4))</f>
        <v/>
      </c>
      <c r="AL29" s="2" t="str">
        <f aca="false">IF($B29="","",COUNTIFS(Datos_items!$B:$B,$B29,Datos_items!$AA:$AA,AL$4,Datos_items!$E:$E,Analisis_grupo!$C$4))</f>
        <v/>
      </c>
      <c r="AM29" s="2" t="str">
        <f aca="false">IF($B29="","",IF(MAX(Y29:AL29)=0,"",INDEX($Y$4:$AL$4,MATCH(MAX(Y29:AL29),Y29:AL29,0))))</f>
        <v/>
      </c>
      <c r="AN29" s="2" t="str">
        <f aca="false">IF($B29="","",COUNTIFS(Datos_problemas!$B:$B,$B29,Datos_problemas!$F:$F,"Práctica"))</f>
        <v/>
      </c>
      <c r="AO29" s="2" t="str">
        <f aca="false">IF($B29="","",SUMIFS(Datos_problemas!$AQ:$AQ,Datos_problemas!$B:$B,$B29,Datos_problemas!$F:$F,"Práctica"))</f>
        <v/>
      </c>
      <c r="AP29" s="2" t="str">
        <f aca="false">IF($B29="","",COUNTIFS(Datos_problemas!$B:$B,$B29,Datos_problemas!$F:$F,"Práctica",Datos_problemas!$AS:$AS,"Sí"))</f>
        <v/>
      </c>
    </row>
    <row r="30" customFormat="false" ht="15" hidden="false" customHeight="false" outlineLevel="0" collapsed="false">
      <c r="A30" s="2" t="n">
        <v>26</v>
      </c>
      <c r="B30" s="2" t="str">
        <f aca="false">IFERROR(INDEX(Datos_problemas!$B:$B,MATCH($A30,Datos_problemas!$AV:$AV,0)),"")</f>
        <v/>
      </c>
      <c r="C30" s="2" t="str">
        <f aca="false">IF($B30="","",INDEX(Datos_problemas!$C:$C,MATCH($A30,Datos_problemas!$AV:$AV,0)))</f>
        <v/>
      </c>
      <c r="D30" s="2" t="str">
        <f aca="false">IF($B30="","",INDEX(Datos_problemas!$D:$D,MATCH($A30,Datos_problemas!$AV:$AV,0)))</f>
        <v/>
      </c>
      <c r="E30" s="2" t="str">
        <f aca="false">IF($B30="","",COUNTIFS(Datos_problemas!$B:$B,$B30,Datos_problemas!$F:$F,"Evaluación"))</f>
        <v/>
      </c>
      <c r="F30" s="20" t="str">
        <f aca="false">IF($B30="","",IFERROR(AVERAGEIFS(Datos_problemas!$AE:$AE,Datos_problemas!$B:$B,$B30,Datos_problemas!$F:$F,"Evaluación"),""))</f>
        <v/>
      </c>
      <c r="G30" s="20" t="str">
        <f aca="false">IF($B30="","",IFERROR(AVERAGEIFS(Datos_problemas!$AE:$AE,Datos_problemas!$B:$B,$B30,Datos_problemas!$F:$F,"Evaluación",Datos_problemas!$E:$E,"Diagnóstico"),""))</f>
        <v/>
      </c>
      <c r="H30" s="20" t="str">
        <f aca="false">IF($B30="","",IFERROR(AVERAGEIFS(Datos_problemas!$AE:$AE,Datos_problemas!$B:$B,$B30,Datos_problemas!$F:$F,"Evaluación",Datos_problemas!$E:$E,"Final"),""))</f>
        <v/>
      </c>
      <c r="I30" s="21" t="str">
        <f aca="false">IF(OR(G30="",H30=""),"",IF(G30&gt;=10,"",(H30-G30)/(10-G30)))</f>
        <v/>
      </c>
      <c r="J30" s="18" t="str">
        <f aca="false">IF($B30="","",IFERROR(SUMIFS(Datos_items!$Z:$Z,Datos_items!$B:$B,$B30,Datos_items!$O:$O,J$4,Datos_items!$E:$E,Analisis_grupo!$C$4)/COUNTIFS(Datos_items!$B:$B,$B30,Datos_items!$O:$O,J$4,Datos_items!$E:$E,Analisis_grupo!$C$4),""))</f>
        <v/>
      </c>
      <c r="K30" s="18" t="str">
        <f aca="false">IF($B30="","",IFERROR(SUMIFS(Datos_items!$Z:$Z,Datos_items!$B:$B,$B30,Datos_items!$O:$O,K$4,Datos_items!$E:$E,Analisis_grupo!$C$4)/COUNTIFS(Datos_items!$B:$B,$B30,Datos_items!$O:$O,K$4,Datos_items!$E:$E,Analisis_grupo!$C$4),""))</f>
        <v/>
      </c>
      <c r="L30" s="18" t="str">
        <f aca="false">IF($B30="","",IFERROR(SUMIFS(Datos_items!$Z:$Z,Datos_items!$B:$B,$B30,Datos_items!$O:$O,L$4,Datos_items!$E:$E,Analisis_grupo!$C$4)/COUNTIFS(Datos_items!$B:$B,$B30,Datos_items!$O:$O,L$4,Datos_items!$E:$E,Analisis_grupo!$C$4),""))</f>
        <v/>
      </c>
      <c r="M30" s="18" t="str">
        <f aca="false">IF($B30="","",IFERROR(SUMIFS(Datos_items!$Z:$Z,Datos_items!$B:$B,$B30,Datos_items!$O:$O,M$4,Datos_items!$E:$E,Analisis_grupo!$C$4)/COUNTIFS(Datos_items!$B:$B,$B30,Datos_items!$O:$O,M$4,Datos_items!$E:$E,Analisis_grupo!$C$4),""))</f>
        <v/>
      </c>
      <c r="N30" s="18" t="str">
        <f aca="false">IF($B30="","",IFERROR(SUMIFS(Datos_items!$Z:$Z,Datos_items!$B:$B,$B30,Datos_items!$O:$O,N$4,Datos_items!$E:$E,Analisis_grupo!$C$4)/COUNTIFS(Datos_items!$B:$B,$B30,Datos_items!$O:$O,N$4,Datos_items!$E:$E,Analisis_grupo!$C$4),""))</f>
        <v/>
      </c>
      <c r="O30" s="18" t="str">
        <f aca="false">IF($B30="","",IFERROR(SUMIFS(Datos_items!$Z:$Z,Datos_items!$B:$B,$B30,Datos_items!$O:$O,O$4,Datos_items!$E:$E,Analisis_grupo!$C$4)/COUNTIFS(Datos_items!$B:$B,$B30,Datos_items!$O:$O,O$4,Datos_items!$E:$E,Analisis_grupo!$C$4),""))</f>
        <v/>
      </c>
      <c r="P30" s="18" t="str">
        <f aca="false">IF($B30="","",IFERROR(SUMIFS(Datos_items!$Z:$Z,Datos_items!$B:$B,$B30,Datos_items!$O:$O,P$4,Datos_items!$E:$E,Analisis_grupo!$C$4)/COUNTIFS(Datos_items!$B:$B,$B30,Datos_items!$O:$O,P$4,Datos_items!$E:$E,Analisis_grupo!$C$4),""))</f>
        <v/>
      </c>
      <c r="Q30" s="18" t="str">
        <f aca="false">IF($B30="","",IFERROR(SUMIFS(Datos_items!$Z:$Z,Datos_items!$B:$B,$B30,Datos_items!$O:$O,Q$4,Datos_items!$E:$E,Analisis_grupo!$C$4)/COUNTIFS(Datos_items!$B:$B,$B30,Datos_items!$O:$O,Q$4,Datos_items!$E:$E,Analisis_grupo!$C$4),""))</f>
        <v/>
      </c>
      <c r="R30" s="2" t="str">
        <f aca="false">IF(COUNT(J30:Q30)=0,"",IF(MIN(J30:Q30)&gt;=Analisis_grupo!$B$7,"(ninguna)",INDEX($J$4:$Q$4,MATCH(MIN(J30:Q30),J30:Q30,0))))</f>
        <v/>
      </c>
      <c r="S30" s="2" t="str">
        <f aca="false">IF($B30="","",COUNTIF(J30:Q30,"&lt;"&amp;Analisis_grupo!$B$7))</f>
        <v/>
      </c>
      <c r="T30" s="2" t="str">
        <f aca="false">IF($B30="","",COUNTIFS(Datos_items!$B:$B,$B30,Datos_items!$AA:$AA,T$4,Datos_items!$E:$E,Analisis_grupo!$C$4))</f>
        <v/>
      </c>
      <c r="U30" s="2" t="str">
        <f aca="false">IF($B30="","",COUNTIFS(Datos_items!$B:$B,$B30,Datos_items!$AA:$AA,U$4,Datos_items!$E:$E,Analisis_grupo!$C$4))</f>
        <v/>
      </c>
      <c r="V30" s="2" t="str">
        <f aca="false">IF($B30="","",COUNTIFS(Datos_items!$B:$B,$B30,Datos_items!$AA:$AA,V$4,Datos_items!$E:$E,Analisis_grupo!$C$4))</f>
        <v/>
      </c>
      <c r="W30" s="2" t="str">
        <f aca="false">IF($B30="","",COUNTIFS(Datos_items!$B:$B,$B30,Datos_items!$AA:$AA,W$4,Datos_items!$E:$E,Analisis_grupo!$C$4))</f>
        <v/>
      </c>
      <c r="X30" s="2" t="str">
        <f aca="false">IF($B30="","",COUNTIFS(Datos_items!$B:$B,$B30,Datos_items!$AA:$AA,X$4,Datos_items!$E:$E,Analisis_grupo!$C$4))</f>
        <v/>
      </c>
      <c r="Y30" s="2" t="str">
        <f aca="false">IF($B30="","",COUNTIFS(Datos_items!$B:$B,$B30,Datos_items!$AA:$AA,Y$4,Datos_items!$E:$E,Analisis_grupo!$C$4))</f>
        <v/>
      </c>
      <c r="Z30" s="2" t="str">
        <f aca="false">IF($B30="","",COUNTIFS(Datos_items!$B:$B,$B30,Datos_items!$AA:$AA,Z$4,Datos_items!$E:$E,Analisis_grupo!$C$4))</f>
        <v/>
      </c>
      <c r="AA30" s="2" t="str">
        <f aca="false">IF($B30="","",COUNTIFS(Datos_items!$B:$B,$B30,Datos_items!$AA:$AA,AA$4,Datos_items!$E:$E,Analisis_grupo!$C$4))</f>
        <v/>
      </c>
      <c r="AB30" s="2" t="str">
        <f aca="false">IF($B30="","",COUNTIFS(Datos_items!$B:$B,$B30,Datos_items!$AA:$AA,AB$4,Datos_items!$E:$E,Analisis_grupo!$C$4))</f>
        <v/>
      </c>
      <c r="AC30" s="2" t="str">
        <f aca="false">IF($B30="","",COUNTIFS(Datos_items!$B:$B,$B30,Datos_items!$AA:$AA,AC$4,Datos_items!$E:$E,Analisis_grupo!$C$4))</f>
        <v/>
      </c>
      <c r="AD30" s="2" t="str">
        <f aca="false">IF($B30="","",COUNTIFS(Datos_items!$B:$B,$B30,Datos_items!$AA:$AA,AD$4,Datos_items!$E:$E,Analisis_grupo!$C$4))</f>
        <v/>
      </c>
      <c r="AE30" s="2" t="str">
        <f aca="false">IF($B30="","",COUNTIFS(Datos_items!$B:$B,$B30,Datos_items!$AA:$AA,AE$4,Datos_items!$E:$E,Analisis_grupo!$C$4))</f>
        <v/>
      </c>
      <c r="AF30" s="2" t="str">
        <f aca="false">IF($B30="","",COUNTIFS(Datos_items!$B:$B,$B30,Datos_items!$AA:$AA,AF$4,Datos_items!$E:$E,Analisis_grupo!$C$4))</f>
        <v/>
      </c>
      <c r="AG30" s="2" t="str">
        <f aca="false">IF($B30="","",COUNTIFS(Datos_items!$B:$B,$B30,Datos_items!$AA:$AA,AG$4,Datos_items!$E:$E,Analisis_grupo!$C$4))</f>
        <v/>
      </c>
      <c r="AH30" s="2" t="str">
        <f aca="false">IF($B30="","",COUNTIFS(Datos_items!$B:$B,$B30,Datos_items!$AA:$AA,AH$4,Datos_items!$E:$E,Analisis_grupo!$C$4))</f>
        <v/>
      </c>
      <c r="AI30" s="2" t="str">
        <f aca="false">IF($B30="","",COUNTIFS(Datos_items!$B:$B,$B30,Datos_items!$AA:$AA,AI$4,Datos_items!$E:$E,Analisis_grupo!$C$4))</f>
        <v/>
      </c>
      <c r="AJ30" s="2" t="str">
        <f aca="false">IF($B30="","",COUNTIFS(Datos_items!$B:$B,$B30,Datos_items!$AA:$AA,AJ$4,Datos_items!$E:$E,Analisis_grupo!$C$4))</f>
        <v/>
      </c>
      <c r="AK30" s="2" t="str">
        <f aca="false">IF($B30="","",COUNTIFS(Datos_items!$B:$B,$B30,Datos_items!$AA:$AA,AK$4,Datos_items!$E:$E,Analisis_grupo!$C$4))</f>
        <v/>
      </c>
      <c r="AL30" s="2" t="str">
        <f aca="false">IF($B30="","",COUNTIFS(Datos_items!$B:$B,$B30,Datos_items!$AA:$AA,AL$4,Datos_items!$E:$E,Analisis_grupo!$C$4))</f>
        <v/>
      </c>
      <c r="AM30" s="2" t="str">
        <f aca="false">IF($B30="","",IF(MAX(Y30:AL30)=0,"",INDEX($Y$4:$AL$4,MATCH(MAX(Y30:AL30),Y30:AL30,0))))</f>
        <v/>
      </c>
      <c r="AN30" s="2" t="str">
        <f aca="false">IF($B30="","",COUNTIFS(Datos_problemas!$B:$B,$B30,Datos_problemas!$F:$F,"Práctica"))</f>
        <v/>
      </c>
      <c r="AO30" s="2" t="str">
        <f aca="false">IF($B30="","",SUMIFS(Datos_problemas!$AQ:$AQ,Datos_problemas!$B:$B,$B30,Datos_problemas!$F:$F,"Práctica"))</f>
        <v/>
      </c>
      <c r="AP30" s="2" t="str">
        <f aca="false">IF($B30="","",COUNTIFS(Datos_problemas!$B:$B,$B30,Datos_problemas!$F:$F,"Práctica",Datos_problemas!$AS:$AS,"Sí"))</f>
        <v/>
      </c>
    </row>
    <row r="31" customFormat="false" ht="15" hidden="false" customHeight="false" outlineLevel="0" collapsed="false">
      <c r="A31" s="2" t="n">
        <v>27</v>
      </c>
      <c r="B31" s="2" t="str">
        <f aca="false">IFERROR(INDEX(Datos_problemas!$B:$B,MATCH($A31,Datos_problemas!$AV:$AV,0)),"")</f>
        <v/>
      </c>
      <c r="C31" s="2" t="str">
        <f aca="false">IF($B31="","",INDEX(Datos_problemas!$C:$C,MATCH($A31,Datos_problemas!$AV:$AV,0)))</f>
        <v/>
      </c>
      <c r="D31" s="2" t="str">
        <f aca="false">IF($B31="","",INDEX(Datos_problemas!$D:$D,MATCH($A31,Datos_problemas!$AV:$AV,0)))</f>
        <v/>
      </c>
      <c r="E31" s="2" t="str">
        <f aca="false">IF($B31="","",COUNTIFS(Datos_problemas!$B:$B,$B31,Datos_problemas!$F:$F,"Evaluación"))</f>
        <v/>
      </c>
      <c r="F31" s="20" t="str">
        <f aca="false">IF($B31="","",IFERROR(AVERAGEIFS(Datos_problemas!$AE:$AE,Datos_problemas!$B:$B,$B31,Datos_problemas!$F:$F,"Evaluación"),""))</f>
        <v/>
      </c>
      <c r="G31" s="20" t="str">
        <f aca="false">IF($B31="","",IFERROR(AVERAGEIFS(Datos_problemas!$AE:$AE,Datos_problemas!$B:$B,$B31,Datos_problemas!$F:$F,"Evaluación",Datos_problemas!$E:$E,"Diagnóstico"),""))</f>
        <v/>
      </c>
      <c r="H31" s="20" t="str">
        <f aca="false">IF($B31="","",IFERROR(AVERAGEIFS(Datos_problemas!$AE:$AE,Datos_problemas!$B:$B,$B31,Datos_problemas!$F:$F,"Evaluación",Datos_problemas!$E:$E,"Final"),""))</f>
        <v/>
      </c>
      <c r="I31" s="21" t="str">
        <f aca="false">IF(OR(G31="",H31=""),"",IF(G31&gt;=10,"",(H31-G31)/(10-G31)))</f>
        <v/>
      </c>
      <c r="J31" s="18" t="str">
        <f aca="false">IF($B31="","",IFERROR(SUMIFS(Datos_items!$Z:$Z,Datos_items!$B:$B,$B31,Datos_items!$O:$O,J$4,Datos_items!$E:$E,Analisis_grupo!$C$4)/COUNTIFS(Datos_items!$B:$B,$B31,Datos_items!$O:$O,J$4,Datos_items!$E:$E,Analisis_grupo!$C$4),""))</f>
        <v/>
      </c>
      <c r="K31" s="18" t="str">
        <f aca="false">IF($B31="","",IFERROR(SUMIFS(Datos_items!$Z:$Z,Datos_items!$B:$B,$B31,Datos_items!$O:$O,K$4,Datos_items!$E:$E,Analisis_grupo!$C$4)/COUNTIFS(Datos_items!$B:$B,$B31,Datos_items!$O:$O,K$4,Datos_items!$E:$E,Analisis_grupo!$C$4),""))</f>
        <v/>
      </c>
      <c r="L31" s="18" t="str">
        <f aca="false">IF($B31="","",IFERROR(SUMIFS(Datos_items!$Z:$Z,Datos_items!$B:$B,$B31,Datos_items!$O:$O,L$4,Datos_items!$E:$E,Analisis_grupo!$C$4)/COUNTIFS(Datos_items!$B:$B,$B31,Datos_items!$O:$O,L$4,Datos_items!$E:$E,Analisis_grupo!$C$4),""))</f>
        <v/>
      </c>
      <c r="M31" s="18" t="str">
        <f aca="false">IF($B31="","",IFERROR(SUMIFS(Datos_items!$Z:$Z,Datos_items!$B:$B,$B31,Datos_items!$O:$O,M$4,Datos_items!$E:$E,Analisis_grupo!$C$4)/COUNTIFS(Datos_items!$B:$B,$B31,Datos_items!$O:$O,M$4,Datos_items!$E:$E,Analisis_grupo!$C$4),""))</f>
        <v/>
      </c>
      <c r="N31" s="18" t="str">
        <f aca="false">IF($B31="","",IFERROR(SUMIFS(Datos_items!$Z:$Z,Datos_items!$B:$B,$B31,Datos_items!$O:$O,N$4,Datos_items!$E:$E,Analisis_grupo!$C$4)/COUNTIFS(Datos_items!$B:$B,$B31,Datos_items!$O:$O,N$4,Datos_items!$E:$E,Analisis_grupo!$C$4),""))</f>
        <v/>
      </c>
      <c r="O31" s="18" t="str">
        <f aca="false">IF($B31="","",IFERROR(SUMIFS(Datos_items!$Z:$Z,Datos_items!$B:$B,$B31,Datos_items!$O:$O,O$4,Datos_items!$E:$E,Analisis_grupo!$C$4)/COUNTIFS(Datos_items!$B:$B,$B31,Datos_items!$O:$O,O$4,Datos_items!$E:$E,Analisis_grupo!$C$4),""))</f>
        <v/>
      </c>
      <c r="P31" s="18" t="str">
        <f aca="false">IF($B31="","",IFERROR(SUMIFS(Datos_items!$Z:$Z,Datos_items!$B:$B,$B31,Datos_items!$O:$O,P$4,Datos_items!$E:$E,Analisis_grupo!$C$4)/COUNTIFS(Datos_items!$B:$B,$B31,Datos_items!$O:$O,P$4,Datos_items!$E:$E,Analisis_grupo!$C$4),""))</f>
        <v/>
      </c>
      <c r="Q31" s="18" t="str">
        <f aca="false">IF($B31="","",IFERROR(SUMIFS(Datos_items!$Z:$Z,Datos_items!$B:$B,$B31,Datos_items!$O:$O,Q$4,Datos_items!$E:$E,Analisis_grupo!$C$4)/COUNTIFS(Datos_items!$B:$B,$B31,Datos_items!$O:$O,Q$4,Datos_items!$E:$E,Analisis_grupo!$C$4),""))</f>
        <v/>
      </c>
      <c r="R31" s="2" t="str">
        <f aca="false">IF(COUNT(J31:Q31)=0,"",IF(MIN(J31:Q31)&gt;=Analisis_grupo!$B$7,"(ninguna)",INDEX($J$4:$Q$4,MATCH(MIN(J31:Q31),J31:Q31,0))))</f>
        <v/>
      </c>
      <c r="S31" s="2" t="str">
        <f aca="false">IF($B31="","",COUNTIF(J31:Q31,"&lt;"&amp;Analisis_grupo!$B$7))</f>
        <v/>
      </c>
      <c r="T31" s="2" t="str">
        <f aca="false">IF($B31="","",COUNTIFS(Datos_items!$B:$B,$B31,Datos_items!$AA:$AA,T$4,Datos_items!$E:$E,Analisis_grupo!$C$4))</f>
        <v/>
      </c>
      <c r="U31" s="2" t="str">
        <f aca="false">IF($B31="","",COUNTIFS(Datos_items!$B:$B,$B31,Datos_items!$AA:$AA,U$4,Datos_items!$E:$E,Analisis_grupo!$C$4))</f>
        <v/>
      </c>
      <c r="V31" s="2" t="str">
        <f aca="false">IF($B31="","",COUNTIFS(Datos_items!$B:$B,$B31,Datos_items!$AA:$AA,V$4,Datos_items!$E:$E,Analisis_grupo!$C$4))</f>
        <v/>
      </c>
      <c r="W31" s="2" t="str">
        <f aca="false">IF($B31="","",COUNTIFS(Datos_items!$B:$B,$B31,Datos_items!$AA:$AA,W$4,Datos_items!$E:$E,Analisis_grupo!$C$4))</f>
        <v/>
      </c>
      <c r="X31" s="2" t="str">
        <f aca="false">IF($B31="","",COUNTIFS(Datos_items!$B:$B,$B31,Datos_items!$AA:$AA,X$4,Datos_items!$E:$E,Analisis_grupo!$C$4))</f>
        <v/>
      </c>
      <c r="Y31" s="2" t="str">
        <f aca="false">IF($B31="","",COUNTIFS(Datos_items!$B:$B,$B31,Datos_items!$AA:$AA,Y$4,Datos_items!$E:$E,Analisis_grupo!$C$4))</f>
        <v/>
      </c>
      <c r="Z31" s="2" t="str">
        <f aca="false">IF($B31="","",COUNTIFS(Datos_items!$B:$B,$B31,Datos_items!$AA:$AA,Z$4,Datos_items!$E:$E,Analisis_grupo!$C$4))</f>
        <v/>
      </c>
      <c r="AA31" s="2" t="str">
        <f aca="false">IF($B31="","",COUNTIFS(Datos_items!$B:$B,$B31,Datos_items!$AA:$AA,AA$4,Datos_items!$E:$E,Analisis_grupo!$C$4))</f>
        <v/>
      </c>
      <c r="AB31" s="2" t="str">
        <f aca="false">IF($B31="","",COUNTIFS(Datos_items!$B:$B,$B31,Datos_items!$AA:$AA,AB$4,Datos_items!$E:$E,Analisis_grupo!$C$4))</f>
        <v/>
      </c>
      <c r="AC31" s="2" t="str">
        <f aca="false">IF($B31="","",COUNTIFS(Datos_items!$B:$B,$B31,Datos_items!$AA:$AA,AC$4,Datos_items!$E:$E,Analisis_grupo!$C$4))</f>
        <v/>
      </c>
      <c r="AD31" s="2" t="str">
        <f aca="false">IF($B31="","",COUNTIFS(Datos_items!$B:$B,$B31,Datos_items!$AA:$AA,AD$4,Datos_items!$E:$E,Analisis_grupo!$C$4))</f>
        <v/>
      </c>
      <c r="AE31" s="2" t="str">
        <f aca="false">IF($B31="","",COUNTIFS(Datos_items!$B:$B,$B31,Datos_items!$AA:$AA,AE$4,Datos_items!$E:$E,Analisis_grupo!$C$4))</f>
        <v/>
      </c>
      <c r="AF31" s="2" t="str">
        <f aca="false">IF($B31="","",COUNTIFS(Datos_items!$B:$B,$B31,Datos_items!$AA:$AA,AF$4,Datos_items!$E:$E,Analisis_grupo!$C$4))</f>
        <v/>
      </c>
      <c r="AG31" s="2" t="str">
        <f aca="false">IF($B31="","",COUNTIFS(Datos_items!$B:$B,$B31,Datos_items!$AA:$AA,AG$4,Datos_items!$E:$E,Analisis_grupo!$C$4))</f>
        <v/>
      </c>
      <c r="AH31" s="2" t="str">
        <f aca="false">IF($B31="","",COUNTIFS(Datos_items!$B:$B,$B31,Datos_items!$AA:$AA,AH$4,Datos_items!$E:$E,Analisis_grupo!$C$4))</f>
        <v/>
      </c>
      <c r="AI31" s="2" t="str">
        <f aca="false">IF($B31="","",COUNTIFS(Datos_items!$B:$B,$B31,Datos_items!$AA:$AA,AI$4,Datos_items!$E:$E,Analisis_grupo!$C$4))</f>
        <v/>
      </c>
      <c r="AJ31" s="2" t="str">
        <f aca="false">IF($B31="","",COUNTIFS(Datos_items!$B:$B,$B31,Datos_items!$AA:$AA,AJ$4,Datos_items!$E:$E,Analisis_grupo!$C$4))</f>
        <v/>
      </c>
      <c r="AK31" s="2" t="str">
        <f aca="false">IF($B31="","",COUNTIFS(Datos_items!$B:$B,$B31,Datos_items!$AA:$AA,AK$4,Datos_items!$E:$E,Analisis_grupo!$C$4))</f>
        <v/>
      </c>
      <c r="AL31" s="2" t="str">
        <f aca="false">IF($B31="","",COUNTIFS(Datos_items!$B:$B,$B31,Datos_items!$AA:$AA,AL$4,Datos_items!$E:$E,Analisis_grupo!$C$4))</f>
        <v/>
      </c>
      <c r="AM31" s="2" t="str">
        <f aca="false">IF($B31="","",IF(MAX(Y31:AL31)=0,"",INDEX($Y$4:$AL$4,MATCH(MAX(Y31:AL31),Y31:AL31,0))))</f>
        <v/>
      </c>
      <c r="AN31" s="2" t="str">
        <f aca="false">IF($B31="","",COUNTIFS(Datos_problemas!$B:$B,$B31,Datos_problemas!$F:$F,"Práctica"))</f>
        <v/>
      </c>
      <c r="AO31" s="2" t="str">
        <f aca="false">IF($B31="","",SUMIFS(Datos_problemas!$AQ:$AQ,Datos_problemas!$B:$B,$B31,Datos_problemas!$F:$F,"Práctica"))</f>
        <v/>
      </c>
      <c r="AP31" s="2" t="str">
        <f aca="false">IF($B31="","",COUNTIFS(Datos_problemas!$B:$B,$B31,Datos_problemas!$F:$F,"Práctica",Datos_problemas!$AS:$AS,"Sí"))</f>
        <v/>
      </c>
    </row>
    <row r="32" customFormat="false" ht="15" hidden="false" customHeight="false" outlineLevel="0" collapsed="false">
      <c r="A32" s="2" t="n">
        <v>28</v>
      </c>
      <c r="B32" s="2" t="str">
        <f aca="false">IFERROR(INDEX(Datos_problemas!$B:$B,MATCH($A32,Datos_problemas!$AV:$AV,0)),"")</f>
        <v/>
      </c>
      <c r="C32" s="2" t="str">
        <f aca="false">IF($B32="","",INDEX(Datos_problemas!$C:$C,MATCH($A32,Datos_problemas!$AV:$AV,0)))</f>
        <v/>
      </c>
      <c r="D32" s="2" t="str">
        <f aca="false">IF($B32="","",INDEX(Datos_problemas!$D:$D,MATCH($A32,Datos_problemas!$AV:$AV,0)))</f>
        <v/>
      </c>
      <c r="E32" s="2" t="str">
        <f aca="false">IF($B32="","",COUNTIFS(Datos_problemas!$B:$B,$B32,Datos_problemas!$F:$F,"Evaluación"))</f>
        <v/>
      </c>
      <c r="F32" s="20" t="str">
        <f aca="false">IF($B32="","",IFERROR(AVERAGEIFS(Datos_problemas!$AE:$AE,Datos_problemas!$B:$B,$B32,Datos_problemas!$F:$F,"Evaluación"),""))</f>
        <v/>
      </c>
      <c r="G32" s="20" t="str">
        <f aca="false">IF($B32="","",IFERROR(AVERAGEIFS(Datos_problemas!$AE:$AE,Datos_problemas!$B:$B,$B32,Datos_problemas!$F:$F,"Evaluación",Datos_problemas!$E:$E,"Diagnóstico"),""))</f>
        <v/>
      </c>
      <c r="H32" s="20" t="str">
        <f aca="false">IF($B32="","",IFERROR(AVERAGEIFS(Datos_problemas!$AE:$AE,Datos_problemas!$B:$B,$B32,Datos_problemas!$F:$F,"Evaluación",Datos_problemas!$E:$E,"Final"),""))</f>
        <v/>
      </c>
      <c r="I32" s="21" t="str">
        <f aca="false">IF(OR(G32="",H32=""),"",IF(G32&gt;=10,"",(H32-G32)/(10-G32)))</f>
        <v/>
      </c>
      <c r="J32" s="18" t="str">
        <f aca="false">IF($B32="","",IFERROR(SUMIFS(Datos_items!$Z:$Z,Datos_items!$B:$B,$B32,Datos_items!$O:$O,J$4,Datos_items!$E:$E,Analisis_grupo!$C$4)/COUNTIFS(Datos_items!$B:$B,$B32,Datos_items!$O:$O,J$4,Datos_items!$E:$E,Analisis_grupo!$C$4),""))</f>
        <v/>
      </c>
      <c r="K32" s="18" t="str">
        <f aca="false">IF($B32="","",IFERROR(SUMIFS(Datos_items!$Z:$Z,Datos_items!$B:$B,$B32,Datos_items!$O:$O,K$4,Datos_items!$E:$E,Analisis_grupo!$C$4)/COUNTIFS(Datos_items!$B:$B,$B32,Datos_items!$O:$O,K$4,Datos_items!$E:$E,Analisis_grupo!$C$4),""))</f>
        <v/>
      </c>
      <c r="L32" s="18" t="str">
        <f aca="false">IF($B32="","",IFERROR(SUMIFS(Datos_items!$Z:$Z,Datos_items!$B:$B,$B32,Datos_items!$O:$O,L$4,Datos_items!$E:$E,Analisis_grupo!$C$4)/COUNTIFS(Datos_items!$B:$B,$B32,Datos_items!$O:$O,L$4,Datos_items!$E:$E,Analisis_grupo!$C$4),""))</f>
        <v/>
      </c>
      <c r="M32" s="18" t="str">
        <f aca="false">IF($B32="","",IFERROR(SUMIFS(Datos_items!$Z:$Z,Datos_items!$B:$B,$B32,Datos_items!$O:$O,M$4,Datos_items!$E:$E,Analisis_grupo!$C$4)/COUNTIFS(Datos_items!$B:$B,$B32,Datos_items!$O:$O,M$4,Datos_items!$E:$E,Analisis_grupo!$C$4),""))</f>
        <v/>
      </c>
      <c r="N32" s="18" t="str">
        <f aca="false">IF($B32="","",IFERROR(SUMIFS(Datos_items!$Z:$Z,Datos_items!$B:$B,$B32,Datos_items!$O:$O,N$4,Datos_items!$E:$E,Analisis_grupo!$C$4)/COUNTIFS(Datos_items!$B:$B,$B32,Datos_items!$O:$O,N$4,Datos_items!$E:$E,Analisis_grupo!$C$4),""))</f>
        <v/>
      </c>
      <c r="O32" s="18" t="str">
        <f aca="false">IF($B32="","",IFERROR(SUMIFS(Datos_items!$Z:$Z,Datos_items!$B:$B,$B32,Datos_items!$O:$O,O$4,Datos_items!$E:$E,Analisis_grupo!$C$4)/COUNTIFS(Datos_items!$B:$B,$B32,Datos_items!$O:$O,O$4,Datos_items!$E:$E,Analisis_grupo!$C$4),""))</f>
        <v/>
      </c>
      <c r="P32" s="18" t="str">
        <f aca="false">IF($B32="","",IFERROR(SUMIFS(Datos_items!$Z:$Z,Datos_items!$B:$B,$B32,Datos_items!$O:$O,P$4,Datos_items!$E:$E,Analisis_grupo!$C$4)/COUNTIFS(Datos_items!$B:$B,$B32,Datos_items!$O:$O,P$4,Datos_items!$E:$E,Analisis_grupo!$C$4),""))</f>
        <v/>
      </c>
      <c r="Q32" s="18" t="str">
        <f aca="false">IF($B32="","",IFERROR(SUMIFS(Datos_items!$Z:$Z,Datos_items!$B:$B,$B32,Datos_items!$O:$O,Q$4,Datos_items!$E:$E,Analisis_grupo!$C$4)/COUNTIFS(Datos_items!$B:$B,$B32,Datos_items!$O:$O,Q$4,Datos_items!$E:$E,Analisis_grupo!$C$4),""))</f>
        <v/>
      </c>
      <c r="R32" s="2" t="str">
        <f aca="false">IF(COUNT(J32:Q32)=0,"",IF(MIN(J32:Q32)&gt;=Analisis_grupo!$B$7,"(ninguna)",INDEX($J$4:$Q$4,MATCH(MIN(J32:Q32),J32:Q32,0))))</f>
        <v/>
      </c>
      <c r="S32" s="2" t="str">
        <f aca="false">IF($B32="","",COUNTIF(J32:Q32,"&lt;"&amp;Analisis_grupo!$B$7))</f>
        <v/>
      </c>
      <c r="T32" s="2" t="str">
        <f aca="false">IF($B32="","",COUNTIFS(Datos_items!$B:$B,$B32,Datos_items!$AA:$AA,T$4,Datos_items!$E:$E,Analisis_grupo!$C$4))</f>
        <v/>
      </c>
      <c r="U32" s="2" t="str">
        <f aca="false">IF($B32="","",COUNTIFS(Datos_items!$B:$B,$B32,Datos_items!$AA:$AA,U$4,Datos_items!$E:$E,Analisis_grupo!$C$4))</f>
        <v/>
      </c>
      <c r="V32" s="2" t="str">
        <f aca="false">IF($B32="","",COUNTIFS(Datos_items!$B:$B,$B32,Datos_items!$AA:$AA,V$4,Datos_items!$E:$E,Analisis_grupo!$C$4))</f>
        <v/>
      </c>
      <c r="W32" s="2" t="str">
        <f aca="false">IF($B32="","",COUNTIFS(Datos_items!$B:$B,$B32,Datos_items!$AA:$AA,W$4,Datos_items!$E:$E,Analisis_grupo!$C$4))</f>
        <v/>
      </c>
      <c r="X32" s="2" t="str">
        <f aca="false">IF($B32="","",COUNTIFS(Datos_items!$B:$B,$B32,Datos_items!$AA:$AA,X$4,Datos_items!$E:$E,Analisis_grupo!$C$4))</f>
        <v/>
      </c>
      <c r="Y32" s="2" t="str">
        <f aca="false">IF($B32="","",COUNTIFS(Datos_items!$B:$B,$B32,Datos_items!$AA:$AA,Y$4,Datos_items!$E:$E,Analisis_grupo!$C$4))</f>
        <v/>
      </c>
      <c r="Z32" s="2" t="str">
        <f aca="false">IF($B32="","",COUNTIFS(Datos_items!$B:$B,$B32,Datos_items!$AA:$AA,Z$4,Datos_items!$E:$E,Analisis_grupo!$C$4))</f>
        <v/>
      </c>
      <c r="AA32" s="2" t="str">
        <f aca="false">IF($B32="","",COUNTIFS(Datos_items!$B:$B,$B32,Datos_items!$AA:$AA,AA$4,Datos_items!$E:$E,Analisis_grupo!$C$4))</f>
        <v/>
      </c>
      <c r="AB32" s="2" t="str">
        <f aca="false">IF($B32="","",COUNTIFS(Datos_items!$B:$B,$B32,Datos_items!$AA:$AA,AB$4,Datos_items!$E:$E,Analisis_grupo!$C$4))</f>
        <v/>
      </c>
      <c r="AC32" s="2" t="str">
        <f aca="false">IF($B32="","",COUNTIFS(Datos_items!$B:$B,$B32,Datos_items!$AA:$AA,AC$4,Datos_items!$E:$E,Analisis_grupo!$C$4))</f>
        <v/>
      </c>
      <c r="AD32" s="2" t="str">
        <f aca="false">IF($B32="","",COUNTIFS(Datos_items!$B:$B,$B32,Datos_items!$AA:$AA,AD$4,Datos_items!$E:$E,Analisis_grupo!$C$4))</f>
        <v/>
      </c>
      <c r="AE32" s="2" t="str">
        <f aca="false">IF($B32="","",COUNTIFS(Datos_items!$B:$B,$B32,Datos_items!$AA:$AA,AE$4,Datos_items!$E:$E,Analisis_grupo!$C$4))</f>
        <v/>
      </c>
      <c r="AF32" s="2" t="str">
        <f aca="false">IF($B32="","",COUNTIFS(Datos_items!$B:$B,$B32,Datos_items!$AA:$AA,AF$4,Datos_items!$E:$E,Analisis_grupo!$C$4))</f>
        <v/>
      </c>
      <c r="AG32" s="2" t="str">
        <f aca="false">IF($B32="","",COUNTIFS(Datos_items!$B:$B,$B32,Datos_items!$AA:$AA,AG$4,Datos_items!$E:$E,Analisis_grupo!$C$4))</f>
        <v/>
      </c>
      <c r="AH32" s="2" t="str">
        <f aca="false">IF($B32="","",COUNTIFS(Datos_items!$B:$B,$B32,Datos_items!$AA:$AA,AH$4,Datos_items!$E:$E,Analisis_grupo!$C$4))</f>
        <v/>
      </c>
      <c r="AI32" s="2" t="str">
        <f aca="false">IF($B32="","",COUNTIFS(Datos_items!$B:$B,$B32,Datos_items!$AA:$AA,AI$4,Datos_items!$E:$E,Analisis_grupo!$C$4))</f>
        <v/>
      </c>
      <c r="AJ32" s="2" t="str">
        <f aca="false">IF($B32="","",COUNTIFS(Datos_items!$B:$B,$B32,Datos_items!$AA:$AA,AJ$4,Datos_items!$E:$E,Analisis_grupo!$C$4))</f>
        <v/>
      </c>
      <c r="AK32" s="2" t="str">
        <f aca="false">IF($B32="","",COUNTIFS(Datos_items!$B:$B,$B32,Datos_items!$AA:$AA,AK$4,Datos_items!$E:$E,Analisis_grupo!$C$4))</f>
        <v/>
      </c>
      <c r="AL32" s="2" t="str">
        <f aca="false">IF($B32="","",COUNTIFS(Datos_items!$B:$B,$B32,Datos_items!$AA:$AA,AL$4,Datos_items!$E:$E,Analisis_grupo!$C$4))</f>
        <v/>
      </c>
      <c r="AM32" s="2" t="str">
        <f aca="false">IF($B32="","",IF(MAX(Y32:AL32)=0,"",INDEX($Y$4:$AL$4,MATCH(MAX(Y32:AL32),Y32:AL32,0))))</f>
        <v/>
      </c>
      <c r="AN32" s="2" t="str">
        <f aca="false">IF($B32="","",COUNTIFS(Datos_problemas!$B:$B,$B32,Datos_problemas!$F:$F,"Práctica"))</f>
        <v/>
      </c>
      <c r="AO32" s="2" t="str">
        <f aca="false">IF($B32="","",SUMIFS(Datos_problemas!$AQ:$AQ,Datos_problemas!$B:$B,$B32,Datos_problemas!$F:$F,"Práctica"))</f>
        <v/>
      </c>
      <c r="AP32" s="2" t="str">
        <f aca="false">IF($B32="","",COUNTIFS(Datos_problemas!$B:$B,$B32,Datos_problemas!$F:$F,"Práctica",Datos_problemas!$AS:$AS,"Sí"))</f>
        <v/>
      </c>
    </row>
    <row r="33" customFormat="false" ht="15" hidden="false" customHeight="false" outlineLevel="0" collapsed="false">
      <c r="A33" s="2" t="n">
        <v>29</v>
      </c>
      <c r="B33" s="2" t="str">
        <f aca="false">IFERROR(INDEX(Datos_problemas!$B:$B,MATCH($A33,Datos_problemas!$AV:$AV,0)),"")</f>
        <v/>
      </c>
      <c r="C33" s="2" t="str">
        <f aca="false">IF($B33="","",INDEX(Datos_problemas!$C:$C,MATCH($A33,Datos_problemas!$AV:$AV,0)))</f>
        <v/>
      </c>
      <c r="D33" s="2" t="str">
        <f aca="false">IF($B33="","",INDEX(Datos_problemas!$D:$D,MATCH($A33,Datos_problemas!$AV:$AV,0)))</f>
        <v/>
      </c>
      <c r="E33" s="2" t="str">
        <f aca="false">IF($B33="","",COUNTIFS(Datos_problemas!$B:$B,$B33,Datos_problemas!$F:$F,"Evaluación"))</f>
        <v/>
      </c>
      <c r="F33" s="20" t="str">
        <f aca="false">IF($B33="","",IFERROR(AVERAGEIFS(Datos_problemas!$AE:$AE,Datos_problemas!$B:$B,$B33,Datos_problemas!$F:$F,"Evaluación"),""))</f>
        <v/>
      </c>
      <c r="G33" s="20" t="str">
        <f aca="false">IF($B33="","",IFERROR(AVERAGEIFS(Datos_problemas!$AE:$AE,Datos_problemas!$B:$B,$B33,Datos_problemas!$F:$F,"Evaluación",Datos_problemas!$E:$E,"Diagnóstico"),""))</f>
        <v/>
      </c>
      <c r="H33" s="20" t="str">
        <f aca="false">IF($B33="","",IFERROR(AVERAGEIFS(Datos_problemas!$AE:$AE,Datos_problemas!$B:$B,$B33,Datos_problemas!$F:$F,"Evaluación",Datos_problemas!$E:$E,"Final"),""))</f>
        <v/>
      </c>
      <c r="I33" s="21" t="str">
        <f aca="false">IF(OR(G33="",H33=""),"",IF(G33&gt;=10,"",(H33-G33)/(10-G33)))</f>
        <v/>
      </c>
      <c r="J33" s="18" t="str">
        <f aca="false">IF($B33="","",IFERROR(SUMIFS(Datos_items!$Z:$Z,Datos_items!$B:$B,$B33,Datos_items!$O:$O,J$4,Datos_items!$E:$E,Analisis_grupo!$C$4)/COUNTIFS(Datos_items!$B:$B,$B33,Datos_items!$O:$O,J$4,Datos_items!$E:$E,Analisis_grupo!$C$4),""))</f>
        <v/>
      </c>
      <c r="K33" s="18" t="str">
        <f aca="false">IF($B33="","",IFERROR(SUMIFS(Datos_items!$Z:$Z,Datos_items!$B:$B,$B33,Datos_items!$O:$O,K$4,Datos_items!$E:$E,Analisis_grupo!$C$4)/COUNTIFS(Datos_items!$B:$B,$B33,Datos_items!$O:$O,K$4,Datos_items!$E:$E,Analisis_grupo!$C$4),""))</f>
        <v/>
      </c>
      <c r="L33" s="18" t="str">
        <f aca="false">IF($B33="","",IFERROR(SUMIFS(Datos_items!$Z:$Z,Datos_items!$B:$B,$B33,Datos_items!$O:$O,L$4,Datos_items!$E:$E,Analisis_grupo!$C$4)/COUNTIFS(Datos_items!$B:$B,$B33,Datos_items!$O:$O,L$4,Datos_items!$E:$E,Analisis_grupo!$C$4),""))</f>
        <v/>
      </c>
      <c r="M33" s="18" t="str">
        <f aca="false">IF($B33="","",IFERROR(SUMIFS(Datos_items!$Z:$Z,Datos_items!$B:$B,$B33,Datos_items!$O:$O,M$4,Datos_items!$E:$E,Analisis_grupo!$C$4)/COUNTIFS(Datos_items!$B:$B,$B33,Datos_items!$O:$O,M$4,Datos_items!$E:$E,Analisis_grupo!$C$4),""))</f>
        <v/>
      </c>
      <c r="N33" s="18" t="str">
        <f aca="false">IF($B33="","",IFERROR(SUMIFS(Datos_items!$Z:$Z,Datos_items!$B:$B,$B33,Datos_items!$O:$O,N$4,Datos_items!$E:$E,Analisis_grupo!$C$4)/COUNTIFS(Datos_items!$B:$B,$B33,Datos_items!$O:$O,N$4,Datos_items!$E:$E,Analisis_grupo!$C$4),""))</f>
        <v/>
      </c>
      <c r="O33" s="18" t="str">
        <f aca="false">IF($B33="","",IFERROR(SUMIFS(Datos_items!$Z:$Z,Datos_items!$B:$B,$B33,Datos_items!$O:$O,O$4,Datos_items!$E:$E,Analisis_grupo!$C$4)/COUNTIFS(Datos_items!$B:$B,$B33,Datos_items!$O:$O,O$4,Datos_items!$E:$E,Analisis_grupo!$C$4),""))</f>
        <v/>
      </c>
      <c r="P33" s="18" t="str">
        <f aca="false">IF($B33="","",IFERROR(SUMIFS(Datos_items!$Z:$Z,Datos_items!$B:$B,$B33,Datos_items!$O:$O,P$4,Datos_items!$E:$E,Analisis_grupo!$C$4)/COUNTIFS(Datos_items!$B:$B,$B33,Datos_items!$O:$O,P$4,Datos_items!$E:$E,Analisis_grupo!$C$4),""))</f>
        <v/>
      </c>
      <c r="Q33" s="18" t="str">
        <f aca="false">IF($B33="","",IFERROR(SUMIFS(Datos_items!$Z:$Z,Datos_items!$B:$B,$B33,Datos_items!$O:$O,Q$4,Datos_items!$E:$E,Analisis_grupo!$C$4)/COUNTIFS(Datos_items!$B:$B,$B33,Datos_items!$O:$O,Q$4,Datos_items!$E:$E,Analisis_grupo!$C$4),""))</f>
        <v/>
      </c>
      <c r="R33" s="2" t="str">
        <f aca="false">IF(COUNT(J33:Q33)=0,"",IF(MIN(J33:Q33)&gt;=Analisis_grupo!$B$7,"(ninguna)",INDEX($J$4:$Q$4,MATCH(MIN(J33:Q33),J33:Q33,0))))</f>
        <v/>
      </c>
      <c r="S33" s="2" t="str">
        <f aca="false">IF($B33="","",COUNTIF(J33:Q33,"&lt;"&amp;Analisis_grupo!$B$7))</f>
        <v/>
      </c>
      <c r="T33" s="2" t="str">
        <f aca="false">IF($B33="","",COUNTIFS(Datos_items!$B:$B,$B33,Datos_items!$AA:$AA,T$4,Datos_items!$E:$E,Analisis_grupo!$C$4))</f>
        <v/>
      </c>
      <c r="U33" s="2" t="str">
        <f aca="false">IF($B33="","",COUNTIFS(Datos_items!$B:$B,$B33,Datos_items!$AA:$AA,U$4,Datos_items!$E:$E,Analisis_grupo!$C$4))</f>
        <v/>
      </c>
      <c r="V33" s="2" t="str">
        <f aca="false">IF($B33="","",COUNTIFS(Datos_items!$B:$B,$B33,Datos_items!$AA:$AA,V$4,Datos_items!$E:$E,Analisis_grupo!$C$4))</f>
        <v/>
      </c>
      <c r="W33" s="2" t="str">
        <f aca="false">IF($B33="","",COUNTIFS(Datos_items!$B:$B,$B33,Datos_items!$AA:$AA,W$4,Datos_items!$E:$E,Analisis_grupo!$C$4))</f>
        <v/>
      </c>
      <c r="X33" s="2" t="str">
        <f aca="false">IF($B33="","",COUNTIFS(Datos_items!$B:$B,$B33,Datos_items!$AA:$AA,X$4,Datos_items!$E:$E,Analisis_grupo!$C$4))</f>
        <v/>
      </c>
      <c r="Y33" s="2" t="str">
        <f aca="false">IF($B33="","",COUNTIFS(Datos_items!$B:$B,$B33,Datos_items!$AA:$AA,Y$4,Datos_items!$E:$E,Analisis_grupo!$C$4))</f>
        <v/>
      </c>
      <c r="Z33" s="2" t="str">
        <f aca="false">IF($B33="","",COUNTIFS(Datos_items!$B:$B,$B33,Datos_items!$AA:$AA,Z$4,Datos_items!$E:$E,Analisis_grupo!$C$4))</f>
        <v/>
      </c>
      <c r="AA33" s="2" t="str">
        <f aca="false">IF($B33="","",COUNTIFS(Datos_items!$B:$B,$B33,Datos_items!$AA:$AA,AA$4,Datos_items!$E:$E,Analisis_grupo!$C$4))</f>
        <v/>
      </c>
      <c r="AB33" s="2" t="str">
        <f aca="false">IF($B33="","",COUNTIFS(Datos_items!$B:$B,$B33,Datos_items!$AA:$AA,AB$4,Datos_items!$E:$E,Analisis_grupo!$C$4))</f>
        <v/>
      </c>
      <c r="AC33" s="2" t="str">
        <f aca="false">IF($B33="","",COUNTIFS(Datos_items!$B:$B,$B33,Datos_items!$AA:$AA,AC$4,Datos_items!$E:$E,Analisis_grupo!$C$4))</f>
        <v/>
      </c>
      <c r="AD33" s="2" t="str">
        <f aca="false">IF($B33="","",COUNTIFS(Datos_items!$B:$B,$B33,Datos_items!$AA:$AA,AD$4,Datos_items!$E:$E,Analisis_grupo!$C$4))</f>
        <v/>
      </c>
      <c r="AE33" s="2" t="str">
        <f aca="false">IF($B33="","",COUNTIFS(Datos_items!$B:$B,$B33,Datos_items!$AA:$AA,AE$4,Datos_items!$E:$E,Analisis_grupo!$C$4))</f>
        <v/>
      </c>
      <c r="AF33" s="2" t="str">
        <f aca="false">IF($B33="","",COUNTIFS(Datos_items!$B:$B,$B33,Datos_items!$AA:$AA,AF$4,Datos_items!$E:$E,Analisis_grupo!$C$4))</f>
        <v/>
      </c>
      <c r="AG33" s="2" t="str">
        <f aca="false">IF($B33="","",COUNTIFS(Datos_items!$B:$B,$B33,Datos_items!$AA:$AA,AG$4,Datos_items!$E:$E,Analisis_grupo!$C$4))</f>
        <v/>
      </c>
      <c r="AH33" s="2" t="str">
        <f aca="false">IF($B33="","",COUNTIFS(Datos_items!$B:$B,$B33,Datos_items!$AA:$AA,AH$4,Datos_items!$E:$E,Analisis_grupo!$C$4))</f>
        <v/>
      </c>
      <c r="AI33" s="2" t="str">
        <f aca="false">IF($B33="","",COUNTIFS(Datos_items!$B:$B,$B33,Datos_items!$AA:$AA,AI$4,Datos_items!$E:$E,Analisis_grupo!$C$4))</f>
        <v/>
      </c>
      <c r="AJ33" s="2" t="str">
        <f aca="false">IF($B33="","",COUNTIFS(Datos_items!$B:$B,$B33,Datos_items!$AA:$AA,AJ$4,Datos_items!$E:$E,Analisis_grupo!$C$4))</f>
        <v/>
      </c>
      <c r="AK33" s="2" t="str">
        <f aca="false">IF($B33="","",COUNTIFS(Datos_items!$B:$B,$B33,Datos_items!$AA:$AA,AK$4,Datos_items!$E:$E,Analisis_grupo!$C$4))</f>
        <v/>
      </c>
      <c r="AL33" s="2" t="str">
        <f aca="false">IF($B33="","",COUNTIFS(Datos_items!$B:$B,$B33,Datos_items!$AA:$AA,AL$4,Datos_items!$E:$E,Analisis_grupo!$C$4))</f>
        <v/>
      </c>
      <c r="AM33" s="2" t="str">
        <f aca="false">IF($B33="","",IF(MAX(Y33:AL33)=0,"",INDEX($Y$4:$AL$4,MATCH(MAX(Y33:AL33),Y33:AL33,0))))</f>
        <v/>
      </c>
      <c r="AN33" s="2" t="str">
        <f aca="false">IF($B33="","",COUNTIFS(Datos_problemas!$B:$B,$B33,Datos_problemas!$F:$F,"Práctica"))</f>
        <v/>
      </c>
      <c r="AO33" s="2" t="str">
        <f aca="false">IF($B33="","",SUMIFS(Datos_problemas!$AQ:$AQ,Datos_problemas!$B:$B,$B33,Datos_problemas!$F:$F,"Práctica"))</f>
        <v/>
      </c>
      <c r="AP33" s="2" t="str">
        <f aca="false">IF($B33="","",COUNTIFS(Datos_problemas!$B:$B,$B33,Datos_problemas!$F:$F,"Práctica",Datos_problemas!$AS:$AS,"Sí"))</f>
        <v/>
      </c>
    </row>
    <row r="34" customFormat="false" ht="15" hidden="false" customHeight="false" outlineLevel="0" collapsed="false">
      <c r="A34" s="2" t="n">
        <v>30</v>
      </c>
      <c r="B34" s="2" t="str">
        <f aca="false">IFERROR(INDEX(Datos_problemas!$B:$B,MATCH($A34,Datos_problemas!$AV:$AV,0)),"")</f>
        <v/>
      </c>
      <c r="C34" s="2" t="str">
        <f aca="false">IF($B34="","",INDEX(Datos_problemas!$C:$C,MATCH($A34,Datos_problemas!$AV:$AV,0)))</f>
        <v/>
      </c>
      <c r="D34" s="2" t="str">
        <f aca="false">IF($B34="","",INDEX(Datos_problemas!$D:$D,MATCH($A34,Datos_problemas!$AV:$AV,0)))</f>
        <v/>
      </c>
      <c r="E34" s="2" t="str">
        <f aca="false">IF($B34="","",COUNTIFS(Datos_problemas!$B:$B,$B34,Datos_problemas!$F:$F,"Evaluación"))</f>
        <v/>
      </c>
      <c r="F34" s="20" t="str">
        <f aca="false">IF($B34="","",IFERROR(AVERAGEIFS(Datos_problemas!$AE:$AE,Datos_problemas!$B:$B,$B34,Datos_problemas!$F:$F,"Evaluación"),""))</f>
        <v/>
      </c>
      <c r="G34" s="20" t="str">
        <f aca="false">IF($B34="","",IFERROR(AVERAGEIFS(Datos_problemas!$AE:$AE,Datos_problemas!$B:$B,$B34,Datos_problemas!$F:$F,"Evaluación",Datos_problemas!$E:$E,"Diagnóstico"),""))</f>
        <v/>
      </c>
      <c r="H34" s="20" t="str">
        <f aca="false">IF($B34="","",IFERROR(AVERAGEIFS(Datos_problemas!$AE:$AE,Datos_problemas!$B:$B,$B34,Datos_problemas!$F:$F,"Evaluación",Datos_problemas!$E:$E,"Final"),""))</f>
        <v/>
      </c>
      <c r="I34" s="21" t="str">
        <f aca="false">IF(OR(G34="",H34=""),"",IF(G34&gt;=10,"",(H34-G34)/(10-G34)))</f>
        <v/>
      </c>
      <c r="J34" s="18" t="str">
        <f aca="false">IF($B34="","",IFERROR(SUMIFS(Datos_items!$Z:$Z,Datos_items!$B:$B,$B34,Datos_items!$O:$O,J$4,Datos_items!$E:$E,Analisis_grupo!$C$4)/COUNTIFS(Datos_items!$B:$B,$B34,Datos_items!$O:$O,J$4,Datos_items!$E:$E,Analisis_grupo!$C$4),""))</f>
        <v/>
      </c>
      <c r="K34" s="18" t="str">
        <f aca="false">IF($B34="","",IFERROR(SUMIFS(Datos_items!$Z:$Z,Datos_items!$B:$B,$B34,Datos_items!$O:$O,K$4,Datos_items!$E:$E,Analisis_grupo!$C$4)/COUNTIFS(Datos_items!$B:$B,$B34,Datos_items!$O:$O,K$4,Datos_items!$E:$E,Analisis_grupo!$C$4),""))</f>
        <v/>
      </c>
      <c r="L34" s="18" t="str">
        <f aca="false">IF($B34="","",IFERROR(SUMIFS(Datos_items!$Z:$Z,Datos_items!$B:$B,$B34,Datos_items!$O:$O,L$4,Datos_items!$E:$E,Analisis_grupo!$C$4)/COUNTIFS(Datos_items!$B:$B,$B34,Datos_items!$O:$O,L$4,Datos_items!$E:$E,Analisis_grupo!$C$4),""))</f>
        <v/>
      </c>
      <c r="M34" s="18" t="str">
        <f aca="false">IF($B34="","",IFERROR(SUMIFS(Datos_items!$Z:$Z,Datos_items!$B:$B,$B34,Datos_items!$O:$O,M$4,Datos_items!$E:$E,Analisis_grupo!$C$4)/COUNTIFS(Datos_items!$B:$B,$B34,Datos_items!$O:$O,M$4,Datos_items!$E:$E,Analisis_grupo!$C$4),""))</f>
        <v/>
      </c>
      <c r="N34" s="18" t="str">
        <f aca="false">IF($B34="","",IFERROR(SUMIFS(Datos_items!$Z:$Z,Datos_items!$B:$B,$B34,Datos_items!$O:$O,N$4,Datos_items!$E:$E,Analisis_grupo!$C$4)/COUNTIFS(Datos_items!$B:$B,$B34,Datos_items!$O:$O,N$4,Datos_items!$E:$E,Analisis_grupo!$C$4),""))</f>
        <v/>
      </c>
      <c r="O34" s="18" t="str">
        <f aca="false">IF($B34="","",IFERROR(SUMIFS(Datos_items!$Z:$Z,Datos_items!$B:$B,$B34,Datos_items!$O:$O,O$4,Datos_items!$E:$E,Analisis_grupo!$C$4)/COUNTIFS(Datos_items!$B:$B,$B34,Datos_items!$O:$O,O$4,Datos_items!$E:$E,Analisis_grupo!$C$4),""))</f>
        <v/>
      </c>
      <c r="P34" s="18" t="str">
        <f aca="false">IF($B34="","",IFERROR(SUMIFS(Datos_items!$Z:$Z,Datos_items!$B:$B,$B34,Datos_items!$O:$O,P$4,Datos_items!$E:$E,Analisis_grupo!$C$4)/COUNTIFS(Datos_items!$B:$B,$B34,Datos_items!$O:$O,P$4,Datos_items!$E:$E,Analisis_grupo!$C$4),""))</f>
        <v/>
      </c>
      <c r="Q34" s="18" t="str">
        <f aca="false">IF($B34="","",IFERROR(SUMIFS(Datos_items!$Z:$Z,Datos_items!$B:$B,$B34,Datos_items!$O:$O,Q$4,Datos_items!$E:$E,Analisis_grupo!$C$4)/COUNTIFS(Datos_items!$B:$B,$B34,Datos_items!$O:$O,Q$4,Datos_items!$E:$E,Analisis_grupo!$C$4),""))</f>
        <v/>
      </c>
      <c r="R34" s="2" t="str">
        <f aca="false">IF(COUNT(J34:Q34)=0,"",IF(MIN(J34:Q34)&gt;=Analisis_grupo!$B$7,"(ninguna)",INDEX($J$4:$Q$4,MATCH(MIN(J34:Q34),J34:Q34,0))))</f>
        <v/>
      </c>
      <c r="S34" s="2" t="str">
        <f aca="false">IF($B34="","",COUNTIF(J34:Q34,"&lt;"&amp;Analisis_grupo!$B$7))</f>
        <v/>
      </c>
      <c r="T34" s="2" t="str">
        <f aca="false">IF($B34="","",COUNTIFS(Datos_items!$B:$B,$B34,Datos_items!$AA:$AA,T$4,Datos_items!$E:$E,Analisis_grupo!$C$4))</f>
        <v/>
      </c>
      <c r="U34" s="2" t="str">
        <f aca="false">IF($B34="","",COUNTIFS(Datos_items!$B:$B,$B34,Datos_items!$AA:$AA,U$4,Datos_items!$E:$E,Analisis_grupo!$C$4))</f>
        <v/>
      </c>
      <c r="V34" s="2" t="str">
        <f aca="false">IF($B34="","",COUNTIFS(Datos_items!$B:$B,$B34,Datos_items!$AA:$AA,V$4,Datos_items!$E:$E,Analisis_grupo!$C$4))</f>
        <v/>
      </c>
      <c r="W34" s="2" t="str">
        <f aca="false">IF($B34="","",COUNTIFS(Datos_items!$B:$B,$B34,Datos_items!$AA:$AA,W$4,Datos_items!$E:$E,Analisis_grupo!$C$4))</f>
        <v/>
      </c>
      <c r="X34" s="2" t="str">
        <f aca="false">IF($B34="","",COUNTIFS(Datos_items!$B:$B,$B34,Datos_items!$AA:$AA,X$4,Datos_items!$E:$E,Analisis_grupo!$C$4))</f>
        <v/>
      </c>
      <c r="Y34" s="2" t="str">
        <f aca="false">IF($B34="","",COUNTIFS(Datos_items!$B:$B,$B34,Datos_items!$AA:$AA,Y$4,Datos_items!$E:$E,Analisis_grupo!$C$4))</f>
        <v/>
      </c>
      <c r="Z34" s="2" t="str">
        <f aca="false">IF($B34="","",COUNTIFS(Datos_items!$B:$B,$B34,Datos_items!$AA:$AA,Z$4,Datos_items!$E:$E,Analisis_grupo!$C$4))</f>
        <v/>
      </c>
      <c r="AA34" s="2" t="str">
        <f aca="false">IF($B34="","",COUNTIFS(Datos_items!$B:$B,$B34,Datos_items!$AA:$AA,AA$4,Datos_items!$E:$E,Analisis_grupo!$C$4))</f>
        <v/>
      </c>
      <c r="AB34" s="2" t="str">
        <f aca="false">IF($B34="","",COUNTIFS(Datos_items!$B:$B,$B34,Datos_items!$AA:$AA,AB$4,Datos_items!$E:$E,Analisis_grupo!$C$4))</f>
        <v/>
      </c>
      <c r="AC34" s="2" t="str">
        <f aca="false">IF($B34="","",COUNTIFS(Datos_items!$B:$B,$B34,Datos_items!$AA:$AA,AC$4,Datos_items!$E:$E,Analisis_grupo!$C$4))</f>
        <v/>
      </c>
      <c r="AD34" s="2" t="str">
        <f aca="false">IF($B34="","",COUNTIFS(Datos_items!$B:$B,$B34,Datos_items!$AA:$AA,AD$4,Datos_items!$E:$E,Analisis_grupo!$C$4))</f>
        <v/>
      </c>
      <c r="AE34" s="2" t="str">
        <f aca="false">IF($B34="","",COUNTIFS(Datos_items!$B:$B,$B34,Datos_items!$AA:$AA,AE$4,Datos_items!$E:$E,Analisis_grupo!$C$4))</f>
        <v/>
      </c>
      <c r="AF34" s="2" t="str">
        <f aca="false">IF($B34="","",COUNTIFS(Datos_items!$B:$B,$B34,Datos_items!$AA:$AA,AF$4,Datos_items!$E:$E,Analisis_grupo!$C$4))</f>
        <v/>
      </c>
      <c r="AG34" s="2" t="str">
        <f aca="false">IF($B34="","",COUNTIFS(Datos_items!$B:$B,$B34,Datos_items!$AA:$AA,AG$4,Datos_items!$E:$E,Analisis_grupo!$C$4))</f>
        <v/>
      </c>
      <c r="AH34" s="2" t="str">
        <f aca="false">IF($B34="","",COUNTIFS(Datos_items!$B:$B,$B34,Datos_items!$AA:$AA,AH$4,Datos_items!$E:$E,Analisis_grupo!$C$4))</f>
        <v/>
      </c>
      <c r="AI34" s="2" t="str">
        <f aca="false">IF($B34="","",COUNTIFS(Datos_items!$B:$B,$B34,Datos_items!$AA:$AA,AI$4,Datos_items!$E:$E,Analisis_grupo!$C$4))</f>
        <v/>
      </c>
      <c r="AJ34" s="2" t="str">
        <f aca="false">IF($B34="","",COUNTIFS(Datos_items!$B:$B,$B34,Datos_items!$AA:$AA,AJ$4,Datos_items!$E:$E,Analisis_grupo!$C$4))</f>
        <v/>
      </c>
      <c r="AK34" s="2" t="str">
        <f aca="false">IF($B34="","",COUNTIFS(Datos_items!$B:$B,$B34,Datos_items!$AA:$AA,AK$4,Datos_items!$E:$E,Analisis_grupo!$C$4))</f>
        <v/>
      </c>
      <c r="AL34" s="2" t="str">
        <f aca="false">IF($B34="","",COUNTIFS(Datos_items!$B:$B,$B34,Datos_items!$AA:$AA,AL$4,Datos_items!$E:$E,Analisis_grupo!$C$4))</f>
        <v/>
      </c>
      <c r="AM34" s="2" t="str">
        <f aca="false">IF($B34="","",IF(MAX(Y34:AL34)=0,"",INDEX($Y$4:$AL$4,MATCH(MAX(Y34:AL34),Y34:AL34,0))))</f>
        <v/>
      </c>
      <c r="AN34" s="2" t="str">
        <f aca="false">IF($B34="","",COUNTIFS(Datos_problemas!$B:$B,$B34,Datos_problemas!$F:$F,"Práctica"))</f>
        <v/>
      </c>
      <c r="AO34" s="2" t="str">
        <f aca="false">IF($B34="","",SUMIFS(Datos_problemas!$AQ:$AQ,Datos_problemas!$B:$B,$B34,Datos_problemas!$F:$F,"Práctica"))</f>
        <v/>
      </c>
      <c r="AP34" s="2" t="str">
        <f aca="false">IF($B34="","",COUNTIFS(Datos_problemas!$B:$B,$B34,Datos_problemas!$F:$F,"Práctica",Datos_problemas!$AS:$AS,"Sí"))</f>
        <v/>
      </c>
    </row>
    <row r="35" customFormat="false" ht="15" hidden="false" customHeight="false" outlineLevel="0" collapsed="false">
      <c r="A35" s="2" t="n">
        <v>31</v>
      </c>
      <c r="B35" s="2" t="str">
        <f aca="false">IFERROR(INDEX(Datos_problemas!$B:$B,MATCH($A35,Datos_problemas!$AV:$AV,0)),"")</f>
        <v/>
      </c>
      <c r="C35" s="2" t="str">
        <f aca="false">IF($B35="","",INDEX(Datos_problemas!$C:$C,MATCH($A35,Datos_problemas!$AV:$AV,0)))</f>
        <v/>
      </c>
      <c r="D35" s="2" t="str">
        <f aca="false">IF($B35="","",INDEX(Datos_problemas!$D:$D,MATCH($A35,Datos_problemas!$AV:$AV,0)))</f>
        <v/>
      </c>
      <c r="E35" s="2" t="str">
        <f aca="false">IF($B35="","",COUNTIFS(Datos_problemas!$B:$B,$B35,Datos_problemas!$F:$F,"Evaluación"))</f>
        <v/>
      </c>
      <c r="F35" s="20" t="str">
        <f aca="false">IF($B35="","",IFERROR(AVERAGEIFS(Datos_problemas!$AE:$AE,Datos_problemas!$B:$B,$B35,Datos_problemas!$F:$F,"Evaluación"),""))</f>
        <v/>
      </c>
      <c r="G35" s="20" t="str">
        <f aca="false">IF($B35="","",IFERROR(AVERAGEIFS(Datos_problemas!$AE:$AE,Datos_problemas!$B:$B,$B35,Datos_problemas!$F:$F,"Evaluación",Datos_problemas!$E:$E,"Diagnóstico"),""))</f>
        <v/>
      </c>
      <c r="H35" s="20" t="str">
        <f aca="false">IF($B35="","",IFERROR(AVERAGEIFS(Datos_problemas!$AE:$AE,Datos_problemas!$B:$B,$B35,Datos_problemas!$F:$F,"Evaluación",Datos_problemas!$E:$E,"Final"),""))</f>
        <v/>
      </c>
      <c r="I35" s="21" t="str">
        <f aca="false">IF(OR(G35="",H35=""),"",IF(G35&gt;=10,"",(H35-G35)/(10-G35)))</f>
        <v/>
      </c>
      <c r="J35" s="18" t="str">
        <f aca="false">IF($B35="","",IFERROR(SUMIFS(Datos_items!$Z:$Z,Datos_items!$B:$B,$B35,Datos_items!$O:$O,J$4,Datos_items!$E:$E,Analisis_grupo!$C$4)/COUNTIFS(Datos_items!$B:$B,$B35,Datos_items!$O:$O,J$4,Datos_items!$E:$E,Analisis_grupo!$C$4),""))</f>
        <v/>
      </c>
      <c r="K35" s="18" t="str">
        <f aca="false">IF($B35="","",IFERROR(SUMIFS(Datos_items!$Z:$Z,Datos_items!$B:$B,$B35,Datos_items!$O:$O,K$4,Datos_items!$E:$E,Analisis_grupo!$C$4)/COUNTIFS(Datos_items!$B:$B,$B35,Datos_items!$O:$O,K$4,Datos_items!$E:$E,Analisis_grupo!$C$4),""))</f>
        <v/>
      </c>
      <c r="L35" s="18" t="str">
        <f aca="false">IF($B35="","",IFERROR(SUMIFS(Datos_items!$Z:$Z,Datos_items!$B:$B,$B35,Datos_items!$O:$O,L$4,Datos_items!$E:$E,Analisis_grupo!$C$4)/COUNTIFS(Datos_items!$B:$B,$B35,Datos_items!$O:$O,L$4,Datos_items!$E:$E,Analisis_grupo!$C$4),""))</f>
        <v/>
      </c>
      <c r="M35" s="18" t="str">
        <f aca="false">IF($B35="","",IFERROR(SUMIFS(Datos_items!$Z:$Z,Datos_items!$B:$B,$B35,Datos_items!$O:$O,M$4,Datos_items!$E:$E,Analisis_grupo!$C$4)/COUNTIFS(Datos_items!$B:$B,$B35,Datos_items!$O:$O,M$4,Datos_items!$E:$E,Analisis_grupo!$C$4),""))</f>
        <v/>
      </c>
      <c r="N35" s="18" t="str">
        <f aca="false">IF($B35="","",IFERROR(SUMIFS(Datos_items!$Z:$Z,Datos_items!$B:$B,$B35,Datos_items!$O:$O,N$4,Datos_items!$E:$E,Analisis_grupo!$C$4)/COUNTIFS(Datos_items!$B:$B,$B35,Datos_items!$O:$O,N$4,Datos_items!$E:$E,Analisis_grupo!$C$4),""))</f>
        <v/>
      </c>
      <c r="O35" s="18" t="str">
        <f aca="false">IF($B35="","",IFERROR(SUMIFS(Datos_items!$Z:$Z,Datos_items!$B:$B,$B35,Datos_items!$O:$O,O$4,Datos_items!$E:$E,Analisis_grupo!$C$4)/COUNTIFS(Datos_items!$B:$B,$B35,Datos_items!$O:$O,O$4,Datos_items!$E:$E,Analisis_grupo!$C$4),""))</f>
        <v/>
      </c>
      <c r="P35" s="18" t="str">
        <f aca="false">IF($B35="","",IFERROR(SUMIFS(Datos_items!$Z:$Z,Datos_items!$B:$B,$B35,Datos_items!$O:$O,P$4,Datos_items!$E:$E,Analisis_grupo!$C$4)/COUNTIFS(Datos_items!$B:$B,$B35,Datos_items!$O:$O,P$4,Datos_items!$E:$E,Analisis_grupo!$C$4),""))</f>
        <v/>
      </c>
      <c r="Q35" s="18" t="str">
        <f aca="false">IF($B35="","",IFERROR(SUMIFS(Datos_items!$Z:$Z,Datos_items!$B:$B,$B35,Datos_items!$O:$O,Q$4,Datos_items!$E:$E,Analisis_grupo!$C$4)/COUNTIFS(Datos_items!$B:$B,$B35,Datos_items!$O:$O,Q$4,Datos_items!$E:$E,Analisis_grupo!$C$4),""))</f>
        <v/>
      </c>
      <c r="R35" s="2" t="str">
        <f aca="false">IF(COUNT(J35:Q35)=0,"",IF(MIN(J35:Q35)&gt;=Analisis_grupo!$B$7,"(ninguna)",INDEX($J$4:$Q$4,MATCH(MIN(J35:Q35),J35:Q35,0))))</f>
        <v/>
      </c>
      <c r="S35" s="2" t="str">
        <f aca="false">IF($B35="","",COUNTIF(J35:Q35,"&lt;"&amp;Analisis_grupo!$B$7))</f>
        <v/>
      </c>
      <c r="T35" s="2" t="str">
        <f aca="false">IF($B35="","",COUNTIFS(Datos_items!$B:$B,$B35,Datos_items!$AA:$AA,T$4,Datos_items!$E:$E,Analisis_grupo!$C$4))</f>
        <v/>
      </c>
      <c r="U35" s="2" t="str">
        <f aca="false">IF($B35="","",COUNTIFS(Datos_items!$B:$B,$B35,Datos_items!$AA:$AA,U$4,Datos_items!$E:$E,Analisis_grupo!$C$4))</f>
        <v/>
      </c>
      <c r="V35" s="2" t="str">
        <f aca="false">IF($B35="","",COUNTIFS(Datos_items!$B:$B,$B35,Datos_items!$AA:$AA,V$4,Datos_items!$E:$E,Analisis_grupo!$C$4))</f>
        <v/>
      </c>
      <c r="W35" s="2" t="str">
        <f aca="false">IF($B35="","",COUNTIFS(Datos_items!$B:$B,$B35,Datos_items!$AA:$AA,W$4,Datos_items!$E:$E,Analisis_grupo!$C$4))</f>
        <v/>
      </c>
      <c r="X35" s="2" t="str">
        <f aca="false">IF($B35="","",COUNTIFS(Datos_items!$B:$B,$B35,Datos_items!$AA:$AA,X$4,Datos_items!$E:$E,Analisis_grupo!$C$4))</f>
        <v/>
      </c>
      <c r="Y35" s="2" t="str">
        <f aca="false">IF($B35="","",COUNTIFS(Datos_items!$B:$B,$B35,Datos_items!$AA:$AA,Y$4,Datos_items!$E:$E,Analisis_grupo!$C$4))</f>
        <v/>
      </c>
      <c r="Z35" s="2" t="str">
        <f aca="false">IF($B35="","",COUNTIFS(Datos_items!$B:$B,$B35,Datos_items!$AA:$AA,Z$4,Datos_items!$E:$E,Analisis_grupo!$C$4))</f>
        <v/>
      </c>
      <c r="AA35" s="2" t="str">
        <f aca="false">IF($B35="","",COUNTIFS(Datos_items!$B:$B,$B35,Datos_items!$AA:$AA,AA$4,Datos_items!$E:$E,Analisis_grupo!$C$4))</f>
        <v/>
      </c>
      <c r="AB35" s="2" t="str">
        <f aca="false">IF($B35="","",COUNTIFS(Datos_items!$B:$B,$B35,Datos_items!$AA:$AA,AB$4,Datos_items!$E:$E,Analisis_grupo!$C$4))</f>
        <v/>
      </c>
      <c r="AC35" s="2" t="str">
        <f aca="false">IF($B35="","",COUNTIFS(Datos_items!$B:$B,$B35,Datos_items!$AA:$AA,AC$4,Datos_items!$E:$E,Analisis_grupo!$C$4))</f>
        <v/>
      </c>
      <c r="AD35" s="2" t="str">
        <f aca="false">IF($B35="","",COUNTIFS(Datos_items!$B:$B,$B35,Datos_items!$AA:$AA,AD$4,Datos_items!$E:$E,Analisis_grupo!$C$4))</f>
        <v/>
      </c>
      <c r="AE35" s="2" t="str">
        <f aca="false">IF($B35="","",COUNTIFS(Datos_items!$B:$B,$B35,Datos_items!$AA:$AA,AE$4,Datos_items!$E:$E,Analisis_grupo!$C$4))</f>
        <v/>
      </c>
      <c r="AF35" s="2" t="str">
        <f aca="false">IF($B35="","",COUNTIFS(Datos_items!$B:$B,$B35,Datos_items!$AA:$AA,AF$4,Datos_items!$E:$E,Analisis_grupo!$C$4))</f>
        <v/>
      </c>
      <c r="AG35" s="2" t="str">
        <f aca="false">IF($B35="","",COUNTIFS(Datos_items!$B:$B,$B35,Datos_items!$AA:$AA,AG$4,Datos_items!$E:$E,Analisis_grupo!$C$4))</f>
        <v/>
      </c>
      <c r="AH35" s="2" t="str">
        <f aca="false">IF($B35="","",COUNTIFS(Datos_items!$B:$B,$B35,Datos_items!$AA:$AA,AH$4,Datos_items!$E:$E,Analisis_grupo!$C$4))</f>
        <v/>
      </c>
      <c r="AI35" s="2" t="str">
        <f aca="false">IF($B35="","",COUNTIFS(Datos_items!$B:$B,$B35,Datos_items!$AA:$AA,AI$4,Datos_items!$E:$E,Analisis_grupo!$C$4))</f>
        <v/>
      </c>
      <c r="AJ35" s="2" t="str">
        <f aca="false">IF($B35="","",COUNTIFS(Datos_items!$B:$B,$B35,Datos_items!$AA:$AA,AJ$4,Datos_items!$E:$E,Analisis_grupo!$C$4))</f>
        <v/>
      </c>
      <c r="AK35" s="2" t="str">
        <f aca="false">IF($B35="","",COUNTIFS(Datos_items!$B:$B,$B35,Datos_items!$AA:$AA,AK$4,Datos_items!$E:$E,Analisis_grupo!$C$4))</f>
        <v/>
      </c>
      <c r="AL35" s="2" t="str">
        <f aca="false">IF($B35="","",COUNTIFS(Datos_items!$B:$B,$B35,Datos_items!$AA:$AA,AL$4,Datos_items!$E:$E,Analisis_grupo!$C$4))</f>
        <v/>
      </c>
      <c r="AM35" s="2" t="str">
        <f aca="false">IF($B35="","",IF(MAX(Y35:AL35)=0,"",INDEX($Y$4:$AL$4,MATCH(MAX(Y35:AL35),Y35:AL35,0))))</f>
        <v/>
      </c>
      <c r="AN35" s="2" t="str">
        <f aca="false">IF($B35="","",COUNTIFS(Datos_problemas!$B:$B,$B35,Datos_problemas!$F:$F,"Práctica"))</f>
        <v/>
      </c>
      <c r="AO35" s="2" t="str">
        <f aca="false">IF($B35="","",SUMIFS(Datos_problemas!$AQ:$AQ,Datos_problemas!$B:$B,$B35,Datos_problemas!$F:$F,"Práctica"))</f>
        <v/>
      </c>
      <c r="AP35" s="2" t="str">
        <f aca="false">IF($B35="","",COUNTIFS(Datos_problemas!$B:$B,$B35,Datos_problemas!$F:$F,"Práctica",Datos_problemas!$AS:$AS,"Sí"))</f>
        <v/>
      </c>
    </row>
    <row r="36" customFormat="false" ht="15" hidden="false" customHeight="false" outlineLevel="0" collapsed="false">
      <c r="A36" s="2" t="n">
        <v>32</v>
      </c>
      <c r="B36" s="2" t="str">
        <f aca="false">IFERROR(INDEX(Datos_problemas!$B:$B,MATCH($A36,Datos_problemas!$AV:$AV,0)),"")</f>
        <v/>
      </c>
      <c r="C36" s="2" t="str">
        <f aca="false">IF($B36="","",INDEX(Datos_problemas!$C:$C,MATCH($A36,Datos_problemas!$AV:$AV,0)))</f>
        <v/>
      </c>
      <c r="D36" s="2" t="str">
        <f aca="false">IF($B36="","",INDEX(Datos_problemas!$D:$D,MATCH($A36,Datos_problemas!$AV:$AV,0)))</f>
        <v/>
      </c>
      <c r="E36" s="2" t="str">
        <f aca="false">IF($B36="","",COUNTIFS(Datos_problemas!$B:$B,$B36,Datos_problemas!$F:$F,"Evaluación"))</f>
        <v/>
      </c>
      <c r="F36" s="20" t="str">
        <f aca="false">IF($B36="","",IFERROR(AVERAGEIFS(Datos_problemas!$AE:$AE,Datos_problemas!$B:$B,$B36,Datos_problemas!$F:$F,"Evaluación"),""))</f>
        <v/>
      </c>
      <c r="G36" s="20" t="str">
        <f aca="false">IF($B36="","",IFERROR(AVERAGEIFS(Datos_problemas!$AE:$AE,Datos_problemas!$B:$B,$B36,Datos_problemas!$F:$F,"Evaluación",Datos_problemas!$E:$E,"Diagnóstico"),""))</f>
        <v/>
      </c>
      <c r="H36" s="20" t="str">
        <f aca="false">IF($B36="","",IFERROR(AVERAGEIFS(Datos_problemas!$AE:$AE,Datos_problemas!$B:$B,$B36,Datos_problemas!$F:$F,"Evaluación",Datos_problemas!$E:$E,"Final"),""))</f>
        <v/>
      </c>
      <c r="I36" s="21" t="str">
        <f aca="false">IF(OR(G36="",H36=""),"",IF(G36&gt;=10,"",(H36-G36)/(10-G36)))</f>
        <v/>
      </c>
      <c r="J36" s="18" t="str">
        <f aca="false">IF($B36="","",IFERROR(SUMIFS(Datos_items!$Z:$Z,Datos_items!$B:$B,$B36,Datos_items!$O:$O,J$4,Datos_items!$E:$E,Analisis_grupo!$C$4)/COUNTIFS(Datos_items!$B:$B,$B36,Datos_items!$O:$O,J$4,Datos_items!$E:$E,Analisis_grupo!$C$4),""))</f>
        <v/>
      </c>
      <c r="K36" s="18" t="str">
        <f aca="false">IF($B36="","",IFERROR(SUMIFS(Datos_items!$Z:$Z,Datos_items!$B:$B,$B36,Datos_items!$O:$O,K$4,Datos_items!$E:$E,Analisis_grupo!$C$4)/COUNTIFS(Datos_items!$B:$B,$B36,Datos_items!$O:$O,K$4,Datos_items!$E:$E,Analisis_grupo!$C$4),""))</f>
        <v/>
      </c>
      <c r="L36" s="18" t="str">
        <f aca="false">IF($B36="","",IFERROR(SUMIFS(Datos_items!$Z:$Z,Datos_items!$B:$B,$B36,Datos_items!$O:$O,L$4,Datos_items!$E:$E,Analisis_grupo!$C$4)/COUNTIFS(Datos_items!$B:$B,$B36,Datos_items!$O:$O,L$4,Datos_items!$E:$E,Analisis_grupo!$C$4),""))</f>
        <v/>
      </c>
      <c r="M36" s="18" t="str">
        <f aca="false">IF($B36="","",IFERROR(SUMIFS(Datos_items!$Z:$Z,Datos_items!$B:$B,$B36,Datos_items!$O:$O,M$4,Datos_items!$E:$E,Analisis_grupo!$C$4)/COUNTIFS(Datos_items!$B:$B,$B36,Datos_items!$O:$O,M$4,Datos_items!$E:$E,Analisis_grupo!$C$4),""))</f>
        <v/>
      </c>
      <c r="N36" s="18" t="str">
        <f aca="false">IF($B36="","",IFERROR(SUMIFS(Datos_items!$Z:$Z,Datos_items!$B:$B,$B36,Datos_items!$O:$O,N$4,Datos_items!$E:$E,Analisis_grupo!$C$4)/COUNTIFS(Datos_items!$B:$B,$B36,Datos_items!$O:$O,N$4,Datos_items!$E:$E,Analisis_grupo!$C$4),""))</f>
        <v/>
      </c>
      <c r="O36" s="18" t="str">
        <f aca="false">IF($B36="","",IFERROR(SUMIFS(Datos_items!$Z:$Z,Datos_items!$B:$B,$B36,Datos_items!$O:$O,O$4,Datos_items!$E:$E,Analisis_grupo!$C$4)/COUNTIFS(Datos_items!$B:$B,$B36,Datos_items!$O:$O,O$4,Datos_items!$E:$E,Analisis_grupo!$C$4),""))</f>
        <v/>
      </c>
      <c r="P36" s="18" t="str">
        <f aca="false">IF($B36="","",IFERROR(SUMIFS(Datos_items!$Z:$Z,Datos_items!$B:$B,$B36,Datos_items!$O:$O,P$4,Datos_items!$E:$E,Analisis_grupo!$C$4)/COUNTIFS(Datos_items!$B:$B,$B36,Datos_items!$O:$O,P$4,Datos_items!$E:$E,Analisis_grupo!$C$4),""))</f>
        <v/>
      </c>
      <c r="Q36" s="18" t="str">
        <f aca="false">IF($B36="","",IFERROR(SUMIFS(Datos_items!$Z:$Z,Datos_items!$B:$B,$B36,Datos_items!$O:$O,Q$4,Datos_items!$E:$E,Analisis_grupo!$C$4)/COUNTIFS(Datos_items!$B:$B,$B36,Datos_items!$O:$O,Q$4,Datos_items!$E:$E,Analisis_grupo!$C$4),""))</f>
        <v/>
      </c>
      <c r="R36" s="2" t="str">
        <f aca="false">IF(COUNT(J36:Q36)=0,"",IF(MIN(J36:Q36)&gt;=Analisis_grupo!$B$7,"(ninguna)",INDEX($J$4:$Q$4,MATCH(MIN(J36:Q36),J36:Q36,0))))</f>
        <v/>
      </c>
      <c r="S36" s="2" t="str">
        <f aca="false">IF($B36="","",COUNTIF(J36:Q36,"&lt;"&amp;Analisis_grupo!$B$7))</f>
        <v/>
      </c>
      <c r="T36" s="2" t="str">
        <f aca="false">IF($B36="","",COUNTIFS(Datos_items!$B:$B,$B36,Datos_items!$AA:$AA,T$4,Datos_items!$E:$E,Analisis_grupo!$C$4))</f>
        <v/>
      </c>
      <c r="U36" s="2" t="str">
        <f aca="false">IF($B36="","",COUNTIFS(Datos_items!$B:$B,$B36,Datos_items!$AA:$AA,U$4,Datos_items!$E:$E,Analisis_grupo!$C$4))</f>
        <v/>
      </c>
      <c r="V36" s="2" t="str">
        <f aca="false">IF($B36="","",COUNTIFS(Datos_items!$B:$B,$B36,Datos_items!$AA:$AA,V$4,Datos_items!$E:$E,Analisis_grupo!$C$4))</f>
        <v/>
      </c>
      <c r="W36" s="2" t="str">
        <f aca="false">IF($B36="","",COUNTIFS(Datos_items!$B:$B,$B36,Datos_items!$AA:$AA,W$4,Datos_items!$E:$E,Analisis_grupo!$C$4))</f>
        <v/>
      </c>
      <c r="X36" s="2" t="str">
        <f aca="false">IF($B36="","",COUNTIFS(Datos_items!$B:$B,$B36,Datos_items!$AA:$AA,X$4,Datos_items!$E:$E,Analisis_grupo!$C$4))</f>
        <v/>
      </c>
      <c r="Y36" s="2" t="str">
        <f aca="false">IF($B36="","",COUNTIFS(Datos_items!$B:$B,$B36,Datos_items!$AA:$AA,Y$4,Datos_items!$E:$E,Analisis_grupo!$C$4))</f>
        <v/>
      </c>
      <c r="Z36" s="2" t="str">
        <f aca="false">IF($B36="","",COUNTIFS(Datos_items!$B:$B,$B36,Datos_items!$AA:$AA,Z$4,Datos_items!$E:$E,Analisis_grupo!$C$4))</f>
        <v/>
      </c>
      <c r="AA36" s="2" t="str">
        <f aca="false">IF($B36="","",COUNTIFS(Datos_items!$B:$B,$B36,Datos_items!$AA:$AA,AA$4,Datos_items!$E:$E,Analisis_grupo!$C$4))</f>
        <v/>
      </c>
      <c r="AB36" s="2" t="str">
        <f aca="false">IF($B36="","",COUNTIFS(Datos_items!$B:$B,$B36,Datos_items!$AA:$AA,AB$4,Datos_items!$E:$E,Analisis_grupo!$C$4))</f>
        <v/>
      </c>
      <c r="AC36" s="2" t="str">
        <f aca="false">IF($B36="","",COUNTIFS(Datos_items!$B:$B,$B36,Datos_items!$AA:$AA,AC$4,Datos_items!$E:$E,Analisis_grupo!$C$4))</f>
        <v/>
      </c>
      <c r="AD36" s="2" t="str">
        <f aca="false">IF($B36="","",COUNTIFS(Datos_items!$B:$B,$B36,Datos_items!$AA:$AA,AD$4,Datos_items!$E:$E,Analisis_grupo!$C$4))</f>
        <v/>
      </c>
      <c r="AE36" s="2" t="str">
        <f aca="false">IF($B36="","",COUNTIFS(Datos_items!$B:$B,$B36,Datos_items!$AA:$AA,AE$4,Datos_items!$E:$E,Analisis_grupo!$C$4))</f>
        <v/>
      </c>
      <c r="AF36" s="2" t="str">
        <f aca="false">IF($B36="","",COUNTIFS(Datos_items!$B:$B,$B36,Datos_items!$AA:$AA,AF$4,Datos_items!$E:$E,Analisis_grupo!$C$4))</f>
        <v/>
      </c>
      <c r="AG36" s="2" t="str">
        <f aca="false">IF($B36="","",COUNTIFS(Datos_items!$B:$B,$B36,Datos_items!$AA:$AA,AG$4,Datos_items!$E:$E,Analisis_grupo!$C$4))</f>
        <v/>
      </c>
      <c r="AH36" s="2" t="str">
        <f aca="false">IF($B36="","",COUNTIFS(Datos_items!$B:$B,$B36,Datos_items!$AA:$AA,AH$4,Datos_items!$E:$E,Analisis_grupo!$C$4))</f>
        <v/>
      </c>
      <c r="AI36" s="2" t="str">
        <f aca="false">IF($B36="","",COUNTIFS(Datos_items!$B:$B,$B36,Datos_items!$AA:$AA,AI$4,Datos_items!$E:$E,Analisis_grupo!$C$4))</f>
        <v/>
      </c>
      <c r="AJ36" s="2" t="str">
        <f aca="false">IF($B36="","",COUNTIFS(Datos_items!$B:$B,$B36,Datos_items!$AA:$AA,AJ$4,Datos_items!$E:$E,Analisis_grupo!$C$4))</f>
        <v/>
      </c>
      <c r="AK36" s="2" t="str">
        <f aca="false">IF($B36="","",COUNTIFS(Datos_items!$B:$B,$B36,Datos_items!$AA:$AA,AK$4,Datos_items!$E:$E,Analisis_grupo!$C$4))</f>
        <v/>
      </c>
      <c r="AL36" s="2" t="str">
        <f aca="false">IF($B36="","",COUNTIFS(Datos_items!$B:$B,$B36,Datos_items!$AA:$AA,AL$4,Datos_items!$E:$E,Analisis_grupo!$C$4))</f>
        <v/>
      </c>
      <c r="AM36" s="2" t="str">
        <f aca="false">IF($B36="","",IF(MAX(Y36:AL36)=0,"",INDEX($Y$4:$AL$4,MATCH(MAX(Y36:AL36),Y36:AL36,0))))</f>
        <v/>
      </c>
      <c r="AN36" s="2" t="str">
        <f aca="false">IF($B36="","",COUNTIFS(Datos_problemas!$B:$B,$B36,Datos_problemas!$F:$F,"Práctica"))</f>
        <v/>
      </c>
      <c r="AO36" s="2" t="str">
        <f aca="false">IF($B36="","",SUMIFS(Datos_problemas!$AQ:$AQ,Datos_problemas!$B:$B,$B36,Datos_problemas!$F:$F,"Práctica"))</f>
        <v/>
      </c>
      <c r="AP36" s="2" t="str">
        <f aca="false">IF($B36="","",COUNTIFS(Datos_problemas!$B:$B,$B36,Datos_problemas!$F:$F,"Práctica",Datos_problemas!$AS:$AS,"Sí"))</f>
        <v/>
      </c>
    </row>
    <row r="37" customFormat="false" ht="15" hidden="false" customHeight="false" outlineLevel="0" collapsed="false">
      <c r="A37" s="2" t="n">
        <v>33</v>
      </c>
      <c r="B37" s="2" t="str">
        <f aca="false">IFERROR(INDEX(Datos_problemas!$B:$B,MATCH($A37,Datos_problemas!$AV:$AV,0)),"")</f>
        <v/>
      </c>
      <c r="C37" s="2" t="str">
        <f aca="false">IF($B37="","",INDEX(Datos_problemas!$C:$C,MATCH($A37,Datos_problemas!$AV:$AV,0)))</f>
        <v/>
      </c>
      <c r="D37" s="2" t="str">
        <f aca="false">IF($B37="","",INDEX(Datos_problemas!$D:$D,MATCH($A37,Datos_problemas!$AV:$AV,0)))</f>
        <v/>
      </c>
      <c r="E37" s="2" t="str">
        <f aca="false">IF($B37="","",COUNTIFS(Datos_problemas!$B:$B,$B37,Datos_problemas!$F:$F,"Evaluación"))</f>
        <v/>
      </c>
      <c r="F37" s="20" t="str">
        <f aca="false">IF($B37="","",IFERROR(AVERAGEIFS(Datos_problemas!$AE:$AE,Datos_problemas!$B:$B,$B37,Datos_problemas!$F:$F,"Evaluación"),""))</f>
        <v/>
      </c>
      <c r="G37" s="20" t="str">
        <f aca="false">IF($B37="","",IFERROR(AVERAGEIFS(Datos_problemas!$AE:$AE,Datos_problemas!$B:$B,$B37,Datos_problemas!$F:$F,"Evaluación",Datos_problemas!$E:$E,"Diagnóstico"),""))</f>
        <v/>
      </c>
      <c r="H37" s="20" t="str">
        <f aca="false">IF($B37="","",IFERROR(AVERAGEIFS(Datos_problemas!$AE:$AE,Datos_problemas!$B:$B,$B37,Datos_problemas!$F:$F,"Evaluación",Datos_problemas!$E:$E,"Final"),""))</f>
        <v/>
      </c>
      <c r="I37" s="21" t="str">
        <f aca="false">IF(OR(G37="",H37=""),"",IF(G37&gt;=10,"",(H37-G37)/(10-G37)))</f>
        <v/>
      </c>
      <c r="J37" s="18" t="str">
        <f aca="false">IF($B37="","",IFERROR(SUMIFS(Datos_items!$Z:$Z,Datos_items!$B:$B,$B37,Datos_items!$O:$O,J$4,Datos_items!$E:$E,Analisis_grupo!$C$4)/COUNTIFS(Datos_items!$B:$B,$B37,Datos_items!$O:$O,J$4,Datos_items!$E:$E,Analisis_grupo!$C$4),""))</f>
        <v/>
      </c>
      <c r="K37" s="18" t="str">
        <f aca="false">IF($B37="","",IFERROR(SUMIFS(Datos_items!$Z:$Z,Datos_items!$B:$B,$B37,Datos_items!$O:$O,K$4,Datos_items!$E:$E,Analisis_grupo!$C$4)/COUNTIFS(Datos_items!$B:$B,$B37,Datos_items!$O:$O,K$4,Datos_items!$E:$E,Analisis_grupo!$C$4),""))</f>
        <v/>
      </c>
      <c r="L37" s="18" t="str">
        <f aca="false">IF($B37="","",IFERROR(SUMIFS(Datos_items!$Z:$Z,Datos_items!$B:$B,$B37,Datos_items!$O:$O,L$4,Datos_items!$E:$E,Analisis_grupo!$C$4)/COUNTIFS(Datos_items!$B:$B,$B37,Datos_items!$O:$O,L$4,Datos_items!$E:$E,Analisis_grupo!$C$4),""))</f>
        <v/>
      </c>
      <c r="M37" s="18" t="str">
        <f aca="false">IF($B37="","",IFERROR(SUMIFS(Datos_items!$Z:$Z,Datos_items!$B:$B,$B37,Datos_items!$O:$O,M$4,Datos_items!$E:$E,Analisis_grupo!$C$4)/COUNTIFS(Datos_items!$B:$B,$B37,Datos_items!$O:$O,M$4,Datos_items!$E:$E,Analisis_grupo!$C$4),""))</f>
        <v/>
      </c>
      <c r="N37" s="18" t="str">
        <f aca="false">IF($B37="","",IFERROR(SUMIFS(Datos_items!$Z:$Z,Datos_items!$B:$B,$B37,Datos_items!$O:$O,N$4,Datos_items!$E:$E,Analisis_grupo!$C$4)/COUNTIFS(Datos_items!$B:$B,$B37,Datos_items!$O:$O,N$4,Datos_items!$E:$E,Analisis_grupo!$C$4),""))</f>
        <v/>
      </c>
      <c r="O37" s="18" t="str">
        <f aca="false">IF($B37="","",IFERROR(SUMIFS(Datos_items!$Z:$Z,Datos_items!$B:$B,$B37,Datos_items!$O:$O,O$4,Datos_items!$E:$E,Analisis_grupo!$C$4)/COUNTIFS(Datos_items!$B:$B,$B37,Datos_items!$O:$O,O$4,Datos_items!$E:$E,Analisis_grupo!$C$4),""))</f>
        <v/>
      </c>
      <c r="P37" s="18" t="str">
        <f aca="false">IF($B37="","",IFERROR(SUMIFS(Datos_items!$Z:$Z,Datos_items!$B:$B,$B37,Datos_items!$O:$O,P$4,Datos_items!$E:$E,Analisis_grupo!$C$4)/COUNTIFS(Datos_items!$B:$B,$B37,Datos_items!$O:$O,P$4,Datos_items!$E:$E,Analisis_grupo!$C$4),""))</f>
        <v/>
      </c>
      <c r="Q37" s="18" t="str">
        <f aca="false">IF($B37="","",IFERROR(SUMIFS(Datos_items!$Z:$Z,Datos_items!$B:$B,$B37,Datos_items!$O:$O,Q$4,Datos_items!$E:$E,Analisis_grupo!$C$4)/COUNTIFS(Datos_items!$B:$B,$B37,Datos_items!$O:$O,Q$4,Datos_items!$E:$E,Analisis_grupo!$C$4),""))</f>
        <v/>
      </c>
      <c r="R37" s="2" t="str">
        <f aca="false">IF(COUNT(J37:Q37)=0,"",IF(MIN(J37:Q37)&gt;=Analisis_grupo!$B$7,"(ninguna)",INDEX($J$4:$Q$4,MATCH(MIN(J37:Q37),J37:Q37,0))))</f>
        <v/>
      </c>
      <c r="S37" s="2" t="str">
        <f aca="false">IF($B37="","",COUNTIF(J37:Q37,"&lt;"&amp;Analisis_grupo!$B$7))</f>
        <v/>
      </c>
      <c r="T37" s="2" t="str">
        <f aca="false">IF($B37="","",COUNTIFS(Datos_items!$B:$B,$B37,Datos_items!$AA:$AA,T$4,Datos_items!$E:$E,Analisis_grupo!$C$4))</f>
        <v/>
      </c>
      <c r="U37" s="2" t="str">
        <f aca="false">IF($B37="","",COUNTIFS(Datos_items!$B:$B,$B37,Datos_items!$AA:$AA,U$4,Datos_items!$E:$E,Analisis_grupo!$C$4))</f>
        <v/>
      </c>
      <c r="V37" s="2" t="str">
        <f aca="false">IF($B37="","",COUNTIFS(Datos_items!$B:$B,$B37,Datos_items!$AA:$AA,V$4,Datos_items!$E:$E,Analisis_grupo!$C$4))</f>
        <v/>
      </c>
      <c r="W37" s="2" t="str">
        <f aca="false">IF($B37="","",COUNTIFS(Datos_items!$B:$B,$B37,Datos_items!$AA:$AA,W$4,Datos_items!$E:$E,Analisis_grupo!$C$4))</f>
        <v/>
      </c>
      <c r="X37" s="2" t="str">
        <f aca="false">IF($B37="","",COUNTIFS(Datos_items!$B:$B,$B37,Datos_items!$AA:$AA,X$4,Datos_items!$E:$E,Analisis_grupo!$C$4))</f>
        <v/>
      </c>
      <c r="Y37" s="2" t="str">
        <f aca="false">IF($B37="","",COUNTIFS(Datos_items!$B:$B,$B37,Datos_items!$AA:$AA,Y$4,Datos_items!$E:$E,Analisis_grupo!$C$4))</f>
        <v/>
      </c>
      <c r="Z37" s="2" t="str">
        <f aca="false">IF($B37="","",COUNTIFS(Datos_items!$B:$B,$B37,Datos_items!$AA:$AA,Z$4,Datos_items!$E:$E,Analisis_grupo!$C$4))</f>
        <v/>
      </c>
      <c r="AA37" s="2" t="str">
        <f aca="false">IF($B37="","",COUNTIFS(Datos_items!$B:$B,$B37,Datos_items!$AA:$AA,AA$4,Datos_items!$E:$E,Analisis_grupo!$C$4))</f>
        <v/>
      </c>
      <c r="AB37" s="2" t="str">
        <f aca="false">IF($B37="","",COUNTIFS(Datos_items!$B:$B,$B37,Datos_items!$AA:$AA,AB$4,Datos_items!$E:$E,Analisis_grupo!$C$4))</f>
        <v/>
      </c>
      <c r="AC37" s="2" t="str">
        <f aca="false">IF($B37="","",COUNTIFS(Datos_items!$B:$B,$B37,Datos_items!$AA:$AA,AC$4,Datos_items!$E:$E,Analisis_grupo!$C$4))</f>
        <v/>
      </c>
      <c r="AD37" s="2" t="str">
        <f aca="false">IF($B37="","",COUNTIFS(Datos_items!$B:$B,$B37,Datos_items!$AA:$AA,AD$4,Datos_items!$E:$E,Analisis_grupo!$C$4))</f>
        <v/>
      </c>
      <c r="AE37" s="2" t="str">
        <f aca="false">IF($B37="","",COUNTIFS(Datos_items!$B:$B,$B37,Datos_items!$AA:$AA,AE$4,Datos_items!$E:$E,Analisis_grupo!$C$4))</f>
        <v/>
      </c>
      <c r="AF37" s="2" t="str">
        <f aca="false">IF($B37="","",COUNTIFS(Datos_items!$B:$B,$B37,Datos_items!$AA:$AA,AF$4,Datos_items!$E:$E,Analisis_grupo!$C$4))</f>
        <v/>
      </c>
      <c r="AG37" s="2" t="str">
        <f aca="false">IF($B37="","",COUNTIFS(Datos_items!$B:$B,$B37,Datos_items!$AA:$AA,AG$4,Datos_items!$E:$E,Analisis_grupo!$C$4))</f>
        <v/>
      </c>
      <c r="AH37" s="2" t="str">
        <f aca="false">IF($B37="","",COUNTIFS(Datos_items!$B:$B,$B37,Datos_items!$AA:$AA,AH$4,Datos_items!$E:$E,Analisis_grupo!$C$4))</f>
        <v/>
      </c>
      <c r="AI37" s="2" t="str">
        <f aca="false">IF($B37="","",COUNTIFS(Datos_items!$B:$B,$B37,Datos_items!$AA:$AA,AI$4,Datos_items!$E:$E,Analisis_grupo!$C$4))</f>
        <v/>
      </c>
      <c r="AJ37" s="2" t="str">
        <f aca="false">IF($B37="","",COUNTIFS(Datos_items!$B:$B,$B37,Datos_items!$AA:$AA,AJ$4,Datos_items!$E:$E,Analisis_grupo!$C$4))</f>
        <v/>
      </c>
      <c r="AK37" s="2" t="str">
        <f aca="false">IF($B37="","",COUNTIFS(Datos_items!$B:$B,$B37,Datos_items!$AA:$AA,AK$4,Datos_items!$E:$E,Analisis_grupo!$C$4))</f>
        <v/>
      </c>
      <c r="AL37" s="2" t="str">
        <f aca="false">IF($B37="","",COUNTIFS(Datos_items!$B:$B,$B37,Datos_items!$AA:$AA,AL$4,Datos_items!$E:$E,Analisis_grupo!$C$4))</f>
        <v/>
      </c>
      <c r="AM37" s="2" t="str">
        <f aca="false">IF($B37="","",IF(MAX(Y37:AL37)=0,"",INDEX($Y$4:$AL$4,MATCH(MAX(Y37:AL37),Y37:AL37,0))))</f>
        <v/>
      </c>
      <c r="AN37" s="2" t="str">
        <f aca="false">IF($B37="","",COUNTIFS(Datos_problemas!$B:$B,$B37,Datos_problemas!$F:$F,"Práctica"))</f>
        <v/>
      </c>
      <c r="AO37" s="2" t="str">
        <f aca="false">IF($B37="","",SUMIFS(Datos_problemas!$AQ:$AQ,Datos_problemas!$B:$B,$B37,Datos_problemas!$F:$F,"Práctica"))</f>
        <v/>
      </c>
      <c r="AP37" s="2" t="str">
        <f aca="false">IF($B37="","",COUNTIFS(Datos_problemas!$B:$B,$B37,Datos_problemas!$F:$F,"Práctica",Datos_problemas!$AS:$AS,"Sí"))</f>
        <v/>
      </c>
    </row>
    <row r="38" customFormat="false" ht="15" hidden="false" customHeight="false" outlineLevel="0" collapsed="false">
      <c r="A38" s="2" t="n">
        <v>34</v>
      </c>
      <c r="B38" s="2" t="str">
        <f aca="false">IFERROR(INDEX(Datos_problemas!$B:$B,MATCH($A38,Datos_problemas!$AV:$AV,0)),"")</f>
        <v/>
      </c>
      <c r="C38" s="2" t="str">
        <f aca="false">IF($B38="","",INDEX(Datos_problemas!$C:$C,MATCH($A38,Datos_problemas!$AV:$AV,0)))</f>
        <v/>
      </c>
      <c r="D38" s="2" t="str">
        <f aca="false">IF($B38="","",INDEX(Datos_problemas!$D:$D,MATCH($A38,Datos_problemas!$AV:$AV,0)))</f>
        <v/>
      </c>
      <c r="E38" s="2" t="str">
        <f aca="false">IF($B38="","",COUNTIFS(Datos_problemas!$B:$B,$B38,Datos_problemas!$F:$F,"Evaluación"))</f>
        <v/>
      </c>
      <c r="F38" s="20" t="str">
        <f aca="false">IF($B38="","",IFERROR(AVERAGEIFS(Datos_problemas!$AE:$AE,Datos_problemas!$B:$B,$B38,Datos_problemas!$F:$F,"Evaluación"),""))</f>
        <v/>
      </c>
      <c r="G38" s="20" t="str">
        <f aca="false">IF($B38="","",IFERROR(AVERAGEIFS(Datos_problemas!$AE:$AE,Datos_problemas!$B:$B,$B38,Datos_problemas!$F:$F,"Evaluación",Datos_problemas!$E:$E,"Diagnóstico"),""))</f>
        <v/>
      </c>
      <c r="H38" s="20" t="str">
        <f aca="false">IF($B38="","",IFERROR(AVERAGEIFS(Datos_problemas!$AE:$AE,Datos_problemas!$B:$B,$B38,Datos_problemas!$F:$F,"Evaluación",Datos_problemas!$E:$E,"Final"),""))</f>
        <v/>
      </c>
      <c r="I38" s="21" t="str">
        <f aca="false">IF(OR(G38="",H38=""),"",IF(G38&gt;=10,"",(H38-G38)/(10-G38)))</f>
        <v/>
      </c>
      <c r="J38" s="18" t="str">
        <f aca="false">IF($B38="","",IFERROR(SUMIFS(Datos_items!$Z:$Z,Datos_items!$B:$B,$B38,Datos_items!$O:$O,J$4,Datos_items!$E:$E,Analisis_grupo!$C$4)/COUNTIFS(Datos_items!$B:$B,$B38,Datos_items!$O:$O,J$4,Datos_items!$E:$E,Analisis_grupo!$C$4),""))</f>
        <v/>
      </c>
      <c r="K38" s="18" t="str">
        <f aca="false">IF($B38="","",IFERROR(SUMIFS(Datos_items!$Z:$Z,Datos_items!$B:$B,$B38,Datos_items!$O:$O,K$4,Datos_items!$E:$E,Analisis_grupo!$C$4)/COUNTIFS(Datos_items!$B:$B,$B38,Datos_items!$O:$O,K$4,Datos_items!$E:$E,Analisis_grupo!$C$4),""))</f>
        <v/>
      </c>
      <c r="L38" s="18" t="str">
        <f aca="false">IF($B38="","",IFERROR(SUMIFS(Datos_items!$Z:$Z,Datos_items!$B:$B,$B38,Datos_items!$O:$O,L$4,Datos_items!$E:$E,Analisis_grupo!$C$4)/COUNTIFS(Datos_items!$B:$B,$B38,Datos_items!$O:$O,L$4,Datos_items!$E:$E,Analisis_grupo!$C$4),""))</f>
        <v/>
      </c>
      <c r="M38" s="18" t="str">
        <f aca="false">IF($B38="","",IFERROR(SUMIFS(Datos_items!$Z:$Z,Datos_items!$B:$B,$B38,Datos_items!$O:$O,M$4,Datos_items!$E:$E,Analisis_grupo!$C$4)/COUNTIFS(Datos_items!$B:$B,$B38,Datos_items!$O:$O,M$4,Datos_items!$E:$E,Analisis_grupo!$C$4),""))</f>
        <v/>
      </c>
      <c r="N38" s="18" t="str">
        <f aca="false">IF($B38="","",IFERROR(SUMIFS(Datos_items!$Z:$Z,Datos_items!$B:$B,$B38,Datos_items!$O:$O,N$4,Datos_items!$E:$E,Analisis_grupo!$C$4)/COUNTIFS(Datos_items!$B:$B,$B38,Datos_items!$O:$O,N$4,Datos_items!$E:$E,Analisis_grupo!$C$4),""))</f>
        <v/>
      </c>
      <c r="O38" s="18" t="str">
        <f aca="false">IF($B38="","",IFERROR(SUMIFS(Datos_items!$Z:$Z,Datos_items!$B:$B,$B38,Datos_items!$O:$O,O$4,Datos_items!$E:$E,Analisis_grupo!$C$4)/COUNTIFS(Datos_items!$B:$B,$B38,Datos_items!$O:$O,O$4,Datos_items!$E:$E,Analisis_grupo!$C$4),""))</f>
        <v/>
      </c>
      <c r="P38" s="18" t="str">
        <f aca="false">IF($B38="","",IFERROR(SUMIFS(Datos_items!$Z:$Z,Datos_items!$B:$B,$B38,Datos_items!$O:$O,P$4,Datos_items!$E:$E,Analisis_grupo!$C$4)/COUNTIFS(Datos_items!$B:$B,$B38,Datos_items!$O:$O,P$4,Datos_items!$E:$E,Analisis_grupo!$C$4),""))</f>
        <v/>
      </c>
      <c r="Q38" s="18" t="str">
        <f aca="false">IF($B38="","",IFERROR(SUMIFS(Datos_items!$Z:$Z,Datos_items!$B:$B,$B38,Datos_items!$O:$O,Q$4,Datos_items!$E:$E,Analisis_grupo!$C$4)/COUNTIFS(Datos_items!$B:$B,$B38,Datos_items!$O:$O,Q$4,Datos_items!$E:$E,Analisis_grupo!$C$4),""))</f>
        <v/>
      </c>
      <c r="R38" s="2" t="str">
        <f aca="false">IF(COUNT(J38:Q38)=0,"",IF(MIN(J38:Q38)&gt;=Analisis_grupo!$B$7,"(ninguna)",INDEX($J$4:$Q$4,MATCH(MIN(J38:Q38),J38:Q38,0))))</f>
        <v/>
      </c>
      <c r="S38" s="2" t="str">
        <f aca="false">IF($B38="","",COUNTIF(J38:Q38,"&lt;"&amp;Analisis_grupo!$B$7))</f>
        <v/>
      </c>
      <c r="T38" s="2" t="str">
        <f aca="false">IF($B38="","",COUNTIFS(Datos_items!$B:$B,$B38,Datos_items!$AA:$AA,T$4,Datos_items!$E:$E,Analisis_grupo!$C$4))</f>
        <v/>
      </c>
      <c r="U38" s="2" t="str">
        <f aca="false">IF($B38="","",COUNTIFS(Datos_items!$B:$B,$B38,Datos_items!$AA:$AA,U$4,Datos_items!$E:$E,Analisis_grupo!$C$4))</f>
        <v/>
      </c>
      <c r="V38" s="2" t="str">
        <f aca="false">IF($B38="","",COUNTIFS(Datos_items!$B:$B,$B38,Datos_items!$AA:$AA,V$4,Datos_items!$E:$E,Analisis_grupo!$C$4))</f>
        <v/>
      </c>
      <c r="W38" s="2" t="str">
        <f aca="false">IF($B38="","",COUNTIFS(Datos_items!$B:$B,$B38,Datos_items!$AA:$AA,W$4,Datos_items!$E:$E,Analisis_grupo!$C$4))</f>
        <v/>
      </c>
      <c r="X38" s="2" t="str">
        <f aca="false">IF($B38="","",COUNTIFS(Datos_items!$B:$B,$B38,Datos_items!$AA:$AA,X$4,Datos_items!$E:$E,Analisis_grupo!$C$4))</f>
        <v/>
      </c>
      <c r="Y38" s="2" t="str">
        <f aca="false">IF($B38="","",COUNTIFS(Datos_items!$B:$B,$B38,Datos_items!$AA:$AA,Y$4,Datos_items!$E:$E,Analisis_grupo!$C$4))</f>
        <v/>
      </c>
      <c r="Z38" s="2" t="str">
        <f aca="false">IF($B38="","",COUNTIFS(Datos_items!$B:$B,$B38,Datos_items!$AA:$AA,Z$4,Datos_items!$E:$E,Analisis_grupo!$C$4))</f>
        <v/>
      </c>
      <c r="AA38" s="2" t="str">
        <f aca="false">IF($B38="","",COUNTIFS(Datos_items!$B:$B,$B38,Datos_items!$AA:$AA,AA$4,Datos_items!$E:$E,Analisis_grupo!$C$4))</f>
        <v/>
      </c>
      <c r="AB38" s="2" t="str">
        <f aca="false">IF($B38="","",COUNTIFS(Datos_items!$B:$B,$B38,Datos_items!$AA:$AA,AB$4,Datos_items!$E:$E,Analisis_grupo!$C$4))</f>
        <v/>
      </c>
      <c r="AC38" s="2" t="str">
        <f aca="false">IF($B38="","",COUNTIFS(Datos_items!$B:$B,$B38,Datos_items!$AA:$AA,AC$4,Datos_items!$E:$E,Analisis_grupo!$C$4))</f>
        <v/>
      </c>
      <c r="AD38" s="2" t="str">
        <f aca="false">IF($B38="","",COUNTIFS(Datos_items!$B:$B,$B38,Datos_items!$AA:$AA,AD$4,Datos_items!$E:$E,Analisis_grupo!$C$4))</f>
        <v/>
      </c>
      <c r="AE38" s="2" t="str">
        <f aca="false">IF($B38="","",COUNTIFS(Datos_items!$B:$B,$B38,Datos_items!$AA:$AA,AE$4,Datos_items!$E:$E,Analisis_grupo!$C$4))</f>
        <v/>
      </c>
      <c r="AF38" s="2" t="str">
        <f aca="false">IF($B38="","",COUNTIFS(Datos_items!$B:$B,$B38,Datos_items!$AA:$AA,AF$4,Datos_items!$E:$E,Analisis_grupo!$C$4))</f>
        <v/>
      </c>
      <c r="AG38" s="2" t="str">
        <f aca="false">IF($B38="","",COUNTIFS(Datos_items!$B:$B,$B38,Datos_items!$AA:$AA,AG$4,Datos_items!$E:$E,Analisis_grupo!$C$4))</f>
        <v/>
      </c>
      <c r="AH38" s="2" t="str">
        <f aca="false">IF($B38="","",COUNTIFS(Datos_items!$B:$B,$B38,Datos_items!$AA:$AA,AH$4,Datos_items!$E:$E,Analisis_grupo!$C$4))</f>
        <v/>
      </c>
      <c r="AI38" s="2" t="str">
        <f aca="false">IF($B38="","",COUNTIFS(Datos_items!$B:$B,$B38,Datos_items!$AA:$AA,AI$4,Datos_items!$E:$E,Analisis_grupo!$C$4))</f>
        <v/>
      </c>
      <c r="AJ38" s="2" t="str">
        <f aca="false">IF($B38="","",COUNTIFS(Datos_items!$B:$B,$B38,Datos_items!$AA:$AA,AJ$4,Datos_items!$E:$E,Analisis_grupo!$C$4))</f>
        <v/>
      </c>
      <c r="AK38" s="2" t="str">
        <f aca="false">IF($B38="","",COUNTIFS(Datos_items!$B:$B,$B38,Datos_items!$AA:$AA,AK$4,Datos_items!$E:$E,Analisis_grupo!$C$4))</f>
        <v/>
      </c>
      <c r="AL38" s="2" t="str">
        <f aca="false">IF($B38="","",COUNTIFS(Datos_items!$B:$B,$B38,Datos_items!$AA:$AA,AL$4,Datos_items!$E:$E,Analisis_grupo!$C$4))</f>
        <v/>
      </c>
      <c r="AM38" s="2" t="str">
        <f aca="false">IF($B38="","",IF(MAX(Y38:AL38)=0,"",INDEX($Y$4:$AL$4,MATCH(MAX(Y38:AL38),Y38:AL38,0))))</f>
        <v/>
      </c>
      <c r="AN38" s="2" t="str">
        <f aca="false">IF($B38="","",COUNTIFS(Datos_problemas!$B:$B,$B38,Datos_problemas!$F:$F,"Práctica"))</f>
        <v/>
      </c>
      <c r="AO38" s="2" t="str">
        <f aca="false">IF($B38="","",SUMIFS(Datos_problemas!$AQ:$AQ,Datos_problemas!$B:$B,$B38,Datos_problemas!$F:$F,"Práctica"))</f>
        <v/>
      </c>
      <c r="AP38" s="2" t="str">
        <f aca="false">IF($B38="","",COUNTIFS(Datos_problemas!$B:$B,$B38,Datos_problemas!$F:$F,"Práctica",Datos_problemas!$AS:$AS,"Sí"))</f>
        <v/>
      </c>
    </row>
    <row r="39" customFormat="false" ht="15" hidden="false" customHeight="false" outlineLevel="0" collapsed="false">
      <c r="A39" s="2" t="n">
        <v>35</v>
      </c>
      <c r="B39" s="2" t="str">
        <f aca="false">IFERROR(INDEX(Datos_problemas!$B:$B,MATCH($A39,Datos_problemas!$AV:$AV,0)),"")</f>
        <v/>
      </c>
      <c r="C39" s="2" t="str">
        <f aca="false">IF($B39="","",INDEX(Datos_problemas!$C:$C,MATCH($A39,Datos_problemas!$AV:$AV,0)))</f>
        <v/>
      </c>
      <c r="D39" s="2" t="str">
        <f aca="false">IF($B39="","",INDEX(Datos_problemas!$D:$D,MATCH($A39,Datos_problemas!$AV:$AV,0)))</f>
        <v/>
      </c>
      <c r="E39" s="2" t="str">
        <f aca="false">IF($B39="","",COUNTIFS(Datos_problemas!$B:$B,$B39,Datos_problemas!$F:$F,"Evaluación"))</f>
        <v/>
      </c>
      <c r="F39" s="20" t="str">
        <f aca="false">IF($B39="","",IFERROR(AVERAGEIFS(Datos_problemas!$AE:$AE,Datos_problemas!$B:$B,$B39,Datos_problemas!$F:$F,"Evaluación"),""))</f>
        <v/>
      </c>
      <c r="G39" s="20" t="str">
        <f aca="false">IF($B39="","",IFERROR(AVERAGEIFS(Datos_problemas!$AE:$AE,Datos_problemas!$B:$B,$B39,Datos_problemas!$F:$F,"Evaluación",Datos_problemas!$E:$E,"Diagnóstico"),""))</f>
        <v/>
      </c>
      <c r="H39" s="20" t="str">
        <f aca="false">IF($B39="","",IFERROR(AVERAGEIFS(Datos_problemas!$AE:$AE,Datos_problemas!$B:$B,$B39,Datos_problemas!$F:$F,"Evaluación",Datos_problemas!$E:$E,"Final"),""))</f>
        <v/>
      </c>
      <c r="I39" s="21" t="str">
        <f aca="false">IF(OR(G39="",H39=""),"",IF(G39&gt;=10,"",(H39-G39)/(10-G39)))</f>
        <v/>
      </c>
      <c r="J39" s="18" t="str">
        <f aca="false">IF($B39="","",IFERROR(SUMIFS(Datos_items!$Z:$Z,Datos_items!$B:$B,$B39,Datos_items!$O:$O,J$4,Datos_items!$E:$E,Analisis_grupo!$C$4)/COUNTIFS(Datos_items!$B:$B,$B39,Datos_items!$O:$O,J$4,Datos_items!$E:$E,Analisis_grupo!$C$4),""))</f>
        <v/>
      </c>
      <c r="K39" s="18" t="str">
        <f aca="false">IF($B39="","",IFERROR(SUMIFS(Datos_items!$Z:$Z,Datos_items!$B:$B,$B39,Datos_items!$O:$O,K$4,Datos_items!$E:$E,Analisis_grupo!$C$4)/COUNTIFS(Datos_items!$B:$B,$B39,Datos_items!$O:$O,K$4,Datos_items!$E:$E,Analisis_grupo!$C$4),""))</f>
        <v/>
      </c>
      <c r="L39" s="18" t="str">
        <f aca="false">IF($B39="","",IFERROR(SUMIFS(Datos_items!$Z:$Z,Datos_items!$B:$B,$B39,Datos_items!$O:$O,L$4,Datos_items!$E:$E,Analisis_grupo!$C$4)/COUNTIFS(Datos_items!$B:$B,$B39,Datos_items!$O:$O,L$4,Datos_items!$E:$E,Analisis_grupo!$C$4),""))</f>
        <v/>
      </c>
      <c r="M39" s="18" t="str">
        <f aca="false">IF($B39="","",IFERROR(SUMIFS(Datos_items!$Z:$Z,Datos_items!$B:$B,$B39,Datos_items!$O:$O,M$4,Datos_items!$E:$E,Analisis_grupo!$C$4)/COUNTIFS(Datos_items!$B:$B,$B39,Datos_items!$O:$O,M$4,Datos_items!$E:$E,Analisis_grupo!$C$4),""))</f>
        <v/>
      </c>
      <c r="N39" s="18" t="str">
        <f aca="false">IF($B39="","",IFERROR(SUMIFS(Datos_items!$Z:$Z,Datos_items!$B:$B,$B39,Datos_items!$O:$O,N$4,Datos_items!$E:$E,Analisis_grupo!$C$4)/COUNTIFS(Datos_items!$B:$B,$B39,Datos_items!$O:$O,N$4,Datos_items!$E:$E,Analisis_grupo!$C$4),""))</f>
        <v/>
      </c>
      <c r="O39" s="18" t="str">
        <f aca="false">IF($B39="","",IFERROR(SUMIFS(Datos_items!$Z:$Z,Datos_items!$B:$B,$B39,Datos_items!$O:$O,O$4,Datos_items!$E:$E,Analisis_grupo!$C$4)/COUNTIFS(Datos_items!$B:$B,$B39,Datos_items!$O:$O,O$4,Datos_items!$E:$E,Analisis_grupo!$C$4),""))</f>
        <v/>
      </c>
      <c r="P39" s="18" t="str">
        <f aca="false">IF($B39="","",IFERROR(SUMIFS(Datos_items!$Z:$Z,Datos_items!$B:$B,$B39,Datos_items!$O:$O,P$4,Datos_items!$E:$E,Analisis_grupo!$C$4)/COUNTIFS(Datos_items!$B:$B,$B39,Datos_items!$O:$O,P$4,Datos_items!$E:$E,Analisis_grupo!$C$4),""))</f>
        <v/>
      </c>
      <c r="Q39" s="18" t="str">
        <f aca="false">IF($B39="","",IFERROR(SUMIFS(Datos_items!$Z:$Z,Datos_items!$B:$B,$B39,Datos_items!$O:$O,Q$4,Datos_items!$E:$E,Analisis_grupo!$C$4)/COUNTIFS(Datos_items!$B:$B,$B39,Datos_items!$O:$O,Q$4,Datos_items!$E:$E,Analisis_grupo!$C$4),""))</f>
        <v/>
      </c>
      <c r="R39" s="2" t="str">
        <f aca="false">IF(COUNT(J39:Q39)=0,"",IF(MIN(J39:Q39)&gt;=Analisis_grupo!$B$7,"(ninguna)",INDEX($J$4:$Q$4,MATCH(MIN(J39:Q39),J39:Q39,0))))</f>
        <v/>
      </c>
      <c r="S39" s="2" t="str">
        <f aca="false">IF($B39="","",COUNTIF(J39:Q39,"&lt;"&amp;Analisis_grupo!$B$7))</f>
        <v/>
      </c>
      <c r="T39" s="2" t="str">
        <f aca="false">IF($B39="","",COUNTIFS(Datos_items!$B:$B,$B39,Datos_items!$AA:$AA,T$4,Datos_items!$E:$E,Analisis_grupo!$C$4))</f>
        <v/>
      </c>
      <c r="U39" s="2" t="str">
        <f aca="false">IF($B39="","",COUNTIFS(Datos_items!$B:$B,$B39,Datos_items!$AA:$AA,U$4,Datos_items!$E:$E,Analisis_grupo!$C$4))</f>
        <v/>
      </c>
      <c r="V39" s="2" t="str">
        <f aca="false">IF($B39="","",COUNTIFS(Datos_items!$B:$B,$B39,Datos_items!$AA:$AA,V$4,Datos_items!$E:$E,Analisis_grupo!$C$4))</f>
        <v/>
      </c>
      <c r="W39" s="2" t="str">
        <f aca="false">IF($B39="","",COUNTIFS(Datos_items!$B:$B,$B39,Datos_items!$AA:$AA,W$4,Datos_items!$E:$E,Analisis_grupo!$C$4))</f>
        <v/>
      </c>
      <c r="X39" s="2" t="str">
        <f aca="false">IF($B39="","",COUNTIFS(Datos_items!$B:$B,$B39,Datos_items!$AA:$AA,X$4,Datos_items!$E:$E,Analisis_grupo!$C$4))</f>
        <v/>
      </c>
      <c r="Y39" s="2" t="str">
        <f aca="false">IF($B39="","",COUNTIFS(Datos_items!$B:$B,$B39,Datos_items!$AA:$AA,Y$4,Datos_items!$E:$E,Analisis_grupo!$C$4))</f>
        <v/>
      </c>
      <c r="Z39" s="2" t="str">
        <f aca="false">IF($B39="","",COUNTIFS(Datos_items!$B:$B,$B39,Datos_items!$AA:$AA,Z$4,Datos_items!$E:$E,Analisis_grupo!$C$4))</f>
        <v/>
      </c>
      <c r="AA39" s="2" t="str">
        <f aca="false">IF($B39="","",COUNTIFS(Datos_items!$B:$B,$B39,Datos_items!$AA:$AA,AA$4,Datos_items!$E:$E,Analisis_grupo!$C$4))</f>
        <v/>
      </c>
      <c r="AB39" s="2" t="str">
        <f aca="false">IF($B39="","",COUNTIFS(Datos_items!$B:$B,$B39,Datos_items!$AA:$AA,AB$4,Datos_items!$E:$E,Analisis_grupo!$C$4))</f>
        <v/>
      </c>
      <c r="AC39" s="2" t="str">
        <f aca="false">IF($B39="","",COUNTIFS(Datos_items!$B:$B,$B39,Datos_items!$AA:$AA,AC$4,Datos_items!$E:$E,Analisis_grupo!$C$4))</f>
        <v/>
      </c>
      <c r="AD39" s="2" t="str">
        <f aca="false">IF($B39="","",COUNTIFS(Datos_items!$B:$B,$B39,Datos_items!$AA:$AA,AD$4,Datos_items!$E:$E,Analisis_grupo!$C$4))</f>
        <v/>
      </c>
      <c r="AE39" s="2" t="str">
        <f aca="false">IF($B39="","",COUNTIFS(Datos_items!$B:$B,$B39,Datos_items!$AA:$AA,AE$4,Datos_items!$E:$E,Analisis_grupo!$C$4))</f>
        <v/>
      </c>
      <c r="AF39" s="2" t="str">
        <f aca="false">IF($B39="","",COUNTIFS(Datos_items!$B:$B,$B39,Datos_items!$AA:$AA,AF$4,Datos_items!$E:$E,Analisis_grupo!$C$4))</f>
        <v/>
      </c>
      <c r="AG39" s="2" t="str">
        <f aca="false">IF($B39="","",COUNTIFS(Datos_items!$B:$B,$B39,Datos_items!$AA:$AA,AG$4,Datos_items!$E:$E,Analisis_grupo!$C$4))</f>
        <v/>
      </c>
      <c r="AH39" s="2" t="str">
        <f aca="false">IF($B39="","",COUNTIFS(Datos_items!$B:$B,$B39,Datos_items!$AA:$AA,AH$4,Datos_items!$E:$E,Analisis_grupo!$C$4))</f>
        <v/>
      </c>
      <c r="AI39" s="2" t="str">
        <f aca="false">IF($B39="","",COUNTIFS(Datos_items!$B:$B,$B39,Datos_items!$AA:$AA,AI$4,Datos_items!$E:$E,Analisis_grupo!$C$4))</f>
        <v/>
      </c>
      <c r="AJ39" s="2" t="str">
        <f aca="false">IF($B39="","",COUNTIFS(Datos_items!$B:$B,$B39,Datos_items!$AA:$AA,AJ$4,Datos_items!$E:$E,Analisis_grupo!$C$4))</f>
        <v/>
      </c>
      <c r="AK39" s="2" t="str">
        <f aca="false">IF($B39="","",COUNTIFS(Datos_items!$B:$B,$B39,Datos_items!$AA:$AA,AK$4,Datos_items!$E:$E,Analisis_grupo!$C$4))</f>
        <v/>
      </c>
      <c r="AL39" s="2" t="str">
        <f aca="false">IF($B39="","",COUNTIFS(Datos_items!$B:$B,$B39,Datos_items!$AA:$AA,AL$4,Datos_items!$E:$E,Analisis_grupo!$C$4))</f>
        <v/>
      </c>
      <c r="AM39" s="2" t="str">
        <f aca="false">IF($B39="","",IF(MAX(Y39:AL39)=0,"",INDEX($Y$4:$AL$4,MATCH(MAX(Y39:AL39),Y39:AL39,0))))</f>
        <v/>
      </c>
      <c r="AN39" s="2" t="str">
        <f aca="false">IF($B39="","",COUNTIFS(Datos_problemas!$B:$B,$B39,Datos_problemas!$F:$F,"Práctica"))</f>
        <v/>
      </c>
      <c r="AO39" s="2" t="str">
        <f aca="false">IF($B39="","",SUMIFS(Datos_problemas!$AQ:$AQ,Datos_problemas!$B:$B,$B39,Datos_problemas!$F:$F,"Práctica"))</f>
        <v/>
      </c>
      <c r="AP39" s="2" t="str">
        <f aca="false">IF($B39="","",COUNTIFS(Datos_problemas!$B:$B,$B39,Datos_problemas!$F:$F,"Práctica",Datos_problemas!$AS:$AS,"Sí"))</f>
        <v/>
      </c>
    </row>
    <row r="40" customFormat="false" ht="15" hidden="false" customHeight="false" outlineLevel="0" collapsed="false">
      <c r="A40" s="2" t="n">
        <v>36</v>
      </c>
      <c r="B40" s="2" t="str">
        <f aca="false">IFERROR(INDEX(Datos_problemas!$B:$B,MATCH($A40,Datos_problemas!$AV:$AV,0)),"")</f>
        <v/>
      </c>
      <c r="C40" s="2" t="str">
        <f aca="false">IF($B40="","",INDEX(Datos_problemas!$C:$C,MATCH($A40,Datos_problemas!$AV:$AV,0)))</f>
        <v/>
      </c>
      <c r="D40" s="2" t="str">
        <f aca="false">IF($B40="","",INDEX(Datos_problemas!$D:$D,MATCH($A40,Datos_problemas!$AV:$AV,0)))</f>
        <v/>
      </c>
      <c r="E40" s="2" t="str">
        <f aca="false">IF($B40="","",COUNTIFS(Datos_problemas!$B:$B,$B40,Datos_problemas!$F:$F,"Evaluación"))</f>
        <v/>
      </c>
      <c r="F40" s="20" t="str">
        <f aca="false">IF($B40="","",IFERROR(AVERAGEIFS(Datos_problemas!$AE:$AE,Datos_problemas!$B:$B,$B40,Datos_problemas!$F:$F,"Evaluación"),""))</f>
        <v/>
      </c>
      <c r="G40" s="20" t="str">
        <f aca="false">IF($B40="","",IFERROR(AVERAGEIFS(Datos_problemas!$AE:$AE,Datos_problemas!$B:$B,$B40,Datos_problemas!$F:$F,"Evaluación",Datos_problemas!$E:$E,"Diagnóstico"),""))</f>
        <v/>
      </c>
      <c r="H40" s="20" t="str">
        <f aca="false">IF($B40="","",IFERROR(AVERAGEIFS(Datos_problemas!$AE:$AE,Datos_problemas!$B:$B,$B40,Datos_problemas!$F:$F,"Evaluación",Datos_problemas!$E:$E,"Final"),""))</f>
        <v/>
      </c>
      <c r="I40" s="21" t="str">
        <f aca="false">IF(OR(G40="",H40=""),"",IF(G40&gt;=10,"",(H40-G40)/(10-G40)))</f>
        <v/>
      </c>
      <c r="J40" s="18" t="str">
        <f aca="false">IF($B40="","",IFERROR(SUMIFS(Datos_items!$Z:$Z,Datos_items!$B:$B,$B40,Datos_items!$O:$O,J$4,Datos_items!$E:$E,Analisis_grupo!$C$4)/COUNTIFS(Datos_items!$B:$B,$B40,Datos_items!$O:$O,J$4,Datos_items!$E:$E,Analisis_grupo!$C$4),""))</f>
        <v/>
      </c>
      <c r="K40" s="18" t="str">
        <f aca="false">IF($B40="","",IFERROR(SUMIFS(Datos_items!$Z:$Z,Datos_items!$B:$B,$B40,Datos_items!$O:$O,K$4,Datos_items!$E:$E,Analisis_grupo!$C$4)/COUNTIFS(Datos_items!$B:$B,$B40,Datos_items!$O:$O,K$4,Datos_items!$E:$E,Analisis_grupo!$C$4),""))</f>
        <v/>
      </c>
      <c r="L40" s="18" t="str">
        <f aca="false">IF($B40="","",IFERROR(SUMIFS(Datos_items!$Z:$Z,Datos_items!$B:$B,$B40,Datos_items!$O:$O,L$4,Datos_items!$E:$E,Analisis_grupo!$C$4)/COUNTIFS(Datos_items!$B:$B,$B40,Datos_items!$O:$O,L$4,Datos_items!$E:$E,Analisis_grupo!$C$4),""))</f>
        <v/>
      </c>
      <c r="M40" s="18" t="str">
        <f aca="false">IF($B40="","",IFERROR(SUMIFS(Datos_items!$Z:$Z,Datos_items!$B:$B,$B40,Datos_items!$O:$O,M$4,Datos_items!$E:$E,Analisis_grupo!$C$4)/COUNTIFS(Datos_items!$B:$B,$B40,Datos_items!$O:$O,M$4,Datos_items!$E:$E,Analisis_grupo!$C$4),""))</f>
        <v/>
      </c>
      <c r="N40" s="18" t="str">
        <f aca="false">IF($B40="","",IFERROR(SUMIFS(Datos_items!$Z:$Z,Datos_items!$B:$B,$B40,Datos_items!$O:$O,N$4,Datos_items!$E:$E,Analisis_grupo!$C$4)/COUNTIFS(Datos_items!$B:$B,$B40,Datos_items!$O:$O,N$4,Datos_items!$E:$E,Analisis_grupo!$C$4),""))</f>
        <v/>
      </c>
      <c r="O40" s="18" t="str">
        <f aca="false">IF($B40="","",IFERROR(SUMIFS(Datos_items!$Z:$Z,Datos_items!$B:$B,$B40,Datos_items!$O:$O,O$4,Datos_items!$E:$E,Analisis_grupo!$C$4)/COUNTIFS(Datos_items!$B:$B,$B40,Datos_items!$O:$O,O$4,Datos_items!$E:$E,Analisis_grupo!$C$4),""))</f>
        <v/>
      </c>
      <c r="P40" s="18" t="str">
        <f aca="false">IF($B40="","",IFERROR(SUMIFS(Datos_items!$Z:$Z,Datos_items!$B:$B,$B40,Datos_items!$O:$O,P$4,Datos_items!$E:$E,Analisis_grupo!$C$4)/COUNTIFS(Datos_items!$B:$B,$B40,Datos_items!$O:$O,P$4,Datos_items!$E:$E,Analisis_grupo!$C$4),""))</f>
        <v/>
      </c>
      <c r="Q40" s="18" t="str">
        <f aca="false">IF($B40="","",IFERROR(SUMIFS(Datos_items!$Z:$Z,Datos_items!$B:$B,$B40,Datos_items!$O:$O,Q$4,Datos_items!$E:$E,Analisis_grupo!$C$4)/COUNTIFS(Datos_items!$B:$B,$B40,Datos_items!$O:$O,Q$4,Datos_items!$E:$E,Analisis_grupo!$C$4),""))</f>
        <v/>
      </c>
      <c r="R40" s="2" t="str">
        <f aca="false">IF(COUNT(J40:Q40)=0,"",IF(MIN(J40:Q40)&gt;=Analisis_grupo!$B$7,"(ninguna)",INDEX($J$4:$Q$4,MATCH(MIN(J40:Q40),J40:Q40,0))))</f>
        <v/>
      </c>
      <c r="S40" s="2" t="str">
        <f aca="false">IF($B40="","",COUNTIF(J40:Q40,"&lt;"&amp;Analisis_grupo!$B$7))</f>
        <v/>
      </c>
      <c r="T40" s="2" t="str">
        <f aca="false">IF($B40="","",COUNTIFS(Datos_items!$B:$B,$B40,Datos_items!$AA:$AA,T$4,Datos_items!$E:$E,Analisis_grupo!$C$4))</f>
        <v/>
      </c>
      <c r="U40" s="2" t="str">
        <f aca="false">IF($B40="","",COUNTIFS(Datos_items!$B:$B,$B40,Datos_items!$AA:$AA,U$4,Datos_items!$E:$E,Analisis_grupo!$C$4))</f>
        <v/>
      </c>
      <c r="V40" s="2" t="str">
        <f aca="false">IF($B40="","",COUNTIFS(Datos_items!$B:$B,$B40,Datos_items!$AA:$AA,V$4,Datos_items!$E:$E,Analisis_grupo!$C$4))</f>
        <v/>
      </c>
      <c r="W40" s="2" t="str">
        <f aca="false">IF($B40="","",COUNTIFS(Datos_items!$B:$B,$B40,Datos_items!$AA:$AA,W$4,Datos_items!$E:$E,Analisis_grupo!$C$4))</f>
        <v/>
      </c>
      <c r="X40" s="2" t="str">
        <f aca="false">IF($B40="","",COUNTIFS(Datos_items!$B:$B,$B40,Datos_items!$AA:$AA,X$4,Datos_items!$E:$E,Analisis_grupo!$C$4))</f>
        <v/>
      </c>
      <c r="Y40" s="2" t="str">
        <f aca="false">IF($B40="","",COUNTIFS(Datos_items!$B:$B,$B40,Datos_items!$AA:$AA,Y$4,Datos_items!$E:$E,Analisis_grupo!$C$4))</f>
        <v/>
      </c>
      <c r="Z40" s="2" t="str">
        <f aca="false">IF($B40="","",COUNTIFS(Datos_items!$B:$B,$B40,Datos_items!$AA:$AA,Z$4,Datos_items!$E:$E,Analisis_grupo!$C$4))</f>
        <v/>
      </c>
      <c r="AA40" s="2" t="str">
        <f aca="false">IF($B40="","",COUNTIFS(Datos_items!$B:$B,$B40,Datos_items!$AA:$AA,AA$4,Datos_items!$E:$E,Analisis_grupo!$C$4))</f>
        <v/>
      </c>
      <c r="AB40" s="2" t="str">
        <f aca="false">IF($B40="","",COUNTIFS(Datos_items!$B:$B,$B40,Datos_items!$AA:$AA,AB$4,Datos_items!$E:$E,Analisis_grupo!$C$4))</f>
        <v/>
      </c>
      <c r="AC40" s="2" t="str">
        <f aca="false">IF($B40="","",COUNTIFS(Datos_items!$B:$B,$B40,Datos_items!$AA:$AA,AC$4,Datos_items!$E:$E,Analisis_grupo!$C$4))</f>
        <v/>
      </c>
      <c r="AD40" s="2" t="str">
        <f aca="false">IF($B40="","",COUNTIFS(Datos_items!$B:$B,$B40,Datos_items!$AA:$AA,AD$4,Datos_items!$E:$E,Analisis_grupo!$C$4))</f>
        <v/>
      </c>
      <c r="AE40" s="2" t="str">
        <f aca="false">IF($B40="","",COUNTIFS(Datos_items!$B:$B,$B40,Datos_items!$AA:$AA,AE$4,Datos_items!$E:$E,Analisis_grupo!$C$4))</f>
        <v/>
      </c>
      <c r="AF40" s="2" t="str">
        <f aca="false">IF($B40="","",COUNTIFS(Datos_items!$B:$B,$B40,Datos_items!$AA:$AA,AF$4,Datos_items!$E:$E,Analisis_grupo!$C$4))</f>
        <v/>
      </c>
      <c r="AG40" s="2" t="str">
        <f aca="false">IF($B40="","",COUNTIFS(Datos_items!$B:$B,$B40,Datos_items!$AA:$AA,AG$4,Datos_items!$E:$E,Analisis_grupo!$C$4))</f>
        <v/>
      </c>
      <c r="AH40" s="2" t="str">
        <f aca="false">IF($B40="","",COUNTIFS(Datos_items!$B:$B,$B40,Datos_items!$AA:$AA,AH$4,Datos_items!$E:$E,Analisis_grupo!$C$4))</f>
        <v/>
      </c>
      <c r="AI40" s="2" t="str">
        <f aca="false">IF($B40="","",COUNTIFS(Datos_items!$B:$B,$B40,Datos_items!$AA:$AA,AI$4,Datos_items!$E:$E,Analisis_grupo!$C$4))</f>
        <v/>
      </c>
      <c r="AJ40" s="2" t="str">
        <f aca="false">IF($B40="","",COUNTIFS(Datos_items!$B:$B,$B40,Datos_items!$AA:$AA,AJ$4,Datos_items!$E:$E,Analisis_grupo!$C$4))</f>
        <v/>
      </c>
      <c r="AK40" s="2" t="str">
        <f aca="false">IF($B40="","",COUNTIFS(Datos_items!$B:$B,$B40,Datos_items!$AA:$AA,AK$4,Datos_items!$E:$E,Analisis_grupo!$C$4))</f>
        <v/>
      </c>
      <c r="AL40" s="2" t="str">
        <f aca="false">IF($B40="","",COUNTIFS(Datos_items!$B:$B,$B40,Datos_items!$AA:$AA,AL$4,Datos_items!$E:$E,Analisis_grupo!$C$4))</f>
        <v/>
      </c>
      <c r="AM40" s="2" t="str">
        <f aca="false">IF($B40="","",IF(MAX(Y40:AL40)=0,"",INDEX($Y$4:$AL$4,MATCH(MAX(Y40:AL40),Y40:AL40,0))))</f>
        <v/>
      </c>
      <c r="AN40" s="2" t="str">
        <f aca="false">IF($B40="","",COUNTIFS(Datos_problemas!$B:$B,$B40,Datos_problemas!$F:$F,"Práctica"))</f>
        <v/>
      </c>
      <c r="AO40" s="2" t="str">
        <f aca="false">IF($B40="","",SUMIFS(Datos_problemas!$AQ:$AQ,Datos_problemas!$B:$B,$B40,Datos_problemas!$F:$F,"Práctica"))</f>
        <v/>
      </c>
      <c r="AP40" s="2" t="str">
        <f aca="false">IF($B40="","",COUNTIFS(Datos_problemas!$B:$B,$B40,Datos_problemas!$F:$F,"Práctica",Datos_problemas!$AS:$AS,"Sí"))</f>
        <v/>
      </c>
    </row>
    <row r="41" customFormat="false" ht="15" hidden="false" customHeight="false" outlineLevel="0" collapsed="false">
      <c r="A41" s="2" t="n">
        <v>37</v>
      </c>
      <c r="B41" s="2" t="str">
        <f aca="false">IFERROR(INDEX(Datos_problemas!$B:$B,MATCH($A41,Datos_problemas!$AV:$AV,0)),"")</f>
        <v/>
      </c>
      <c r="C41" s="2" t="str">
        <f aca="false">IF($B41="","",INDEX(Datos_problemas!$C:$C,MATCH($A41,Datos_problemas!$AV:$AV,0)))</f>
        <v/>
      </c>
      <c r="D41" s="2" t="str">
        <f aca="false">IF($B41="","",INDEX(Datos_problemas!$D:$D,MATCH($A41,Datos_problemas!$AV:$AV,0)))</f>
        <v/>
      </c>
      <c r="E41" s="2" t="str">
        <f aca="false">IF($B41="","",COUNTIFS(Datos_problemas!$B:$B,$B41,Datos_problemas!$F:$F,"Evaluación"))</f>
        <v/>
      </c>
      <c r="F41" s="20" t="str">
        <f aca="false">IF($B41="","",IFERROR(AVERAGEIFS(Datos_problemas!$AE:$AE,Datos_problemas!$B:$B,$B41,Datos_problemas!$F:$F,"Evaluación"),""))</f>
        <v/>
      </c>
      <c r="G41" s="20" t="str">
        <f aca="false">IF($B41="","",IFERROR(AVERAGEIFS(Datos_problemas!$AE:$AE,Datos_problemas!$B:$B,$B41,Datos_problemas!$F:$F,"Evaluación",Datos_problemas!$E:$E,"Diagnóstico"),""))</f>
        <v/>
      </c>
      <c r="H41" s="20" t="str">
        <f aca="false">IF($B41="","",IFERROR(AVERAGEIFS(Datos_problemas!$AE:$AE,Datos_problemas!$B:$B,$B41,Datos_problemas!$F:$F,"Evaluación",Datos_problemas!$E:$E,"Final"),""))</f>
        <v/>
      </c>
      <c r="I41" s="21" t="str">
        <f aca="false">IF(OR(G41="",H41=""),"",IF(G41&gt;=10,"",(H41-G41)/(10-G41)))</f>
        <v/>
      </c>
      <c r="J41" s="18" t="str">
        <f aca="false">IF($B41="","",IFERROR(SUMIFS(Datos_items!$Z:$Z,Datos_items!$B:$B,$B41,Datos_items!$O:$O,J$4,Datos_items!$E:$E,Analisis_grupo!$C$4)/COUNTIFS(Datos_items!$B:$B,$B41,Datos_items!$O:$O,J$4,Datos_items!$E:$E,Analisis_grupo!$C$4),""))</f>
        <v/>
      </c>
      <c r="K41" s="18" t="str">
        <f aca="false">IF($B41="","",IFERROR(SUMIFS(Datos_items!$Z:$Z,Datos_items!$B:$B,$B41,Datos_items!$O:$O,K$4,Datos_items!$E:$E,Analisis_grupo!$C$4)/COUNTIFS(Datos_items!$B:$B,$B41,Datos_items!$O:$O,K$4,Datos_items!$E:$E,Analisis_grupo!$C$4),""))</f>
        <v/>
      </c>
      <c r="L41" s="18" t="str">
        <f aca="false">IF($B41="","",IFERROR(SUMIFS(Datos_items!$Z:$Z,Datos_items!$B:$B,$B41,Datos_items!$O:$O,L$4,Datos_items!$E:$E,Analisis_grupo!$C$4)/COUNTIFS(Datos_items!$B:$B,$B41,Datos_items!$O:$O,L$4,Datos_items!$E:$E,Analisis_grupo!$C$4),""))</f>
        <v/>
      </c>
      <c r="M41" s="18" t="str">
        <f aca="false">IF($B41="","",IFERROR(SUMIFS(Datos_items!$Z:$Z,Datos_items!$B:$B,$B41,Datos_items!$O:$O,M$4,Datos_items!$E:$E,Analisis_grupo!$C$4)/COUNTIFS(Datos_items!$B:$B,$B41,Datos_items!$O:$O,M$4,Datos_items!$E:$E,Analisis_grupo!$C$4),""))</f>
        <v/>
      </c>
      <c r="N41" s="18" t="str">
        <f aca="false">IF($B41="","",IFERROR(SUMIFS(Datos_items!$Z:$Z,Datos_items!$B:$B,$B41,Datos_items!$O:$O,N$4,Datos_items!$E:$E,Analisis_grupo!$C$4)/COUNTIFS(Datos_items!$B:$B,$B41,Datos_items!$O:$O,N$4,Datos_items!$E:$E,Analisis_grupo!$C$4),""))</f>
        <v/>
      </c>
      <c r="O41" s="18" t="str">
        <f aca="false">IF($B41="","",IFERROR(SUMIFS(Datos_items!$Z:$Z,Datos_items!$B:$B,$B41,Datos_items!$O:$O,O$4,Datos_items!$E:$E,Analisis_grupo!$C$4)/COUNTIFS(Datos_items!$B:$B,$B41,Datos_items!$O:$O,O$4,Datos_items!$E:$E,Analisis_grupo!$C$4),""))</f>
        <v/>
      </c>
      <c r="P41" s="18" t="str">
        <f aca="false">IF($B41="","",IFERROR(SUMIFS(Datos_items!$Z:$Z,Datos_items!$B:$B,$B41,Datos_items!$O:$O,P$4,Datos_items!$E:$E,Analisis_grupo!$C$4)/COUNTIFS(Datos_items!$B:$B,$B41,Datos_items!$O:$O,P$4,Datos_items!$E:$E,Analisis_grupo!$C$4),""))</f>
        <v/>
      </c>
      <c r="Q41" s="18" t="str">
        <f aca="false">IF($B41="","",IFERROR(SUMIFS(Datos_items!$Z:$Z,Datos_items!$B:$B,$B41,Datos_items!$O:$O,Q$4,Datos_items!$E:$E,Analisis_grupo!$C$4)/COUNTIFS(Datos_items!$B:$B,$B41,Datos_items!$O:$O,Q$4,Datos_items!$E:$E,Analisis_grupo!$C$4),""))</f>
        <v/>
      </c>
      <c r="R41" s="2" t="str">
        <f aca="false">IF(COUNT(J41:Q41)=0,"",IF(MIN(J41:Q41)&gt;=Analisis_grupo!$B$7,"(ninguna)",INDEX($J$4:$Q$4,MATCH(MIN(J41:Q41),J41:Q41,0))))</f>
        <v/>
      </c>
      <c r="S41" s="2" t="str">
        <f aca="false">IF($B41="","",COUNTIF(J41:Q41,"&lt;"&amp;Analisis_grupo!$B$7))</f>
        <v/>
      </c>
      <c r="T41" s="2" t="str">
        <f aca="false">IF($B41="","",COUNTIFS(Datos_items!$B:$B,$B41,Datos_items!$AA:$AA,T$4,Datos_items!$E:$E,Analisis_grupo!$C$4))</f>
        <v/>
      </c>
      <c r="U41" s="2" t="str">
        <f aca="false">IF($B41="","",COUNTIFS(Datos_items!$B:$B,$B41,Datos_items!$AA:$AA,U$4,Datos_items!$E:$E,Analisis_grupo!$C$4))</f>
        <v/>
      </c>
      <c r="V41" s="2" t="str">
        <f aca="false">IF($B41="","",COUNTIFS(Datos_items!$B:$B,$B41,Datos_items!$AA:$AA,V$4,Datos_items!$E:$E,Analisis_grupo!$C$4))</f>
        <v/>
      </c>
      <c r="W41" s="2" t="str">
        <f aca="false">IF($B41="","",COUNTIFS(Datos_items!$B:$B,$B41,Datos_items!$AA:$AA,W$4,Datos_items!$E:$E,Analisis_grupo!$C$4))</f>
        <v/>
      </c>
      <c r="X41" s="2" t="str">
        <f aca="false">IF($B41="","",COUNTIFS(Datos_items!$B:$B,$B41,Datos_items!$AA:$AA,X$4,Datos_items!$E:$E,Analisis_grupo!$C$4))</f>
        <v/>
      </c>
      <c r="Y41" s="2" t="str">
        <f aca="false">IF($B41="","",COUNTIFS(Datos_items!$B:$B,$B41,Datos_items!$AA:$AA,Y$4,Datos_items!$E:$E,Analisis_grupo!$C$4))</f>
        <v/>
      </c>
      <c r="Z41" s="2" t="str">
        <f aca="false">IF($B41="","",COUNTIFS(Datos_items!$B:$B,$B41,Datos_items!$AA:$AA,Z$4,Datos_items!$E:$E,Analisis_grupo!$C$4))</f>
        <v/>
      </c>
      <c r="AA41" s="2" t="str">
        <f aca="false">IF($B41="","",COUNTIFS(Datos_items!$B:$B,$B41,Datos_items!$AA:$AA,AA$4,Datos_items!$E:$E,Analisis_grupo!$C$4))</f>
        <v/>
      </c>
      <c r="AB41" s="2" t="str">
        <f aca="false">IF($B41="","",COUNTIFS(Datos_items!$B:$B,$B41,Datos_items!$AA:$AA,AB$4,Datos_items!$E:$E,Analisis_grupo!$C$4))</f>
        <v/>
      </c>
      <c r="AC41" s="2" t="str">
        <f aca="false">IF($B41="","",COUNTIFS(Datos_items!$B:$B,$B41,Datos_items!$AA:$AA,AC$4,Datos_items!$E:$E,Analisis_grupo!$C$4))</f>
        <v/>
      </c>
      <c r="AD41" s="2" t="str">
        <f aca="false">IF($B41="","",COUNTIFS(Datos_items!$B:$B,$B41,Datos_items!$AA:$AA,AD$4,Datos_items!$E:$E,Analisis_grupo!$C$4))</f>
        <v/>
      </c>
      <c r="AE41" s="2" t="str">
        <f aca="false">IF($B41="","",COUNTIFS(Datos_items!$B:$B,$B41,Datos_items!$AA:$AA,AE$4,Datos_items!$E:$E,Analisis_grupo!$C$4))</f>
        <v/>
      </c>
      <c r="AF41" s="2" t="str">
        <f aca="false">IF($B41="","",COUNTIFS(Datos_items!$B:$B,$B41,Datos_items!$AA:$AA,AF$4,Datos_items!$E:$E,Analisis_grupo!$C$4))</f>
        <v/>
      </c>
      <c r="AG41" s="2" t="str">
        <f aca="false">IF($B41="","",COUNTIFS(Datos_items!$B:$B,$B41,Datos_items!$AA:$AA,AG$4,Datos_items!$E:$E,Analisis_grupo!$C$4))</f>
        <v/>
      </c>
      <c r="AH41" s="2" t="str">
        <f aca="false">IF($B41="","",COUNTIFS(Datos_items!$B:$B,$B41,Datos_items!$AA:$AA,AH$4,Datos_items!$E:$E,Analisis_grupo!$C$4))</f>
        <v/>
      </c>
      <c r="AI41" s="2" t="str">
        <f aca="false">IF($B41="","",COUNTIFS(Datos_items!$B:$B,$B41,Datos_items!$AA:$AA,AI$4,Datos_items!$E:$E,Analisis_grupo!$C$4))</f>
        <v/>
      </c>
      <c r="AJ41" s="2" t="str">
        <f aca="false">IF($B41="","",COUNTIFS(Datos_items!$B:$B,$B41,Datos_items!$AA:$AA,AJ$4,Datos_items!$E:$E,Analisis_grupo!$C$4))</f>
        <v/>
      </c>
      <c r="AK41" s="2" t="str">
        <f aca="false">IF($B41="","",COUNTIFS(Datos_items!$B:$B,$B41,Datos_items!$AA:$AA,AK$4,Datos_items!$E:$E,Analisis_grupo!$C$4))</f>
        <v/>
      </c>
      <c r="AL41" s="2" t="str">
        <f aca="false">IF($B41="","",COUNTIFS(Datos_items!$B:$B,$B41,Datos_items!$AA:$AA,AL$4,Datos_items!$E:$E,Analisis_grupo!$C$4))</f>
        <v/>
      </c>
      <c r="AM41" s="2" t="str">
        <f aca="false">IF($B41="","",IF(MAX(Y41:AL41)=0,"",INDEX($Y$4:$AL$4,MATCH(MAX(Y41:AL41),Y41:AL41,0))))</f>
        <v/>
      </c>
      <c r="AN41" s="2" t="str">
        <f aca="false">IF($B41="","",COUNTIFS(Datos_problemas!$B:$B,$B41,Datos_problemas!$F:$F,"Práctica"))</f>
        <v/>
      </c>
      <c r="AO41" s="2" t="str">
        <f aca="false">IF($B41="","",SUMIFS(Datos_problemas!$AQ:$AQ,Datos_problemas!$B:$B,$B41,Datos_problemas!$F:$F,"Práctica"))</f>
        <v/>
      </c>
      <c r="AP41" s="2" t="str">
        <f aca="false">IF($B41="","",COUNTIFS(Datos_problemas!$B:$B,$B41,Datos_problemas!$F:$F,"Práctica",Datos_problemas!$AS:$AS,"Sí"))</f>
        <v/>
      </c>
    </row>
    <row r="42" customFormat="false" ht="15" hidden="false" customHeight="false" outlineLevel="0" collapsed="false">
      <c r="A42" s="2" t="n">
        <v>38</v>
      </c>
      <c r="B42" s="2" t="str">
        <f aca="false">IFERROR(INDEX(Datos_problemas!$B:$B,MATCH($A42,Datos_problemas!$AV:$AV,0)),"")</f>
        <v/>
      </c>
      <c r="C42" s="2" t="str">
        <f aca="false">IF($B42="","",INDEX(Datos_problemas!$C:$C,MATCH($A42,Datos_problemas!$AV:$AV,0)))</f>
        <v/>
      </c>
      <c r="D42" s="2" t="str">
        <f aca="false">IF($B42="","",INDEX(Datos_problemas!$D:$D,MATCH($A42,Datos_problemas!$AV:$AV,0)))</f>
        <v/>
      </c>
      <c r="E42" s="2" t="str">
        <f aca="false">IF($B42="","",COUNTIFS(Datos_problemas!$B:$B,$B42,Datos_problemas!$F:$F,"Evaluación"))</f>
        <v/>
      </c>
      <c r="F42" s="20" t="str">
        <f aca="false">IF($B42="","",IFERROR(AVERAGEIFS(Datos_problemas!$AE:$AE,Datos_problemas!$B:$B,$B42,Datos_problemas!$F:$F,"Evaluación"),""))</f>
        <v/>
      </c>
      <c r="G42" s="20" t="str">
        <f aca="false">IF($B42="","",IFERROR(AVERAGEIFS(Datos_problemas!$AE:$AE,Datos_problemas!$B:$B,$B42,Datos_problemas!$F:$F,"Evaluación",Datos_problemas!$E:$E,"Diagnóstico"),""))</f>
        <v/>
      </c>
      <c r="H42" s="20" t="str">
        <f aca="false">IF($B42="","",IFERROR(AVERAGEIFS(Datos_problemas!$AE:$AE,Datos_problemas!$B:$B,$B42,Datos_problemas!$F:$F,"Evaluación",Datos_problemas!$E:$E,"Final"),""))</f>
        <v/>
      </c>
      <c r="I42" s="21" t="str">
        <f aca="false">IF(OR(G42="",H42=""),"",IF(G42&gt;=10,"",(H42-G42)/(10-G42)))</f>
        <v/>
      </c>
      <c r="J42" s="18" t="str">
        <f aca="false">IF($B42="","",IFERROR(SUMIFS(Datos_items!$Z:$Z,Datos_items!$B:$B,$B42,Datos_items!$O:$O,J$4,Datos_items!$E:$E,Analisis_grupo!$C$4)/COUNTIFS(Datos_items!$B:$B,$B42,Datos_items!$O:$O,J$4,Datos_items!$E:$E,Analisis_grupo!$C$4),""))</f>
        <v/>
      </c>
      <c r="K42" s="18" t="str">
        <f aca="false">IF($B42="","",IFERROR(SUMIFS(Datos_items!$Z:$Z,Datos_items!$B:$B,$B42,Datos_items!$O:$O,K$4,Datos_items!$E:$E,Analisis_grupo!$C$4)/COUNTIFS(Datos_items!$B:$B,$B42,Datos_items!$O:$O,K$4,Datos_items!$E:$E,Analisis_grupo!$C$4),""))</f>
        <v/>
      </c>
      <c r="L42" s="18" t="str">
        <f aca="false">IF($B42="","",IFERROR(SUMIFS(Datos_items!$Z:$Z,Datos_items!$B:$B,$B42,Datos_items!$O:$O,L$4,Datos_items!$E:$E,Analisis_grupo!$C$4)/COUNTIFS(Datos_items!$B:$B,$B42,Datos_items!$O:$O,L$4,Datos_items!$E:$E,Analisis_grupo!$C$4),""))</f>
        <v/>
      </c>
      <c r="M42" s="18" t="str">
        <f aca="false">IF($B42="","",IFERROR(SUMIFS(Datos_items!$Z:$Z,Datos_items!$B:$B,$B42,Datos_items!$O:$O,M$4,Datos_items!$E:$E,Analisis_grupo!$C$4)/COUNTIFS(Datos_items!$B:$B,$B42,Datos_items!$O:$O,M$4,Datos_items!$E:$E,Analisis_grupo!$C$4),""))</f>
        <v/>
      </c>
      <c r="N42" s="18" t="str">
        <f aca="false">IF($B42="","",IFERROR(SUMIFS(Datos_items!$Z:$Z,Datos_items!$B:$B,$B42,Datos_items!$O:$O,N$4,Datos_items!$E:$E,Analisis_grupo!$C$4)/COUNTIFS(Datos_items!$B:$B,$B42,Datos_items!$O:$O,N$4,Datos_items!$E:$E,Analisis_grupo!$C$4),""))</f>
        <v/>
      </c>
      <c r="O42" s="18" t="str">
        <f aca="false">IF($B42="","",IFERROR(SUMIFS(Datos_items!$Z:$Z,Datos_items!$B:$B,$B42,Datos_items!$O:$O,O$4,Datos_items!$E:$E,Analisis_grupo!$C$4)/COUNTIFS(Datos_items!$B:$B,$B42,Datos_items!$O:$O,O$4,Datos_items!$E:$E,Analisis_grupo!$C$4),""))</f>
        <v/>
      </c>
      <c r="P42" s="18" t="str">
        <f aca="false">IF($B42="","",IFERROR(SUMIFS(Datos_items!$Z:$Z,Datos_items!$B:$B,$B42,Datos_items!$O:$O,P$4,Datos_items!$E:$E,Analisis_grupo!$C$4)/COUNTIFS(Datos_items!$B:$B,$B42,Datos_items!$O:$O,P$4,Datos_items!$E:$E,Analisis_grupo!$C$4),""))</f>
        <v/>
      </c>
      <c r="Q42" s="18" t="str">
        <f aca="false">IF($B42="","",IFERROR(SUMIFS(Datos_items!$Z:$Z,Datos_items!$B:$B,$B42,Datos_items!$O:$O,Q$4,Datos_items!$E:$E,Analisis_grupo!$C$4)/COUNTIFS(Datos_items!$B:$B,$B42,Datos_items!$O:$O,Q$4,Datos_items!$E:$E,Analisis_grupo!$C$4),""))</f>
        <v/>
      </c>
      <c r="R42" s="2" t="str">
        <f aca="false">IF(COUNT(J42:Q42)=0,"",IF(MIN(J42:Q42)&gt;=Analisis_grupo!$B$7,"(ninguna)",INDEX($J$4:$Q$4,MATCH(MIN(J42:Q42),J42:Q42,0))))</f>
        <v/>
      </c>
      <c r="S42" s="2" t="str">
        <f aca="false">IF($B42="","",COUNTIF(J42:Q42,"&lt;"&amp;Analisis_grupo!$B$7))</f>
        <v/>
      </c>
      <c r="T42" s="2" t="str">
        <f aca="false">IF($B42="","",COUNTIFS(Datos_items!$B:$B,$B42,Datos_items!$AA:$AA,T$4,Datos_items!$E:$E,Analisis_grupo!$C$4))</f>
        <v/>
      </c>
      <c r="U42" s="2" t="str">
        <f aca="false">IF($B42="","",COUNTIFS(Datos_items!$B:$B,$B42,Datos_items!$AA:$AA,U$4,Datos_items!$E:$E,Analisis_grupo!$C$4))</f>
        <v/>
      </c>
      <c r="V42" s="2" t="str">
        <f aca="false">IF($B42="","",COUNTIFS(Datos_items!$B:$B,$B42,Datos_items!$AA:$AA,V$4,Datos_items!$E:$E,Analisis_grupo!$C$4))</f>
        <v/>
      </c>
      <c r="W42" s="2" t="str">
        <f aca="false">IF($B42="","",COUNTIFS(Datos_items!$B:$B,$B42,Datos_items!$AA:$AA,W$4,Datos_items!$E:$E,Analisis_grupo!$C$4))</f>
        <v/>
      </c>
      <c r="X42" s="2" t="str">
        <f aca="false">IF($B42="","",COUNTIFS(Datos_items!$B:$B,$B42,Datos_items!$AA:$AA,X$4,Datos_items!$E:$E,Analisis_grupo!$C$4))</f>
        <v/>
      </c>
      <c r="Y42" s="2" t="str">
        <f aca="false">IF($B42="","",COUNTIFS(Datos_items!$B:$B,$B42,Datos_items!$AA:$AA,Y$4,Datos_items!$E:$E,Analisis_grupo!$C$4))</f>
        <v/>
      </c>
      <c r="Z42" s="2" t="str">
        <f aca="false">IF($B42="","",COUNTIFS(Datos_items!$B:$B,$B42,Datos_items!$AA:$AA,Z$4,Datos_items!$E:$E,Analisis_grupo!$C$4))</f>
        <v/>
      </c>
      <c r="AA42" s="2" t="str">
        <f aca="false">IF($B42="","",COUNTIFS(Datos_items!$B:$B,$B42,Datos_items!$AA:$AA,AA$4,Datos_items!$E:$E,Analisis_grupo!$C$4))</f>
        <v/>
      </c>
      <c r="AB42" s="2" t="str">
        <f aca="false">IF($B42="","",COUNTIFS(Datos_items!$B:$B,$B42,Datos_items!$AA:$AA,AB$4,Datos_items!$E:$E,Analisis_grupo!$C$4))</f>
        <v/>
      </c>
      <c r="AC42" s="2" t="str">
        <f aca="false">IF($B42="","",COUNTIFS(Datos_items!$B:$B,$B42,Datos_items!$AA:$AA,AC$4,Datos_items!$E:$E,Analisis_grupo!$C$4))</f>
        <v/>
      </c>
      <c r="AD42" s="2" t="str">
        <f aca="false">IF($B42="","",COUNTIFS(Datos_items!$B:$B,$B42,Datos_items!$AA:$AA,AD$4,Datos_items!$E:$E,Analisis_grupo!$C$4))</f>
        <v/>
      </c>
      <c r="AE42" s="2" t="str">
        <f aca="false">IF($B42="","",COUNTIFS(Datos_items!$B:$B,$B42,Datos_items!$AA:$AA,AE$4,Datos_items!$E:$E,Analisis_grupo!$C$4))</f>
        <v/>
      </c>
      <c r="AF42" s="2" t="str">
        <f aca="false">IF($B42="","",COUNTIFS(Datos_items!$B:$B,$B42,Datos_items!$AA:$AA,AF$4,Datos_items!$E:$E,Analisis_grupo!$C$4))</f>
        <v/>
      </c>
      <c r="AG42" s="2" t="str">
        <f aca="false">IF($B42="","",COUNTIFS(Datos_items!$B:$B,$B42,Datos_items!$AA:$AA,AG$4,Datos_items!$E:$E,Analisis_grupo!$C$4))</f>
        <v/>
      </c>
      <c r="AH42" s="2" t="str">
        <f aca="false">IF($B42="","",COUNTIFS(Datos_items!$B:$B,$B42,Datos_items!$AA:$AA,AH$4,Datos_items!$E:$E,Analisis_grupo!$C$4))</f>
        <v/>
      </c>
      <c r="AI42" s="2" t="str">
        <f aca="false">IF($B42="","",COUNTIFS(Datos_items!$B:$B,$B42,Datos_items!$AA:$AA,AI$4,Datos_items!$E:$E,Analisis_grupo!$C$4))</f>
        <v/>
      </c>
      <c r="AJ42" s="2" t="str">
        <f aca="false">IF($B42="","",COUNTIFS(Datos_items!$B:$B,$B42,Datos_items!$AA:$AA,AJ$4,Datos_items!$E:$E,Analisis_grupo!$C$4))</f>
        <v/>
      </c>
      <c r="AK42" s="2" t="str">
        <f aca="false">IF($B42="","",COUNTIFS(Datos_items!$B:$B,$B42,Datos_items!$AA:$AA,AK$4,Datos_items!$E:$E,Analisis_grupo!$C$4))</f>
        <v/>
      </c>
      <c r="AL42" s="2" t="str">
        <f aca="false">IF($B42="","",COUNTIFS(Datos_items!$B:$B,$B42,Datos_items!$AA:$AA,AL$4,Datos_items!$E:$E,Analisis_grupo!$C$4))</f>
        <v/>
      </c>
      <c r="AM42" s="2" t="str">
        <f aca="false">IF($B42="","",IF(MAX(Y42:AL42)=0,"",INDEX($Y$4:$AL$4,MATCH(MAX(Y42:AL42),Y42:AL42,0))))</f>
        <v/>
      </c>
      <c r="AN42" s="2" t="str">
        <f aca="false">IF($B42="","",COUNTIFS(Datos_problemas!$B:$B,$B42,Datos_problemas!$F:$F,"Práctica"))</f>
        <v/>
      </c>
      <c r="AO42" s="2" t="str">
        <f aca="false">IF($B42="","",SUMIFS(Datos_problemas!$AQ:$AQ,Datos_problemas!$B:$B,$B42,Datos_problemas!$F:$F,"Práctica"))</f>
        <v/>
      </c>
      <c r="AP42" s="2" t="str">
        <f aca="false">IF($B42="","",COUNTIFS(Datos_problemas!$B:$B,$B42,Datos_problemas!$F:$F,"Práctica",Datos_problemas!$AS:$AS,"Sí"))</f>
        <v/>
      </c>
    </row>
    <row r="43" customFormat="false" ht="15" hidden="false" customHeight="false" outlineLevel="0" collapsed="false">
      <c r="A43" s="2" t="n">
        <v>39</v>
      </c>
      <c r="B43" s="2" t="str">
        <f aca="false">IFERROR(INDEX(Datos_problemas!$B:$B,MATCH($A43,Datos_problemas!$AV:$AV,0)),"")</f>
        <v/>
      </c>
      <c r="C43" s="2" t="str">
        <f aca="false">IF($B43="","",INDEX(Datos_problemas!$C:$C,MATCH($A43,Datos_problemas!$AV:$AV,0)))</f>
        <v/>
      </c>
      <c r="D43" s="2" t="str">
        <f aca="false">IF($B43="","",INDEX(Datos_problemas!$D:$D,MATCH($A43,Datos_problemas!$AV:$AV,0)))</f>
        <v/>
      </c>
      <c r="E43" s="2" t="str">
        <f aca="false">IF($B43="","",COUNTIFS(Datos_problemas!$B:$B,$B43,Datos_problemas!$F:$F,"Evaluación"))</f>
        <v/>
      </c>
      <c r="F43" s="20" t="str">
        <f aca="false">IF($B43="","",IFERROR(AVERAGEIFS(Datos_problemas!$AE:$AE,Datos_problemas!$B:$B,$B43,Datos_problemas!$F:$F,"Evaluación"),""))</f>
        <v/>
      </c>
      <c r="G43" s="20" t="str">
        <f aca="false">IF($B43="","",IFERROR(AVERAGEIFS(Datos_problemas!$AE:$AE,Datos_problemas!$B:$B,$B43,Datos_problemas!$F:$F,"Evaluación",Datos_problemas!$E:$E,"Diagnóstico"),""))</f>
        <v/>
      </c>
      <c r="H43" s="20" t="str">
        <f aca="false">IF($B43="","",IFERROR(AVERAGEIFS(Datos_problemas!$AE:$AE,Datos_problemas!$B:$B,$B43,Datos_problemas!$F:$F,"Evaluación",Datos_problemas!$E:$E,"Final"),""))</f>
        <v/>
      </c>
      <c r="I43" s="21" t="str">
        <f aca="false">IF(OR(G43="",H43=""),"",IF(G43&gt;=10,"",(H43-G43)/(10-G43)))</f>
        <v/>
      </c>
      <c r="J43" s="18" t="str">
        <f aca="false">IF($B43="","",IFERROR(SUMIFS(Datos_items!$Z:$Z,Datos_items!$B:$B,$B43,Datos_items!$O:$O,J$4,Datos_items!$E:$E,Analisis_grupo!$C$4)/COUNTIFS(Datos_items!$B:$B,$B43,Datos_items!$O:$O,J$4,Datos_items!$E:$E,Analisis_grupo!$C$4),""))</f>
        <v/>
      </c>
      <c r="K43" s="18" t="str">
        <f aca="false">IF($B43="","",IFERROR(SUMIFS(Datos_items!$Z:$Z,Datos_items!$B:$B,$B43,Datos_items!$O:$O,K$4,Datos_items!$E:$E,Analisis_grupo!$C$4)/COUNTIFS(Datos_items!$B:$B,$B43,Datos_items!$O:$O,K$4,Datos_items!$E:$E,Analisis_grupo!$C$4),""))</f>
        <v/>
      </c>
      <c r="L43" s="18" t="str">
        <f aca="false">IF($B43="","",IFERROR(SUMIFS(Datos_items!$Z:$Z,Datos_items!$B:$B,$B43,Datos_items!$O:$O,L$4,Datos_items!$E:$E,Analisis_grupo!$C$4)/COUNTIFS(Datos_items!$B:$B,$B43,Datos_items!$O:$O,L$4,Datos_items!$E:$E,Analisis_grupo!$C$4),""))</f>
        <v/>
      </c>
      <c r="M43" s="18" t="str">
        <f aca="false">IF($B43="","",IFERROR(SUMIFS(Datos_items!$Z:$Z,Datos_items!$B:$B,$B43,Datos_items!$O:$O,M$4,Datos_items!$E:$E,Analisis_grupo!$C$4)/COUNTIFS(Datos_items!$B:$B,$B43,Datos_items!$O:$O,M$4,Datos_items!$E:$E,Analisis_grupo!$C$4),""))</f>
        <v/>
      </c>
      <c r="N43" s="18" t="str">
        <f aca="false">IF($B43="","",IFERROR(SUMIFS(Datos_items!$Z:$Z,Datos_items!$B:$B,$B43,Datos_items!$O:$O,N$4,Datos_items!$E:$E,Analisis_grupo!$C$4)/COUNTIFS(Datos_items!$B:$B,$B43,Datos_items!$O:$O,N$4,Datos_items!$E:$E,Analisis_grupo!$C$4),""))</f>
        <v/>
      </c>
      <c r="O43" s="18" t="str">
        <f aca="false">IF($B43="","",IFERROR(SUMIFS(Datos_items!$Z:$Z,Datos_items!$B:$B,$B43,Datos_items!$O:$O,O$4,Datos_items!$E:$E,Analisis_grupo!$C$4)/COUNTIFS(Datos_items!$B:$B,$B43,Datos_items!$O:$O,O$4,Datos_items!$E:$E,Analisis_grupo!$C$4),""))</f>
        <v/>
      </c>
      <c r="P43" s="18" t="str">
        <f aca="false">IF($B43="","",IFERROR(SUMIFS(Datos_items!$Z:$Z,Datos_items!$B:$B,$B43,Datos_items!$O:$O,P$4,Datos_items!$E:$E,Analisis_grupo!$C$4)/COUNTIFS(Datos_items!$B:$B,$B43,Datos_items!$O:$O,P$4,Datos_items!$E:$E,Analisis_grupo!$C$4),""))</f>
        <v/>
      </c>
      <c r="Q43" s="18" t="str">
        <f aca="false">IF($B43="","",IFERROR(SUMIFS(Datos_items!$Z:$Z,Datos_items!$B:$B,$B43,Datos_items!$O:$O,Q$4,Datos_items!$E:$E,Analisis_grupo!$C$4)/COUNTIFS(Datos_items!$B:$B,$B43,Datos_items!$O:$O,Q$4,Datos_items!$E:$E,Analisis_grupo!$C$4),""))</f>
        <v/>
      </c>
      <c r="R43" s="2" t="str">
        <f aca="false">IF(COUNT(J43:Q43)=0,"",IF(MIN(J43:Q43)&gt;=Analisis_grupo!$B$7,"(ninguna)",INDEX($J$4:$Q$4,MATCH(MIN(J43:Q43),J43:Q43,0))))</f>
        <v/>
      </c>
      <c r="S43" s="2" t="str">
        <f aca="false">IF($B43="","",COUNTIF(J43:Q43,"&lt;"&amp;Analisis_grupo!$B$7))</f>
        <v/>
      </c>
      <c r="T43" s="2" t="str">
        <f aca="false">IF($B43="","",COUNTIFS(Datos_items!$B:$B,$B43,Datos_items!$AA:$AA,T$4,Datos_items!$E:$E,Analisis_grupo!$C$4))</f>
        <v/>
      </c>
      <c r="U43" s="2" t="str">
        <f aca="false">IF($B43="","",COUNTIFS(Datos_items!$B:$B,$B43,Datos_items!$AA:$AA,U$4,Datos_items!$E:$E,Analisis_grupo!$C$4))</f>
        <v/>
      </c>
      <c r="V43" s="2" t="str">
        <f aca="false">IF($B43="","",COUNTIFS(Datos_items!$B:$B,$B43,Datos_items!$AA:$AA,V$4,Datos_items!$E:$E,Analisis_grupo!$C$4))</f>
        <v/>
      </c>
      <c r="W43" s="2" t="str">
        <f aca="false">IF($B43="","",COUNTIFS(Datos_items!$B:$B,$B43,Datos_items!$AA:$AA,W$4,Datos_items!$E:$E,Analisis_grupo!$C$4))</f>
        <v/>
      </c>
      <c r="X43" s="2" t="str">
        <f aca="false">IF($B43="","",COUNTIFS(Datos_items!$B:$B,$B43,Datos_items!$AA:$AA,X$4,Datos_items!$E:$E,Analisis_grupo!$C$4))</f>
        <v/>
      </c>
      <c r="Y43" s="2" t="str">
        <f aca="false">IF($B43="","",COUNTIFS(Datos_items!$B:$B,$B43,Datos_items!$AA:$AA,Y$4,Datos_items!$E:$E,Analisis_grupo!$C$4))</f>
        <v/>
      </c>
      <c r="Z43" s="2" t="str">
        <f aca="false">IF($B43="","",COUNTIFS(Datos_items!$B:$B,$B43,Datos_items!$AA:$AA,Z$4,Datos_items!$E:$E,Analisis_grupo!$C$4))</f>
        <v/>
      </c>
      <c r="AA43" s="2" t="str">
        <f aca="false">IF($B43="","",COUNTIFS(Datos_items!$B:$B,$B43,Datos_items!$AA:$AA,AA$4,Datos_items!$E:$E,Analisis_grupo!$C$4))</f>
        <v/>
      </c>
      <c r="AB43" s="2" t="str">
        <f aca="false">IF($B43="","",COUNTIFS(Datos_items!$B:$B,$B43,Datos_items!$AA:$AA,AB$4,Datos_items!$E:$E,Analisis_grupo!$C$4))</f>
        <v/>
      </c>
      <c r="AC43" s="2" t="str">
        <f aca="false">IF($B43="","",COUNTIFS(Datos_items!$B:$B,$B43,Datos_items!$AA:$AA,AC$4,Datos_items!$E:$E,Analisis_grupo!$C$4))</f>
        <v/>
      </c>
      <c r="AD43" s="2" t="str">
        <f aca="false">IF($B43="","",COUNTIFS(Datos_items!$B:$B,$B43,Datos_items!$AA:$AA,AD$4,Datos_items!$E:$E,Analisis_grupo!$C$4))</f>
        <v/>
      </c>
      <c r="AE43" s="2" t="str">
        <f aca="false">IF($B43="","",COUNTIFS(Datos_items!$B:$B,$B43,Datos_items!$AA:$AA,AE$4,Datos_items!$E:$E,Analisis_grupo!$C$4))</f>
        <v/>
      </c>
      <c r="AF43" s="2" t="str">
        <f aca="false">IF($B43="","",COUNTIFS(Datos_items!$B:$B,$B43,Datos_items!$AA:$AA,AF$4,Datos_items!$E:$E,Analisis_grupo!$C$4))</f>
        <v/>
      </c>
      <c r="AG43" s="2" t="str">
        <f aca="false">IF($B43="","",COUNTIFS(Datos_items!$B:$B,$B43,Datos_items!$AA:$AA,AG$4,Datos_items!$E:$E,Analisis_grupo!$C$4))</f>
        <v/>
      </c>
      <c r="AH43" s="2" t="str">
        <f aca="false">IF($B43="","",COUNTIFS(Datos_items!$B:$B,$B43,Datos_items!$AA:$AA,AH$4,Datos_items!$E:$E,Analisis_grupo!$C$4))</f>
        <v/>
      </c>
      <c r="AI43" s="2" t="str">
        <f aca="false">IF($B43="","",COUNTIFS(Datos_items!$B:$B,$B43,Datos_items!$AA:$AA,AI$4,Datos_items!$E:$E,Analisis_grupo!$C$4))</f>
        <v/>
      </c>
      <c r="AJ43" s="2" t="str">
        <f aca="false">IF($B43="","",COUNTIFS(Datos_items!$B:$B,$B43,Datos_items!$AA:$AA,AJ$4,Datos_items!$E:$E,Analisis_grupo!$C$4))</f>
        <v/>
      </c>
      <c r="AK43" s="2" t="str">
        <f aca="false">IF($B43="","",COUNTIFS(Datos_items!$B:$B,$B43,Datos_items!$AA:$AA,AK$4,Datos_items!$E:$E,Analisis_grupo!$C$4))</f>
        <v/>
      </c>
      <c r="AL43" s="2" t="str">
        <f aca="false">IF($B43="","",COUNTIFS(Datos_items!$B:$B,$B43,Datos_items!$AA:$AA,AL$4,Datos_items!$E:$E,Analisis_grupo!$C$4))</f>
        <v/>
      </c>
      <c r="AM43" s="2" t="str">
        <f aca="false">IF($B43="","",IF(MAX(Y43:AL43)=0,"",INDEX($Y$4:$AL$4,MATCH(MAX(Y43:AL43),Y43:AL43,0))))</f>
        <v/>
      </c>
      <c r="AN43" s="2" t="str">
        <f aca="false">IF($B43="","",COUNTIFS(Datos_problemas!$B:$B,$B43,Datos_problemas!$F:$F,"Práctica"))</f>
        <v/>
      </c>
      <c r="AO43" s="2" t="str">
        <f aca="false">IF($B43="","",SUMIFS(Datos_problemas!$AQ:$AQ,Datos_problemas!$B:$B,$B43,Datos_problemas!$F:$F,"Práctica"))</f>
        <v/>
      </c>
      <c r="AP43" s="2" t="str">
        <f aca="false">IF($B43="","",COUNTIFS(Datos_problemas!$B:$B,$B43,Datos_problemas!$F:$F,"Práctica",Datos_problemas!$AS:$AS,"Sí"))</f>
        <v/>
      </c>
    </row>
    <row r="44" customFormat="false" ht="15" hidden="false" customHeight="false" outlineLevel="0" collapsed="false">
      <c r="A44" s="2" t="n">
        <v>40</v>
      </c>
      <c r="B44" s="2" t="str">
        <f aca="false">IFERROR(INDEX(Datos_problemas!$B:$B,MATCH($A44,Datos_problemas!$AV:$AV,0)),"")</f>
        <v/>
      </c>
      <c r="C44" s="2" t="str">
        <f aca="false">IF($B44="","",INDEX(Datos_problemas!$C:$C,MATCH($A44,Datos_problemas!$AV:$AV,0)))</f>
        <v/>
      </c>
      <c r="D44" s="2" t="str">
        <f aca="false">IF($B44="","",INDEX(Datos_problemas!$D:$D,MATCH($A44,Datos_problemas!$AV:$AV,0)))</f>
        <v/>
      </c>
      <c r="E44" s="2" t="str">
        <f aca="false">IF($B44="","",COUNTIFS(Datos_problemas!$B:$B,$B44,Datos_problemas!$F:$F,"Evaluación"))</f>
        <v/>
      </c>
      <c r="F44" s="20" t="str">
        <f aca="false">IF($B44="","",IFERROR(AVERAGEIFS(Datos_problemas!$AE:$AE,Datos_problemas!$B:$B,$B44,Datos_problemas!$F:$F,"Evaluación"),""))</f>
        <v/>
      </c>
      <c r="G44" s="20" t="str">
        <f aca="false">IF($B44="","",IFERROR(AVERAGEIFS(Datos_problemas!$AE:$AE,Datos_problemas!$B:$B,$B44,Datos_problemas!$F:$F,"Evaluación",Datos_problemas!$E:$E,"Diagnóstico"),""))</f>
        <v/>
      </c>
      <c r="H44" s="20" t="str">
        <f aca="false">IF($B44="","",IFERROR(AVERAGEIFS(Datos_problemas!$AE:$AE,Datos_problemas!$B:$B,$B44,Datos_problemas!$F:$F,"Evaluación",Datos_problemas!$E:$E,"Final"),""))</f>
        <v/>
      </c>
      <c r="I44" s="21" t="str">
        <f aca="false">IF(OR(G44="",H44=""),"",IF(G44&gt;=10,"",(H44-G44)/(10-G44)))</f>
        <v/>
      </c>
      <c r="J44" s="18" t="str">
        <f aca="false">IF($B44="","",IFERROR(SUMIFS(Datos_items!$Z:$Z,Datos_items!$B:$B,$B44,Datos_items!$O:$O,J$4,Datos_items!$E:$E,Analisis_grupo!$C$4)/COUNTIFS(Datos_items!$B:$B,$B44,Datos_items!$O:$O,J$4,Datos_items!$E:$E,Analisis_grupo!$C$4),""))</f>
        <v/>
      </c>
      <c r="K44" s="18" t="str">
        <f aca="false">IF($B44="","",IFERROR(SUMIFS(Datos_items!$Z:$Z,Datos_items!$B:$B,$B44,Datos_items!$O:$O,K$4,Datos_items!$E:$E,Analisis_grupo!$C$4)/COUNTIFS(Datos_items!$B:$B,$B44,Datos_items!$O:$O,K$4,Datos_items!$E:$E,Analisis_grupo!$C$4),""))</f>
        <v/>
      </c>
      <c r="L44" s="18" t="str">
        <f aca="false">IF($B44="","",IFERROR(SUMIFS(Datos_items!$Z:$Z,Datos_items!$B:$B,$B44,Datos_items!$O:$O,L$4,Datos_items!$E:$E,Analisis_grupo!$C$4)/COUNTIFS(Datos_items!$B:$B,$B44,Datos_items!$O:$O,L$4,Datos_items!$E:$E,Analisis_grupo!$C$4),""))</f>
        <v/>
      </c>
      <c r="M44" s="18" t="str">
        <f aca="false">IF($B44="","",IFERROR(SUMIFS(Datos_items!$Z:$Z,Datos_items!$B:$B,$B44,Datos_items!$O:$O,M$4,Datos_items!$E:$E,Analisis_grupo!$C$4)/COUNTIFS(Datos_items!$B:$B,$B44,Datos_items!$O:$O,M$4,Datos_items!$E:$E,Analisis_grupo!$C$4),""))</f>
        <v/>
      </c>
      <c r="N44" s="18" t="str">
        <f aca="false">IF($B44="","",IFERROR(SUMIFS(Datos_items!$Z:$Z,Datos_items!$B:$B,$B44,Datos_items!$O:$O,N$4,Datos_items!$E:$E,Analisis_grupo!$C$4)/COUNTIFS(Datos_items!$B:$B,$B44,Datos_items!$O:$O,N$4,Datos_items!$E:$E,Analisis_grupo!$C$4),""))</f>
        <v/>
      </c>
      <c r="O44" s="18" t="str">
        <f aca="false">IF($B44="","",IFERROR(SUMIFS(Datos_items!$Z:$Z,Datos_items!$B:$B,$B44,Datos_items!$O:$O,O$4,Datos_items!$E:$E,Analisis_grupo!$C$4)/COUNTIFS(Datos_items!$B:$B,$B44,Datos_items!$O:$O,O$4,Datos_items!$E:$E,Analisis_grupo!$C$4),""))</f>
        <v/>
      </c>
      <c r="P44" s="18" t="str">
        <f aca="false">IF($B44="","",IFERROR(SUMIFS(Datos_items!$Z:$Z,Datos_items!$B:$B,$B44,Datos_items!$O:$O,P$4,Datos_items!$E:$E,Analisis_grupo!$C$4)/COUNTIFS(Datos_items!$B:$B,$B44,Datos_items!$O:$O,P$4,Datos_items!$E:$E,Analisis_grupo!$C$4),""))</f>
        <v/>
      </c>
      <c r="Q44" s="18" t="str">
        <f aca="false">IF($B44="","",IFERROR(SUMIFS(Datos_items!$Z:$Z,Datos_items!$B:$B,$B44,Datos_items!$O:$O,Q$4,Datos_items!$E:$E,Analisis_grupo!$C$4)/COUNTIFS(Datos_items!$B:$B,$B44,Datos_items!$O:$O,Q$4,Datos_items!$E:$E,Analisis_grupo!$C$4),""))</f>
        <v/>
      </c>
      <c r="R44" s="2" t="str">
        <f aca="false">IF(COUNT(J44:Q44)=0,"",IF(MIN(J44:Q44)&gt;=Analisis_grupo!$B$7,"(ninguna)",INDEX($J$4:$Q$4,MATCH(MIN(J44:Q44),J44:Q44,0))))</f>
        <v/>
      </c>
      <c r="S44" s="2" t="str">
        <f aca="false">IF($B44="","",COUNTIF(J44:Q44,"&lt;"&amp;Analisis_grupo!$B$7))</f>
        <v/>
      </c>
      <c r="T44" s="2" t="str">
        <f aca="false">IF($B44="","",COUNTIFS(Datos_items!$B:$B,$B44,Datos_items!$AA:$AA,T$4,Datos_items!$E:$E,Analisis_grupo!$C$4))</f>
        <v/>
      </c>
      <c r="U44" s="2" t="str">
        <f aca="false">IF($B44="","",COUNTIFS(Datos_items!$B:$B,$B44,Datos_items!$AA:$AA,U$4,Datos_items!$E:$E,Analisis_grupo!$C$4))</f>
        <v/>
      </c>
      <c r="V44" s="2" t="str">
        <f aca="false">IF($B44="","",COUNTIFS(Datos_items!$B:$B,$B44,Datos_items!$AA:$AA,V$4,Datos_items!$E:$E,Analisis_grupo!$C$4))</f>
        <v/>
      </c>
      <c r="W44" s="2" t="str">
        <f aca="false">IF($B44="","",COUNTIFS(Datos_items!$B:$B,$B44,Datos_items!$AA:$AA,W$4,Datos_items!$E:$E,Analisis_grupo!$C$4))</f>
        <v/>
      </c>
      <c r="X44" s="2" t="str">
        <f aca="false">IF($B44="","",COUNTIFS(Datos_items!$B:$B,$B44,Datos_items!$AA:$AA,X$4,Datos_items!$E:$E,Analisis_grupo!$C$4))</f>
        <v/>
      </c>
      <c r="Y44" s="2" t="str">
        <f aca="false">IF($B44="","",COUNTIFS(Datos_items!$B:$B,$B44,Datos_items!$AA:$AA,Y$4,Datos_items!$E:$E,Analisis_grupo!$C$4))</f>
        <v/>
      </c>
      <c r="Z44" s="2" t="str">
        <f aca="false">IF($B44="","",COUNTIFS(Datos_items!$B:$B,$B44,Datos_items!$AA:$AA,Z$4,Datos_items!$E:$E,Analisis_grupo!$C$4))</f>
        <v/>
      </c>
      <c r="AA44" s="2" t="str">
        <f aca="false">IF($B44="","",COUNTIFS(Datos_items!$B:$B,$B44,Datos_items!$AA:$AA,AA$4,Datos_items!$E:$E,Analisis_grupo!$C$4))</f>
        <v/>
      </c>
      <c r="AB44" s="2" t="str">
        <f aca="false">IF($B44="","",COUNTIFS(Datos_items!$B:$B,$B44,Datos_items!$AA:$AA,AB$4,Datos_items!$E:$E,Analisis_grupo!$C$4))</f>
        <v/>
      </c>
      <c r="AC44" s="2" t="str">
        <f aca="false">IF($B44="","",COUNTIFS(Datos_items!$B:$B,$B44,Datos_items!$AA:$AA,AC$4,Datos_items!$E:$E,Analisis_grupo!$C$4))</f>
        <v/>
      </c>
      <c r="AD44" s="2" t="str">
        <f aca="false">IF($B44="","",COUNTIFS(Datos_items!$B:$B,$B44,Datos_items!$AA:$AA,AD$4,Datos_items!$E:$E,Analisis_grupo!$C$4))</f>
        <v/>
      </c>
      <c r="AE44" s="2" t="str">
        <f aca="false">IF($B44="","",COUNTIFS(Datos_items!$B:$B,$B44,Datos_items!$AA:$AA,AE$4,Datos_items!$E:$E,Analisis_grupo!$C$4))</f>
        <v/>
      </c>
      <c r="AF44" s="2" t="str">
        <f aca="false">IF($B44="","",COUNTIFS(Datos_items!$B:$B,$B44,Datos_items!$AA:$AA,AF$4,Datos_items!$E:$E,Analisis_grupo!$C$4))</f>
        <v/>
      </c>
      <c r="AG44" s="2" t="str">
        <f aca="false">IF($B44="","",COUNTIFS(Datos_items!$B:$B,$B44,Datos_items!$AA:$AA,AG$4,Datos_items!$E:$E,Analisis_grupo!$C$4))</f>
        <v/>
      </c>
      <c r="AH44" s="2" t="str">
        <f aca="false">IF($B44="","",COUNTIFS(Datos_items!$B:$B,$B44,Datos_items!$AA:$AA,AH$4,Datos_items!$E:$E,Analisis_grupo!$C$4))</f>
        <v/>
      </c>
      <c r="AI44" s="2" t="str">
        <f aca="false">IF($B44="","",COUNTIFS(Datos_items!$B:$B,$B44,Datos_items!$AA:$AA,AI$4,Datos_items!$E:$E,Analisis_grupo!$C$4))</f>
        <v/>
      </c>
      <c r="AJ44" s="2" t="str">
        <f aca="false">IF($B44="","",COUNTIFS(Datos_items!$B:$B,$B44,Datos_items!$AA:$AA,AJ$4,Datos_items!$E:$E,Analisis_grupo!$C$4))</f>
        <v/>
      </c>
      <c r="AK44" s="2" t="str">
        <f aca="false">IF($B44="","",COUNTIFS(Datos_items!$B:$B,$B44,Datos_items!$AA:$AA,AK$4,Datos_items!$E:$E,Analisis_grupo!$C$4))</f>
        <v/>
      </c>
      <c r="AL44" s="2" t="str">
        <f aca="false">IF($B44="","",COUNTIFS(Datos_items!$B:$B,$B44,Datos_items!$AA:$AA,AL$4,Datos_items!$E:$E,Analisis_grupo!$C$4))</f>
        <v/>
      </c>
      <c r="AM44" s="2" t="str">
        <f aca="false">IF($B44="","",IF(MAX(Y44:AL44)=0,"",INDEX($Y$4:$AL$4,MATCH(MAX(Y44:AL44),Y44:AL44,0))))</f>
        <v/>
      </c>
      <c r="AN44" s="2" t="str">
        <f aca="false">IF($B44="","",COUNTIFS(Datos_problemas!$B:$B,$B44,Datos_problemas!$F:$F,"Práctica"))</f>
        <v/>
      </c>
      <c r="AO44" s="2" t="str">
        <f aca="false">IF($B44="","",SUMIFS(Datos_problemas!$AQ:$AQ,Datos_problemas!$B:$B,$B44,Datos_problemas!$F:$F,"Práctica"))</f>
        <v/>
      </c>
      <c r="AP44" s="2" t="str">
        <f aca="false">IF($B44="","",COUNTIFS(Datos_problemas!$B:$B,$B44,Datos_problemas!$F:$F,"Práctica",Datos_problemas!$AS:$AS,"Sí"))</f>
        <v/>
      </c>
    </row>
    <row r="45" customFormat="false" ht="15" hidden="false" customHeight="false" outlineLevel="0" collapsed="false">
      <c r="A45" s="2" t="n">
        <v>41</v>
      </c>
      <c r="B45" s="2" t="str">
        <f aca="false">IFERROR(INDEX(Datos_problemas!$B:$B,MATCH($A45,Datos_problemas!$AV:$AV,0)),"")</f>
        <v/>
      </c>
      <c r="C45" s="2" t="str">
        <f aca="false">IF($B45="","",INDEX(Datos_problemas!$C:$C,MATCH($A45,Datos_problemas!$AV:$AV,0)))</f>
        <v/>
      </c>
      <c r="D45" s="2" t="str">
        <f aca="false">IF($B45="","",INDEX(Datos_problemas!$D:$D,MATCH($A45,Datos_problemas!$AV:$AV,0)))</f>
        <v/>
      </c>
      <c r="E45" s="2" t="str">
        <f aca="false">IF($B45="","",COUNTIFS(Datos_problemas!$B:$B,$B45,Datos_problemas!$F:$F,"Evaluación"))</f>
        <v/>
      </c>
      <c r="F45" s="20" t="str">
        <f aca="false">IF($B45="","",IFERROR(AVERAGEIFS(Datos_problemas!$AE:$AE,Datos_problemas!$B:$B,$B45,Datos_problemas!$F:$F,"Evaluación"),""))</f>
        <v/>
      </c>
      <c r="G45" s="20" t="str">
        <f aca="false">IF($B45="","",IFERROR(AVERAGEIFS(Datos_problemas!$AE:$AE,Datos_problemas!$B:$B,$B45,Datos_problemas!$F:$F,"Evaluación",Datos_problemas!$E:$E,"Diagnóstico"),""))</f>
        <v/>
      </c>
      <c r="H45" s="20" t="str">
        <f aca="false">IF($B45="","",IFERROR(AVERAGEIFS(Datos_problemas!$AE:$AE,Datos_problemas!$B:$B,$B45,Datos_problemas!$F:$F,"Evaluación",Datos_problemas!$E:$E,"Final"),""))</f>
        <v/>
      </c>
      <c r="I45" s="21" t="str">
        <f aca="false">IF(OR(G45="",H45=""),"",IF(G45&gt;=10,"",(H45-G45)/(10-G45)))</f>
        <v/>
      </c>
      <c r="J45" s="18" t="str">
        <f aca="false">IF($B45="","",IFERROR(SUMIFS(Datos_items!$Z:$Z,Datos_items!$B:$B,$B45,Datos_items!$O:$O,J$4,Datos_items!$E:$E,Analisis_grupo!$C$4)/COUNTIFS(Datos_items!$B:$B,$B45,Datos_items!$O:$O,J$4,Datos_items!$E:$E,Analisis_grupo!$C$4),""))</f>
        <v/>
      </c>
      <c r="K45" s="18" t="str">
        <f aca="false">IF($B45="","",IFERROR(SUMIFS(Datos_items!$Z:$Z,Datos_items!$B:$B,$B45,Datos_items!$O:$O,K$4,Datos_items!$E:$E,Analisis_grupo!$C$4)/COUNTIFS(Datos_items!$B:$B,$B45,Datos_items!$O:$O,K$4,Datos_items!$E:$E,Analisis_grupo!$C$4),""))</f>
        <v/>
      </c>
      <c r="L45" s="18" t="str">
        <f aca="false">IF($B45="","",IFERROR(SUMIFS(Datos_items!$Z:$Z,Datos_items!$B:$B,$B45,Datos_items!$O:$O,L$4,Datos_items!$E:$E,Analisis_grupo!$C$4)/COUNTIFS(Datos_items!$B:$B,$B45,Datos_items!$O:$O,L$4,Datos_items!$E:$E,Analisis_grupo!$C$4),""))</f>
        <v/>
      </c>
      <c r="M45" s="18" t="str">
        <f aca="false">IF($B45="","",IFERROR(SUMIFS(Datos_items!$Z:$Z,Datos_items!$B:$B,$B45,Datos_items!$O:$O,M$4,Datos_items!$E:$E,Analisis_grupo!$C$4)/COUNTIFS(Datos_items!$B:$B,$B45,Datos_items!$O:$O,M$4,Datos_items!$E:$E,Analisis_grupo!$C$4),""))</f>
        <v/>
      </c>
      <c r="N45" s="18" t="str">
        <f aca="false">IF($B45="","",IFERROR(SUMIFS(Datos_items!$Z:$Z,Datos_items!$B:$B,$B45,Datos_items!$O:$O,N$4,Datos_items!$E:$E,Analisis_grupo!$C$4)/COUNTIFS(Datos_items!$B:$B,$B45,Datos_items!$O:$O,N$4,Datos_items!$E:$E,Analisis_grupo!$C$4),""))</f>
        <v/>
      </c>
      <c r="O45" s="18" t="str">
        <f aca="false">IF($B45="","",IFERROR(SUMIFS(Datos_items!$Z:$Z,Datos_items!$B:$B,$B45,Datos_items!$O:$O,O$4,Datos_items!$E:$E,Analisis_grupo!$C$4)/COUNTIFS(Datos_items!$B:$B,$B45,Datos_items!$O:$O,O$4,Datos_items!$E:$E,Analisis_grupo!$C$4),""))</f>
        <v/>
      </c>
      <c r="P45" s="18" t="str">
        <f aca="false">IF($B45="","",IFERROR(SUMIFS(Datos_items!$Z:$Z,Datos_items!$B:$B,$B45,Datos_items!$O:$O,P$4,Datos_items!$E:$E,Analisis_grupo!$C$4)/COUNTIFS(Datos_items!$B:$B,$B45,Datos_items!$O:$O,P$4,Datos_items!$E:$E,Analisis_grupo!$C$4),""))</f>
        <v/>
      </c>
      <c r="Q45" s="18" t="str">
        <f aca="false">IF($B45="","",IFERROR(SUMIFS(Datos_items!$Z:$Z,Datos_items!$B:$B,$B45,Datos_items!$O:$O,Q$4,Datos_items!$E:$E,Analisis_grupo!$C$4)/COUNTIFS(Datos_items!$B:$B,$B45,Datos_items!$O:$O,Q$4,Datos_items!$E:$E,Analisis_grupo!$C$4),""))</f>
        <v/>
      </c>
      <c r="R45" s="2" t="str">
        <f aca="false">IF(COUNT(J45:Q45)=0,"",IF(MIN(J45:Q45)&gt;=Analisis_grupo!$B$7,"(ninguna)",INDEX($J$4:$Q$4,MATCH(MIN(J45:Q45),J45:Q45,0))))</f>
        <v/>
      </c>
      <c r="S45" s="2" t="str">
        <f aca="false">IF($B45="","",COUNTIF(J45:Q45,"&lt;"&amp;Analisis_grupo!$B$7))</f>
        <v/>
      </c>
      <c r="T45" s="2" t="str">
        <f aca="false">IF($B45="","",COUNTIFS(Datos_items!$B:$B,$B45,Datos_items!$AA:$AA,T$4,Datos_items!$E:$E,Analisis_grupo!$C$4))</f>
        <v/>
      </c>
      <c r="U45" s="2" t="str">
        <f aca="false">IF($B45="","",COUNTIFS(Datos_items!$B:$B,$B45,Datos_items!$AA:$AA,U$4,Datos_items!$E:$E,Analisis_grupo!$C$4))</f>
        <v/>
      </c>
      <c r="V45" s="2" t="str">
        <f aca="false">IF($B45="","",COUNTIFS(Datos_items!$B:$B,$B45,Datos_items!$AA:$AA,V$4,Datos_items!$E:$E,Analisis_grupo!$C$4))</f>
        <v/>
      </c>
      <c r="W45" s="2" t="str">
        <f aca="false">IF($B45="","",COUNTIFS(Datos_items!$B:$B,$B45,Datos_items!$AA:$AA,W$4,Datos_items!$E:$E,Analisis_grupo!$C$4))</f>
        <v/>
      </c>
      <c r="X45" s="2" t="str">
        <f aca="false">IF($B45="","",COUNTIFS(Datos_items!$B:$B,$B45,Datos_items!$AA:$AA,X$4,Datos_items!$E:$E,Analisis_grupo!$C$4))</f>
        <v/>
      </c>
      <c r="Y45" s="2" t="str">
        <f aca="false">IF($B45="","",COUNTIFS(Datos_items!$B:$B,$B45,Datos_items!$AA:$AA,Y$4,Datos_items!$E:$E,Analisis_grupo!$C$4))</f>
        <v/>
      </c>
      <c r="Z45" s="2" t="str">
        <f aca="false">IF($B45="","",COUNTIFS(Datos_items!$B:$B,$B45,Datos_items!$AA:$AA,Z$4,Datos_items!$E:$E,Analisis_grupo!$C$4))</f>
        <v/>
      </c>
      <c r="AA45" s="2" t="str">
        <f aca="false">IF($B45="","",COUNTIFS(Datos_items!$B:$B,$B45,Datos_items!$AA:$AA,AA$4,Datos_items!$E:$E,Analisis_grupo!$C$4))</f>
        <v/>
      </c>
      <c r="AB45" s="2" t="str">
        <f aca="false">IF($B45="","",COUNTIFS(Datos_items!$B:$B,$B45,Datos_items!$AA:$AA,AB$4,Datos_items!$E:$E,Analisis_grupo!$C$4))</f>
        <v/>
      </c>
      <c r="AC45" s="2" t="str">
        <f aca="false">IF($B45="","",COUNTIFS(Datos_items!$B:$B,$B45,Datos_items!$AA:$AA,AC$4,Datos_items!$E:$E,Analisis_grupo!$C$4))</f>
        <v/>
      </c>
      <c r="AD45" s="2" t="str">
        <f aca="false">IF($B45="","",COUNTIFS(Datos_items!$B:$B,$B45,Datos_items!$AA:$AA,AD$4,Datos_items!$E:$E,Analisis_grupo!$C$4))</f>
        <v/>
      </c>
      <c r="AE45" s="2" t="str">
        <f aca="false">IF($B45="","",COUNTIFS(Datos_items!$B:$B,$B45,Datos_items!$AA:$AA,AE$4,Datos_items!$E:$E,Analisis_grupo!$C$4))</f>
        <v/>
      </c>
      <c r="AF45" s="2" t="str">
        <f aca="false">IF($B45="","",COUNTIFS(Datos_items!$B:$B,$B45,Datos_items!$AA:$AA,AF$4,Datos_items!$E:$E,Analisis_grupo!$C$4))</f>
        <v/>
      </c>
      <c r="AG45" s="2" t="str">
        <f aca="false">IF($B45="","",COUNTIFS(Datos_items!$B:$B,$B45,Datos_items!$AA:$AA,AG$4,Datos_items!$E:$E,Analisis_grupo!$C$4))</f>
        <v/>
      </c>
      <c r="AH45" s="2" t="str">
        <f aca="false">IF($B45="","",COUNTIFS(Datos_items!$B:$B,$B45,Datos_items!$AA:$AA,AH$4,Datos_items!$E:$E,Analisis_grupo!$C$4))</f>
        <v/>
      </c>
      <c r="AI45" s="2" t="str">
        <f aca="false">IF($B45="","",COUNTIFS(Datos_items!$B:$B,$B45,Datos_items!$AA:$AA,AI$4,Datos_items!$E:$E,Analisis_grupo!$C$4))</f>
        <v/>
      </c>
      <c r="AJ45" s="2" t="str">
        <f aca="false">IF($B45="","",COUNTIFS(Datos_items!$B:$B,$B45,Datos_items!$AA:$AA,AJ$4,Datos_items!$E:$E,Analisis_grupo!$C$4))</f>
        <v/>
      </c>
      <c r="AK45" s="2" t="str">
        <f aca="false">IF($B45="","",COUNTIFS(Datos_items!$B:$B,$B45,Datos_items!$AA:$AA,AK$4,Datos_items!$E:$E,Analisis_grupo!$C$4))</f>
        <v/>
      </c>
      <c r="AL45" s="2" t="str">
        <f aca="false">IF($B45="","",COUNTIFS(Datos_items!$B:$B,$B45,Datos_items!$AA:$AA,AL$4,Datos_items!$E:$E,Analisis_grupo!$C$4))</f>
        <v/>
      </c>
      <c r="AM45" s="2" t="str">
        <f aca="false">IF($B45="","",IF(MAX(Y45:AL45)=0,"",INDEX($Y$4:$AL$4,MATCH(MAX(Y45:AL45),Y45:AL45,0))))</f>
        <v/>
      </c>
      <c r="AN45" s="2" t="str">
        <f aca="false">IF($B45="","",COUNTIFS(Datos_problemas!$B:$B,$B45,Datos_problemas!$F:$F,"Práctica"))</f>
        <v/>
      </c>
      <c r="AO45" s="2" t="str">
        <f aca="false">IF($B45="","",SUMIFS(Datos_problemas!$AQ:$AQ,Datos_problemas!$B:$B,$B45,Datos_problemas!$F:$F,"Práctica"))</f>
        <v/>
      </c>
      <c r="AP45" s="2" t="str">
        <f aca="false">IF($B45="","",COUNTIFS(Datos_problemas!$B:$B,$B45,Datos_problemas!$F:$F,"Práctica",Datos_problemas!$AS:$AS,"Sí"))</f>
        <v/>
      </c>
    </row>
    <row r="46" customFormat="false" ht="15" hidden="false" customHeight="false" outlineLevel="0" collapsed="false">
      <c r="A46" s="2" t="n">
        <v>42</v>
      </c>
      <c r="B46" s="2" t="str">
        <f aca="false">IFERROR(INDEX(Datos_problemas!$B:$B,MATCH($A46,Datos_problemas!$AV:$AV,0)),"")</f>
        <v/>
      </c>
      <c r="C46" s="2" t="str">
        <f aca="false">IF($B46="","",INDEX(Datos_problemas!$C:$C,MATCH($A46,Datos_problemas!$AV:$AV,0)))</f>
        <v/>
      </c>
      <c r="D46" s="2" t="str">
        <f aca="false">IF($B46="","",INDEX(Datos_problemas!$D:$D,MATCH($A46,Datos_problemas!$AV:$AV,0)))</f>
        <v/>
      </c>
      <c r="E46" s="2" t="str">
        <f aca="false">IF($B46="","",COUNTIFS(Datos_problemas!$B:$B,$B46,Datos_problemas!$F:$F,"Evaluación"))</f>
        <v/>
      </c>
      <c r="F46" s="20" t="str">
        <f aca="false">IF($B46="","",IFERROR(AVERAGEIFS(Datos_problemas!$AE:$AE,Datos_problemas!$B:$B,$B46,Datos_problemas!$F:$F,"Evaluación"),""))</f>
        <v/>
      </c>
      <c r="G46" s="20" t="str">
        <f aca="false">IF($B46="","",IFERROR(AVERAGEIFS(Datos_problemas!$AE:$AE,Datos_problemas!$B:$B,$B46,Datos_problemas!$F:$F,"Evaluación",Datos_problemas!$E:$E,"Diagnóstico"),""))</f>
        <v/>
      </c>
      <c r="H46" s="20" t="str">
        <f aca="false">IF($B46="","",IFERROR(AVERAGEIFS(Datos_problemas!$AE:$AE,Datos_problemas!$B:$B,$B46,Datos_problemas!$F:$F,"Evaluación",Datos_problemas!$E:$E,"Final"),""))</f>
        <v/>
      </c>
      <c r="I46" s="21" t="str">
        <f aca="false">IF(OR(G46="",H46=""),"",IF(G46&gt;=10,"",(H46-G46)/(10-G46)))</f>
        <v/>
      </c>
      <c r="J46" s="18" t="str">
        <f aca="false">IF($B46="","",IFERROR(SUMIFS(Datos_items!$Z:$Z,Datos_items!$B:$B,$B46,Datos_items!$O:$O,J$4,Datos_items!$E:$E,Analisis_grupo!$C$4)/COUNTIFS(Datos_items!$B:$B,$B46,Datos_items!$O:$O,J$4,Datos_items!$E:$E,Analisis_grupo!$C$4),""))</f>
        <v/>
      </c>
      <c r="K46" s="18" t="str">
        <f aca="false">IF($B46="","",IFERROR(SUMIFS(Datos_items!$Z:$Z,Datos_items!$B:$B,$B46,Datos_items!$O:$O,K$4,Datos_items!$E:$E,Analisis_grupo!$C$4)/COUNTIFS(Datos_items!$B:$B,$B46,Datos_items!$O:$O,K$4,Datos_items!$E:$E,Analisis_grupo!$C$4),""))</f>
        <v/>
      </c>
      <c r="L46" s="18" t="str">
        <f aca="false">IF($B46="","",IFERROR(SUMIFS(Datos_items!$Z:$Z,Datos_items!$B:$B,$B46,Datos_items!$O:$O,L$4,Datos_items!$E:$E,Analisis_grupo!$C$4)/COUNTIFS(Datos_items!$B:$B,$B46,Datos_items!$O:$O,L$4,Datos_items!$E:$E,Analisis_grupo!$C$4),""))</f>
        <v/>
      </c>
      <c r="M46" s="18" t="str">
        <f aca="false">IF($B46="","",IFERROR(SUMIFS(Datos_items!$Z:$Z,Datos_items!$B:$B,$B46,Datos_items!$O:$O,M$4,Datos_items!$E:$E,Analisis_grupo!$C$4)/COUNTIFS(Datos_items!$B:$B,$B46,Datos_items!$O:$O,M$4,Datos_items!$E:$E,Analisis_grupo!$C$4),""))</f>
        <v/>
      </c>
      <c r="N46" s="18" t="str">
        <f aca="false">IF($B46="","",IFERROR(SUMIFS(Datos_items!$Z:$Z,Datos_items!$B:$B,$B46,Datos_items!$O:$O,N$4,Datos_items!$E:$E,Analisis_grupo!$C$4)/COUNTIFS(Datos_items!$B:$B,$B46,Datos_items!$O:$O,N$4,Datos_items!$E:$E,Analisis_grupo!$C$4),""))</f>
        <v/>
      </c>
      <c r="O46" s="18" t="str">
        <f aca="false">IF($B46="","",IFERROR(SUMIFS(Datos_items!$Z:$Z,Datos_items!$B:$B,$B46,Datos_items!$O:$O,O$4,Datos_items!$E:$E,Analisis_grupo!$C$4)/COUNTIFS(Datos_items!$B:$B,$B46,Datos_items!$O:$O,O$4,Datos_items!$E:$E,Analisis_grupo!$C$4),""))</f>
        <v/>
      </c>
      <c r="P46" s="18" t="str">
        <f aca="false">IF($B46="","",IFERROR(SUMIFS(Datos_items!$Z:$Z,Datos_items!$B:$B,$B46,Datos_items!$O:$O,P$4,Datos_items!$E:$E,Analisis_grupo!$C$4)/COUNTIFS(Datos_items!$B:$B,$B46,Datos_items!$O:$O,P$4,Datos_items!$E:$E,Analisis_grupo!$C$4),""))</f>
        <v/>
      </c>
      <c r="Q46" s="18" t="str">
        <f aca="false">IF($B46="","",IFERROR(SUMIFS(Datos_items!$Z:$Z,Datos_items!$B:$B,$B46,Datos_items!$O:$O,Q$4,Datos_items!$E:$E,Analisis_grupo!$C$4)/COUNTIFS(Datos_items!$B:$B,$B46,Datos_items!$O:$O,Q$4,Datos_items!$E:$E,Analisis_grupo!$C$4),""))</f>
        <v/>
      </c>
      <c r="R46" s="2" t="str">
        <f aca="false">IF(COUNT(J46:Q46)=0,"",IF(MIN(J46:Q46)&gt;=Analisis_grupo!$B$7,"(ninguna)",INDEX($J$4:$Q$4,MATCH(MIN(J46:Q46),J46:Q46,0))))</f>
        <v/>
      </c>
      <c r="S46" s="2" t="str">
        <f aca="false">IF($B46="","",COUNTIF(J46:Q46,"&lt;"&amp;Analisis_grupo!$B$7))</f>
        <v/>
      </c>
      <c r="T46" s="2" t="str">
        <f aca="false">IF($B46="","",COUNTIFS(Datos_items!$B:$B,$B46,Datos_items!$AA:$AA,T$4,Datos_items!$E:$E,Analisis_grupo!$C$4))</f>
        <v/>
      </c>
      <c r="U46" s="2" t="str">
        <f aca="false">IF($B46="","",COUNTIFS(Datos_items!$B:$B,$B46,Datos_items!$AA:$AA,U$4,Datos_items!$E:$E,Analisis_grupo!$C$4))</f>
        <v/>
      </c>
      <c r="V46" s="2" t="str">
        <f aca="false">IF($B46="","",COUNTIFS(Datos_items!$B:$B,$B46,Datos_items!$AA:$AA,V$4,Datos_items!$E:$E,Analisis_grupo!$C$4))</f>
        <v/>
      </c>
      <c r="W46" s="2" t="str">
        <f aca="false">IF($B46="","",COUNTIFS(Datos_items!$B:$B,$B46,Datos_items!$AA:$AA,W$4,Datos_items!$E:$E,Analisis_grupo!$C$4))</f>
        <v/>
      </c>
      <c r="X46" s="2" t="str">
        <f aca="false">IF($B46="","",COUNTIFS(Datos_items!$B:$B,$B46,Datos_items!$AA:$AA,X$4,Datos_items!$E:$E,Analisis_grupo!$C$4))</f>
        <v/>
      </c>
      <c r="Y46" s="2" t="str">
        <f aca="false">IF($B46="","",COUNTIFS(Datos_items!$B:$B,$B46,Datos_items!$AA:$AA,Y$4,Datos_items!$E:$E,Analisis_grupo!$C$4))</f>
        <v/>
      </c>
      <c r="Z46" s="2" t="str">
        <f aca="false">IF($B46="","",COUNTIFS(Datos_items!$B:$B,$B46,Datos_items!$AA:$AA,Z$4,Datos_items!$E:$E,Analisis_grupo!$C$4))</f>
        <v/>
      </c>
      <c r="AA46" s="2" t="str">
        <f aca="false">IF($B46="","",COUNTIFS(Datos_items!$B:$B,$B46,Datos_items!$AA:$AA,AA$4,Datos_items!$E:$E,Analisis_grupo!$C$4))</f>
        <v/>
      </c>
      <c r="AB46" s="2" t="str">
        <f aca="false">IF($B46="","",COUNTIFS(Datos_items!$B:$B,$B46,Datos_items!$AA:$AA,AB$4,Datos_items!$E:$E,Analisis_grupo!$C$4))</f>
        <v/>
      </c>
      <c r="AC46" s="2" t="str">
        <f aca="false">IF($B46="","",COUNTIFS(Datos_items!$B:$B,$B46,Datos_items!$AA:$AA,AC$4,Datos_items!$E:$E,Analisis_grupo!$C$4))</f>
        <v/>
      </c>
      <c r="AD46" s="2" t="str">
        <f aca="false">IF($B46="","",COUNTIFS(Datos_items!$B:$B,$B46,Datos_items!$AA:$AA,AD$4,Datos_items!$E:$E,Analisis_grupo!$C$4))</f>
        <v/>
      </c>
      <c r="AE46" s="2" t="str">
        <f aca="false">IF($B46="","",COUNTIFS(Datos_items!$B:$B,$B46,Datos_items!$AA:$AA,AE$4,Datos_items!$E:$E,Analisis_grupo!$C$4))</f>
        <v/>
      </c>
      <c r="AF46" s="2" t="str">
        <f aca="false">IF($B46="","",COUNTIFS(Datos_items!$B:$B,$B46,Datos_items!$AA:$AA,AF$4,Datos_items!$E:$E,Analisis_grupo!$C$4))</f>
        <v/>
      </c>
      <c r="AG46" s="2" t="str">
        <f aca="false">IF($B46="","",COUNTIFS(Datos_items!$B:$B,$B46,Datos_items!$AA:$AA,AG$4,Datos_items!$E:$E,Analisis_grupo!$C$4))</f>
        <v/>
      </c>
      <c r="AH46" s="2" t="str">
        <f aca="false">IF($B46="","",COUNTIFS(Datos_items!$B:$B,$B46,Datos_items!$AA:$AA,AH$4,Datos_items!$E:$E,Analisis_grupo!$C$4))</f>
        <v/>
      </c>
      <c r="AI46" s="2" t="str">
        <f aca="false">IF($B46="","",COUNTIFS(Datos_items!$B:$B,$B46,Datos_items!$AA:$AA,AI$4,Datos_items!$E:$E,Analisis_grupo!$C$4))</f>
        <v/>
      </c>
      <c r="AJ46" s="2" t="str">
        <f aca="false">IF($B46="","",COUNTIFS(Datos_items!$B:$B,$B46,Datos_items!$AA:$AA,AJ$4,Datos_items!$E:$E,Analisis_grupo!$C$4))</f>
        <v/>
      </c>
      <c r="AK46" s="2" t="str">
        <f aca="false">IF($B46="","",COUNTIFS(Datos_items!$B:$B,$B46,Datos_items!$AA:$AA,AK$4,Datos_items!$E:$E,Analisis_grupo!$C$4))</f>
        <v/>
      </c>
      <c r="AL46" s="2" t="str">
        <f aca="false">IF($B46="","",COUNTIFS(Datos_items!$B:$B,$B46,Datos_items!$AA:$AA,AL$4,Datos_items!$E:$E,Analisis_grupo!$C$4))</f>
        <v/>
      </c>
      <c r="AM46" s="2" t="str">
        <f aca="false">IF($B46="","",IF(MAX(Y46:AL46)=0,"",INDEX($Y$4:$AL$4,MATCH(MAX(Y46:AL46),Y46:AL46,0))))</f>
        <v/>
      </c>
      <c r="AN46" s="2" t="str">
        <f aca="false">IF($B46="","",COUNTIFS(Datos_problemas!$B:$B,$B46,Datos_problemas!$F:$F,"Práctica"))</f>
        <v/>
      </c>
      <c r="AO46" s="2" t="str">
        <f aca="false">IF($B46="","",SUMIFS(Datos_problemas!$AQ:$AQ,Datos_problemas!$B:$B,$B46,Datos_problemas!$F:$F,"Práctica"))</f>
        <v/>
      </c>
      <c r="AP46" s="2" t="str">
        <f aca="false">IF($B46="","",COUNTIFS(Datos_problemas!$B:$B,$B46,Datos_problemas!$F:$F,"Práctica",Datos_problemas!$AS:$AS,"Sí"))</f>
        <v/>
      </c>
    </row>
    <row r="47" customFormat="false" ht="15" hidden="false" customHeight="false" outlineLevel="0" collapsed="false">
      <c r="A47" s="2" t="n">
        <v>43</v>
      </c>
      <c r="B47" s="2" t="str">
        <f aca="false">IFERROR(INDEX(Datos_problemas!$B:$B,MATCH($A47,Datos_problemas!$AV:$AV,0)),"")</f>
        <v/>
      </c>
      <c r="C47" s="2" t="str">
        <f aca="false">IF($B47="","",INDEX(Datos_problemas!$C:$C,MATCH($A47,Datos_problemas!$AV:$AV,0)))</f>
        <v/>
      </c>
      <c r="D47" s="2" t="str">
        <f aca="false">IF($B47="","",INDEX(Datos_problemas!$D:$D,MATCH($A47,Datos_problemas!$AV:$AV,0)))</f>
        <v/>
      </c>
      <c r="E47" s="2" t="str">
        <f aca="false">IF($B47="","",COUNTIFS(Datos_problemas!$B:$B,$B47,Datos_problemas!$F:$F,"Evaluación"))</f>
        <v/>
      </c>
      <c r="F47" s="20" t="str">
        <f aca="false">IF($B47="","",IFERROR(AVERAGEIFS(Datos_problemas!$AE:$AE,Datos_problemas!$B:$B,$B47,Datos_problemas!$F:$F,"Evaluación"),""))</f>
        <v/>
      </c>
      <c r="G47" s="20" t="str">
        <f aca="false">IF($B47="","",IFERROR(AVERAGEIFS(Datos_problemas!$AE:$AE,Datos_problemas!$B:$B,$B47,Datos_problemas!$F:$F,"Evaluación",Datos_problemas!$E:$E,"Diagnóstico"),""))</f>
        <v/>
      </c>
      <c r="H47" s="20" t="str">
        <f aca="false">IF($B47="","",IFERROR(AVERAGEIFS(Datos_problemas!$AE:$AE,Datos_problemas!$B:$B,$B47,Datos_problemas!$F:$F,"Evaluación",Datos_problemas!$E:$E,"Final"),""))</f>
        <v/>
      </c>
      <c r="I47" s="21" t="str">
        <f aca="false">IF(OR(G47="",H47=""),"",IF(G47&gt;=10,"",(H47-G47)/(10-G47)))</f>
        <v/>
      </c>
      <c r="J47" s="18" t="str">
        <f aca="false">IF($B47="","",IFERROR(SUMIFS(Datos_items!$Z:$Z,Datos_items!$B:$B,$B47,Datos_items!$O:$O,J$4,Datos_items!$E:$E,Analisis_grupo!$C$4)/COUNTIFS(Datos_items!$B:$B,$B47,Datos_items!$O:$O,J$4,Datos_items!$E:$E,Analisis_grupo!$C$4),""))</f>
        <v/>
      </c>
      <c r="K47" s="18" t="str">
        <f aca="false">IF($B47="","",IFERROR(SUMIFS(Datos_items!$Z:$Z,Datos_items!$B:$B,$B47,Datos_items!$O:$O,K$4,Datos_items!$E:$E,Analisis_grupo!$C$4)/COUNTIFS(Datos_items!$B:$B,$B47,Datos_items!$O:$O,K$4,Datos_items!$E:$E,Analisis_grupo!$C$4),""))</f>
        <v/>
      </c>
      <c r="L47" s="18" t="str">
        <f aca="false">IF($B47="","",IFERROR(SUMIFS(Datos_items!$Z:$Z,Datos_items!$B:$B,$B47,Datos_items!$O:$O,L$4,Datos_items!$E:$E,Analisis_grupo!$C$4)/COUNTIFS(Datos_items!$B:$B,$B47,Datos_items!$O:$O,L$4,Datos_items!$E:$E,Analisis_grupo!$C$4),""))</f>
        <v/>
      </c>
      <c r="M47" s="18" t="str">
        <f aca="false">IF($B47="","",IFERROR(SUMIFS(Datos_items!$Z:$Z,Datos_items!$B:$B,$B47,Datos_items!$O:$O,M$4,Datos_items!$E:$E,Analisis_grupo!$C$4)/COUNTIFS(Datos_items!$B:$B,$B47,Datos_items!$O:$O,M$4,Datos_items!$E:$E,Analisis_grupo!$C$4),""))</f>
        <v/>
      </c>
      <c r="N47" s="18" t="str">
        <f aca="false">IF($B47="","",IFERROR(SUMIFS(Datos_items!$Z:$Z,Datos_items!$B:$B,$B47,Datos_items!$O:$O,N$4,Datos_items!$E:$E,Analisis_grupo!$C$4)/COUNTIFS(Datos_items!$B:$B,$B47,Datos_items!$O:$O,N$4,Datos_items!$E:$E,Analisis_grupo!$C$4),""))</f>
        <v/>
      </c>
      <c r="O47" s="18" t="str">
        <f aca="false">IF($B47="","",IFERROR(SUMIFS(Datos_items!$Z:$Z,Datos_items!$B:$B,$B47,Datos_items!$O:$O,O$4,Datos_items!$E:$E,Analisis_grupo!$C$4)/COUNTIFS(Datos_items!$B:$B,$B47,Datos_items!$O:$O,O$4,Datos_items!$E:$E,Analisis_grupo!$C$4),""))</f>
        <v/>
      </c>
      <c r="P47" s="18" t="str">
        <f aca="false">IF($B47="","",IFERROR(SUMIFS(Datos_items!$Z:$Z,Datos_items!$B:$B,$B47,Datos_items!$O:$O,P$4,Datos_items!$E:$E,Analisis_grupo!$C$4)/COUNTIFS(Datos_items!$B:$B,$B47,Datos_items!$O:$O,P$4,Datos_items!$E:$E,Analisis_grupo!$C$4),""))</f>
        <v/>
      </c>
      <c r="Q47" s="18" t="str">
        <f aca="false">IF($B47="","",IFERROR(SUMIFS(Datos_items!$Z:$Z,Datos_items!$B:$B,$B47,Datos_items!$O:$O,Q$4,Datos_items!$E:$E,Analisis_grupo!$C$4)/COUNTIFS(Datos_items!$B:$B,$B47,Datos_items!$O:$O,Q$4,Datos_items!$E:$E,Analisis_grupo!$C$4),""))</f>
        <v/>
      </c>
      <c r="R47" s="2" t="str">
        <f aca="false">IF(COUNT(J47:Q47)=0,"",IF(MIN(J47:Q47)&gt;=Analisis_grupo!$B$7,"(ninguna)",INDEX($J$4:$Q$4,MATCH(MIN(J47:Q47),J47:Q47,0))))</f>
        <v/>
      </c>
      <c r="S47" s="2" t="str">
        <f aca="false">IF($B47="","",COUNTIF(J47:Q47,"&lt;"&amp;Analisis_grupo!$B$7))</f>
        <v/>
      </c>
      <c r="T47" s="2" t="str">
        <f aca="false">IF($B47="","",COUNTIFS(Datos_items!$B:$B,$B47,Datos_items!$AA:$AA,T$4,Datos_items!$E:$E,Analisis_grupo!$C$4))</f>
        <v/>
      </c>
      <c r="U47" s="2" t="str">
        <f aca="false">IF($B47="","",COUNTIFS(Datos_items!$B:$B,$B47,Datos_items!$AA:$AA,U$4,Datos_items!$E:$E,Analisis_grupo!$C$4))</f>
        <v/>
      </c>
      <c r="V47" s="2" t="str">
        <f aca="false">IF($B47="","",COUNTIFS(Datos_items!$B:$B,$B47,Datos_items!$AA:$AA,V$4,Datos_items!$E:$E,Analisis_grupo!$C$4))</f>
        <v/>
      </c>
      <c r="W47" s="2" t="str">
        <f aca="false">IF($B47="","",COUNTIFS(Datos_items!$B:$B,$B47,Datos_items!$AA:$AA,W$4,Datos_items!$E:$E,Analisis_grupo!$C$4))</f>
        <v/>
      </c>
      <c r="X47" s="2" t="str">
        <f aca="false">IF($B47="","",COUNTIFS(Datos_items!$B:$B,$B47,Datos_items!$AA:$AA,X$4,Datos_items!$E:$E,Analisis_grupo!$C$4))</f>
        <v/>
      </c>
      <c r="Y47" s="2" t="str">
        <f aca="false">IF($B47="","",COUNTIFS(Datos_items!$B:$B,$B47,Datos_items!$AA:$AA,Y$4,Datos_items!$E:$E,Analisis_grupo!$C$4))</f>
        <v/>
      </c>
      <c r="Z47" s="2" t="str">
        <f aca="false">IF($B47="","",COUNTIFS(Datos_items!$B:$B,$B47,Datos_items!$AA:$AA,Z$4,Datos_items!$E:$E,Analisis_grupo!$C$4))</f>
        <v/>
      </c>
      <c r="AA47" s="2" t="str">
        <f aca="false">IF($B47="","",COUNTIFS(Datos_items!$B:$B,$B47,Datos_items!$AA:$AA,AA$4,Datos_items!$E:$E,Analisis_grupo!$C$4))</f>
        <v/>
      </c>
      <c r="AB47" s="2" t="str">
        <f aca="false">IF($B47="","",COUNTIFS(Datos_items!$B:$B,$B47,Datos_items!$AA:$AA,AB$4,Datos_items!$E:$E,Analisis_grupo!$C$4))</f>
        <v/>
      </c>
      <c r="AC47" s="2" t="str">
        <f aca="false">IF($B47="","",COUNTIFS(Datos_items!$B:$B,$B47,Datos_items!$AA:$AA,AC$4,Datos_items!$E:$E,Analisis_grupo!$C$4))</f>
        <v/>
      </c>
      <c r="AD47" s="2" t="str">
        <f aca="false">IF($B47="","",COUNTIFS(Datos_items!$B:$B,$B47,Datos_items!$AA:$AA,AD$4,Datos_items!$E:$E,Analisis_grupo!$C$4))</f>
        <v/>
      </c>
      <c r="AE47" s="2" t="str">
        <f aca="false">IF($B47="","",COUNTIFS(Datos_items!$B:$B,$B47,Datos_items!$AA:$AA,AE$4,Datos_items!$E:$E,Analisis_grupo!$C$4))</f>
        <v/>
      </c>
      <c r="AF47" s="2" t="str">
        <f aca="false">IF($B47="","",COUNTIFS(Datos_items!$B:$B,$B47,Datos_items!$AA:$AA,AF$4,Datos_items!$E:$E,Analisis_grupo!$C$4))</f>
        <v/>
      </c>
      <c r="AG47" s="2" t="str">
        <f aca="false">IF($B47="","",COUNTIFS(Datos_items!$B:$B,$B47,Datos_items!$AA:$AA,AG$4,Datos_items!$E:$E,Analisis_grupo!$C$4))</f>
        <v/>
      </c>
      <c r="AH47" s="2" t="str">
        <f aca="false">IF($B47="","",COUNTIFS(Datos_items!$B:$B,$B47,Datos_items!$AA:$AA,AH$4,Datos_items!$E:$E,Analisis_grupo!$C$4))</f>
        <v/>
      </c>
      <c r="AI47" s="2" t="str">
        <f aca="false">IF($B47="","",COUNTIFS(Datos_items!$B:$B,$B47,Datos_items!$AA:$AA,AI$4,Datos_items!$E:$E,Analisis_grupo!$C$4))</f>
        <v/>
      </c>
      <c r="AJ47" s="2" t="str">
        <f aca="false">IF($B47="","",COUNTIFS(Datos_items!$B:$B,$B47,Datos_items!$AA:$AA,AJ$4,Datos_items!$E:$E,Analisis_grupo!$C$4))</f>
        <v/>
      </c>
      <c r="AK47" s="2" t="str">
        <f aca="false">IF($B47="","",COUNTIFS(Datos_items!$B:$B,$B47,Datos_items!$AA:$AA,AK$4,Datos_items!$E:$E,Analisis_grupo!$C$4))</f>
        <v/>
      </c>
      <c r="AL47" s="2" t="str">
        <f aca="false">IF($B47="","",COUNTIFS(Datos_items!$B:$B,$B47,Datos_items!$AA:$AA,AL$4,Datos_items!$E:$E,Analisis_grupo!$C$4))</f>
        <v/>
      </c>
      <c r="AM47" s="2" t="str">
        <f aca="false">IF($B47="","",IF(MAX(Y47:AL47)=0,"",INDEX($Y$4:$AL$4,MATCH(MAX(Y47:AL47),Y47:AL47,0))))</f>
        <v/>
      </c>
      <c r="AN47" s="2" t="str">
        <f aca="false">IF($B47="","",COUNTIFS(Datos_problemas!$B:$B,$B47,Datos_problemas!$F:$F,"Práctica"))</f>
        <v/>
      </c>
      <c r="AO47" s="2" t="str">
        <f aca="false">IF($B47="","",SUMIFS(Datos_problemas!$AQ:$AQ,Datos_problemas!$B:$B,$B47,Datos_problemas!$F:$F,"Práctica"))</f>
        <v/>
      </c>
      <c r="AP47" s="2" t="str">
        <f aca="false">IF($B47="","",COUNTIFS(Datos_problemas!$B:$B,$B47,Datos_problemas!$F:$F,"Práctica",Datos_problemas!$AS:$AS,"Sí"))</f>
        <v/>
      </c>
    </row>
    <row r="48" customFormat="false" ht="15" hidden="false" customHeight="false" outlineLevel="0" collapsed="false">
      <c r="A48" s="2" t="n">
        <v>44</v>
      </c>
      <c r="B48" s="2" t="str">
        <f aca="false">IFERROR(INDEX(Datos_problemas!$B:$B,MATCH($A48,Datos_problemas!$AV:$AV,0)),"")</f>
        <v/>
      </c>
      <c r="C48" s="2" t="str">
        <f aca="false">IF($B48="","",INDEX(Datos_problemas!$C:$C,MATCH($A48,Datos_problemas!$AV:$AV,0)))</f>
        <v/>
      </c>
      <c r="D48" s="2" t="str">
        <f aca="false">IF($B48="","",INDEX(Datos_problemas!$D:$D,MATCH($A48,Datos_problemas!$AV:$AV,0)))</f>
        <v/>
      </c>
      <c r="E48" s="2" t="str">
        <f aca="false">IF($B48="","",COUNTIFS(Datos_problemas!$B:$B,$B48,Datos_problemas!$F:$F,"Evaluación"))</f>
        <v/>
      </c>
      <c r="F48" s="20" t="str">
        <f aca="false">IF($B48="","",IFERROR(AVERAGEIFS(Datos_problemas!$AE:$AE,Datos_problemas!$B:$B,$B48,Datos_problemas!$F:$F,"Evaluación"),""))</f>
        <v/>
      </c>
      <c r="G48" s="20" t="str">
        <f aca="false">IF($B48="","",IFERROR(AVERAGEIFS(Datos_problemas!$AE:$AE,Datos_problemas!$B:$B,$B48,Datos_problemas!$F:$F,"Evaluación",Datos_problemas!$E:$E,"Diagnóstico"),""))</f>
        <v/>
      </c>
      <c r="H48" s="20" t="str">
        <f aca="false">IF($B48="","",IFERROR(AVERAGEIFS(Datos_problemas!$AE:$AE,Datos_problemas!$B:$B,$B48,Datos_problemas!$F:$F,"Evaluación",Datos_problemas!$E:$E,"Final"),""))</f>
        <v/>
      </c>
      <c r="I48" s="21" t="str">
        <f aca="false">IF(OR(G48="",H48=""),"",IF(G48&gt;=10,"",(H48-G48)/(10-G48)))</f>
        <v/>
      </c>
      <c r="J48" s="18" t="str">
        <f aca="false">IF($B48="","",IFERROR(SUMIFS(Datos_items!$Z:$Z,Datos_items!$B:$B,$B48,Datos_items!$O:$O,J$4,Datos_items!$E:$E,Analisis_grupo!$C$4)/COUNTIFS(Datos_items!$B:$B,$B48,Datos_items!$O:$O,J$4,Datos_items!$E:$E,Analisis_grupo!$C$4),""))</f>
        <v/>
      </c>
      <c r="K48" s="18" t="str">
        <f aca="false">IF($B48="","",IFERROR(SUMIFS(Datos_items!$Z:$Z,Datos_items!$B:$B,$B48,Datos_items!$O:$O,K$4,Datos_items!$E:$E,Analisis_grupo!$C$4)/COUNTIFS(Datos_items!$B:$B,$B48,Datos_items!$O:$O,K$4,Datos_items!$E:$E,Analisis_grupo!$C$4),""))</f>
        <v/>
      </c>
      <c r="L48" s="18" t="str">
        <f aca="false">IF($B48="","",IFERROR(SUMIFS(Datos_items!$Z:$Z,Datos_items!$B:$B,$B48,Datos_items!$O:$O,L$4,Datos_items!$E:$E,Analisis_grupo!$C$4)/COUNTIFS(Datos_items!$B:$B,$B48,Datos_items!$O:$O,L$4,Datos_items!$E:$E,Analisis_grupo!$C$4),""))</f>
        <v/>
      </c>
      <c r="M48" s="18" t="str">
        <f aca="false">IF($B48="","",IFERROR(SUMIFS(Datos_items!$Z:$Z,Datos_items!$B:$B,$B48,Datos_items!$O:$O,M$4,Datos_items!$E:$E,Analisis_grupo!$C$4)/COUNTIFS(Datos_items!$B:$B,$B48,Datos_items!$O:$O,M$4,Datos_items!$E:$E,Analisis_grupo!$C$4),""))</f>
        <v/>
      </c>
      <c r="N48" s="18" t="str">
        <f aca="false">IF($B48="","",IFERROR(SUMIFS(Datos_items!$Z:$Z,Datos_items!$B:$B,$B48,Datos_items!$O:$O,N$4,Datos_items!$E:$E,Analisis_grupo!$C$4)/COUNTIFS(Datos_items!$B:$B,$B48,Datos_items!$O:$O,N$4,Datos_items!$E:$E,Analisis_grupo!$C$4),""))</f>
        <v/>
      </c>
      <c r="O48" s="18" t="str">
        <f aca="false">IF($B48="","",IFERROR(SUMIFS(Datos_items!$Z:$Z,Datos_items!$B:$B,$B48,Datos_items!$O:$O,O$4,Datos_items!$E:$E,Analisis_grupo!$C$4)/COUNTIFS(Datos_items!$B:$B,$B48,Datos_items!$O:$O,O$4,Datos_items!$E:$E,Analisis_grupo!$C$4),""))</f>
        <v/>
      </c>
      <c r="P48" s="18" t="str">
        <f aca="false">IF($B48="","",IFERROR(SUMIFS(Datos_items!$Z:$Z,Datos_items!$B:$B,$B48,Datos_items!$O:$O,P$4,Datos_items!$E:$E,Analisis_grupo!$C$4)/COUNTIFS(Datos_items!$B:$B,$B48,Datos_items!$O:$O,P$4,Datos_items!$E:$E,Analisis_grupo!$C$4),""))</f>
        <v/>
      </c>
      <c r="Q48" s="18" t="str">
        <f aca="false">IF($B48="","",IFERROR(SUMIFS(Datos_items!$Z:$Z,Datos_items!$B:$B,$B48,Datos_items!$O:$O,Q$4,Datos_items!$E:$E,Analisis_grupo!$C$4)/COUNTIFS(Datos_items!$B:$B,$B48,Datos_items!$O:$O,Q$4,Datos_items!$E:$E,Analisis_grupo!$C$4),""))</f>
        <v/>
      </c>
      <c r="R48" s="2" t="str">
        <f aca="false">IF(COUNT(J48:Q48)=0,"",IF(MIN(J48:Q48)&gt;=Analisis_grupo!$B$7,"(ninguna)",INDEX($J$4:$Q$4,MATCH(MIN(J48:Q48),J48:Q48,0))))</f>
        <v/>
      </c>
      <c r="S48" s="2" t="str">
        <f aca="false">IF($B48="","",COUNTIF(J48:Q48,"&lt;"&amp;Analisis_grupo!$B$7))</f>
        <v/>
      </c>
      <c r="T48" s="2" t="str">
        <f aca="false">IF($B48="","",COUNTIFS(Datos_items!$B:$B,$B48,Datos_items!$AA:$AA,T$4,Datos_items!$E:$E,Analisis_grupo!$C$4))</f>
        <v/>
      </c>
      <c r="U48" s="2" t="str">
        <f aca="false">IF($B48="","",COUNTIFS(Datos_items!$B:$B,$B48,Datos_items!$AA:$AA,U$4,Datos_items!$E:$E,Analisis_grupo!$C$4))</f>
        <v/>
      </c>
      <c r="V48" s="2" t="str">
        <f aca="false">IF($B48="","",COUNTIFS(Datos_items!$B:$B,$B48,Datos_items!$AA:$AA,V$4,Datos_items!$E:$E,Analisis_grupo!$C$4))</f>
        <v/>
      </c>
      <c r="W48" s="2" t="str">
        <f aca="false">IF($B48="","",COUNTIFS(Datos_items!$B:$B,$B48,Datos_items!$AA:$AA,W$4,Datos_items!$E:$E,Analisis_grupo!$C$4))</f>
        <v/>
      </c>
      <c r="X48" s="2" t="str">
        <f aca="false">IF($B48="","",COUNTIFS(Datos_items!$B:$B,$B48,Datos_items!$AA:$AA,X$4,Datos_items!$E:$E,Analisis_grupo!$C$4))</f>
        <v/>
      </c>
      <c r="Y48" s="2" t="str">
        <f aca="false">IF($B48="","",COUNTIFS(Datos_items!$B:$B,$B48,Datos_items!$AA:$AA,Y$4,Datos_items!$E:$E,Analisis_grupo!$C$4))</f>
        <v/>
      </c>
      <c r="Z48" s="2" t="str">
        <f aca="false">IF($B48="","",COUNTIFS(Datos_items!$B:$B,$B48,Datos_items!$AA:$AA,Z$4,Datos_items!$E:$E,Analisis_grupo!$C$4))</f>
        <v/>
      </c>
      <c r="AA48" s="2" t="str">
        <f aca="false">IF($B48="","",COUNTIFS(Datos_items!$B:$B,$B48,Datos_items!$AA:$AA,AA$4,Datos_items!$E:$E,Analisis_grupo!$C$4))</f>
        <v/>
      </c>
      <c r="AB48" s="2" t="str">
        <f aca="false">IF($B48="","",COUNTIFS(Datos_items!$B:$B,$B48,Datos_items!$AA:$AA,AB$4,Datos_items!$E:$E,Analisis_grupo!$C$4))</f>
        <v/>
      </c>
      <c r="AC48" s="2" t="str">
        <f aca="false">IF($B48="","",COUNTIFS(Datos_items!$B:$B,$B48,Datos_items!$AA:$AA,AC$4,Datos_items!$E:$E,Analisis_grupo!$C$4))</f>
        <v/>
      </c>
      <c r="AD48" s="2" t="str">
        <f aca="false">IF($B48="","",COUNTIFS(Datos_items!$B:$B,$B48,Datos_items!$AA:$AA,AD$4,Datos_items!$E:$E,Analisis_grupo!$C$4))</f>
        <v/>
      </c>
      <c r="AE48" s="2" t="str">
        <f aca="false">IF($B48="","",COUNTIFS(Datos_items!$B:$B,$B48,Datos_items!$AA:$AA,AE$4,Datos_items!$E:$E,Analisis_grupo!$C$4))</f>
        <v/>
      </c>
      <c r="AF48" s="2" t="str">
        <f aca="false">IF($B48="","",COUNTIFS(Datos_items!$B:$B,$B48,Datos_items!$AA:$AA,AF$4,Datos_items!$E:$E,Analisis_grupo!$C$4))</f>
        <v/>
      </c>
      <c r="AG48" s="2" t="str">
        <f aca="false">IF($B48="","",COUNTIFS(Datos_items!$B:$B,$B48,Datos_items!$AA:$AA,AG$4,Datos_items!$E:$E,Analisis_grupo!$C$4))</f>
        <v/>
      </c>
      <c r="AH48" s="2" t="str">
        <f aca="false">IF($B48="","",COUNTIFS(Datos_items!$B:$B,$B48,Datos_items!$AA:$AA,AH$4,Datos_items!$E:$E,Analisis_grupo!$C$4))</f>
        <v/>
      </c>
      <c r="AI48" s="2" t="str">
        <f aca="false">IF($B48="","",COUNTIFS(Datos_items!$B:$B,$B48,Datos_items!$AA:$AA,AI$4,Datos_items!$E:$E,Analisis_grupo!$C$4))</f>
        <v/>
      </c>
      <c r="AJ48" s="2" t="str">
        <f aca="false">IF($B48="","",COUNTIFS(Datos_items!$B:$B,$B48,Datos_items!$AA:$AA,AJ$4,Datos_items!$E:$E,Analisis_grupo!$C$4))</f>
        <v/>
      </c>
      <c r="AK48" s="2" t="str">
        <f aca="false">IF($B48="","",COUNTIFS(Datos_items!$B:$B,$B48,Datos_items!$AA:$AA,AK$4,Datos_items!$E:$E,Analisis_grupo!$C$4))</f>
        <v/>
      </c>
      <c r="AL48" s="2" t="str">
        <f aca="false">IF($B48="","",COUNTIFS(Datos_items!$B:$B,$B48,Datos_items!$AA:$AA,AL$4,Datos_items!$E:$E,Analisis_grupo!$C$4))</f>
        <v/>
      </c>
      <c r="AM48" s="2" t="str">
        <f aca="false">IF($B48="","",IF(MAX(Y48:AL48)=0,"",INDEX($Y$4:$AL$4,MATCH(MAX(Y48:AL48),Y48:AL48,0))))</f>
        <v/>
      </c>
      <c r="AN48" s="2" t="str">
        <f aca="false">IF($B48="","",COUNTIFS(Datos_problemas!$B:$B,$B48,Datos_problemas!$F:$F,"Práctica"))</f>
        <v/>
      </c>
      <c r="AO48" s="2" t="str">
        <f aca="false">IF($B48="","",SUMIFS(Datos_problemas!$AQ:$AQ,Datos_problemas!$B:$B,$B48,Datos_problemas!$F:$F,"Práctica"))</f>
        <v/>
      </c>
      <c r="AP48" s="2" t="str">
        <f aca="false">IF($B48="","",COUNTIFS(Datos_problemas!$B:$B,$B48,Datos_problemas!$F:$F,"Práctica",Datos_problemas!$AS:$AS,"Sí"))</f>
        <v/>
      </c>
    </row>
    <row r="49" customFormat="false" ht="15" hidden="false" customHeight="false" outlineLevel="0" collapsed="false">
      <c r="A49" s="2" t="n">
        <v>45</v>
      </c>
      <c r="B49" s="2" t="str">
        <f aca="false">IFERROR(INDEX(Datos_problemas!$B:$B,MATCH($A49,Datos_problemas!$AV:$AV,0)),"")</f>
        <v/>
      </c>
      <c r="C49" s="2" t="str">
        <f aca="false">IF($B49="","",INDEX(Datos_problemas!$C:$C,MATCH($A49,Datos_problemas!$AV:$AV,0)))</f>
        <v/>
      </c>
      <c r="D49" s="2" t="str">
        <f aca="false">IF($B49="","",INDEX(Datos_problemas!$D:$D,MATCH($A49,Datos_problemas!$AV:$AV,0)))</f>
        <v/>
      </c>
      <c r="E49" s="2" t="str">
        <f aca="false">IF($B49="","",COUNTIFS(Datos_problemas!$B:$B,$B49,Datos_problemas!$F:$F,"Evaluación"))</f>
        <v/>
      </c>
      <c r="F49" s="20" t="str">
        <f aca="false">IF($B49="","",IFERROR(AVERAGEIFS(Datos_problemas!$AE:$AE,Datos_problemas!$B:$B,$B49,Datos_problemas!$F:$F,"Evaluación"),""))</f>
        <v/>
      </c>
      <c r="G49" s="20" t="str">
        <f aca="false">IF($B49="","",IFERROR(AVERAGEIFS(Datos_problemas!$AE:$AE,Datos_problemas!$B:$B,$B49,Datos_problemas!$F:$F,"Evaluación",Datos_problemas!$E:$E,"Diagnóstico"),""))</f>
        <v/>
      </c>
      <c r="H49" s="20" t="str">
        <f aca="false">IF($B49="","",IFERROR(AVERAGEIFS(Datos_problemas!$AE:$AE,Datos_problemas!$B:$B,$B49,Datos_problemas!$F:$F,"Evaluación",Datos_problemas!$E:$E,"Final"),""))</f>
        <v/>
      </c>
      <c r="I49" s="21" t="str">
        <f aca="false">IF(OR(G49="",H49=""),"",IF(G49&gt;=10,"",(H49-G49)/(10-G49)))</f>
        <v/>
      </c>
      <c r="J49" s="18" t="str">
        <f aca="false">IF($B49="","",IFERROR(SUMIFS(Datos_items!$Z:$Z,Datos_items!$B:$B,$B49,Datos_items!$O:$O,J$4,Datos_items!$E:$E,Analisis_grupo!$C$4)/COUNTIFS(Datos_items!$B:$B,$B49,Datos_items!$O:$O,J$4,Datos_items!$E:$E,Analisis_grupo!$C$4),""))</f>
        <v/>
      </c>
      <c r="K49" s="18" t="str">
        <f aca="false">IF($B49="","",IFERROR(SUMIFS(Datos_items!$Z:$Z,Datos_items!$B:$B,$B49,Datos_items!$O:$O,K$4,Datos_items!$E:$E,Analisis_grupo!$C$4)/COUNTIFS(Datos_items!$B:$B,$B49,Datos_items!$O:$O,K$4,Datos_items!$E:$E,Analisis_grupo!$C$4),""))</f>
        <v/>
      </c>
      <c r="L49" s="18" t="str">
        <f aca="false">IF($B49="","",IFERROR(SUMIFS(Datos_items!$Z:$Z,Datos_items!$B:$B,$B49,Datos_items!$O:$O,L$4,Datos_items!$E:$E,Analisis_grupo!$C$4)/COUNTIFS(Datos_items!$B:$B,$B49,Datos_items!$O:$O,L$4,Datos_items!$E:$E,Analisis_grupo!$C$4),""))</f>
        <v/>
      </c>
      <c r="M49" s="18" t="str">
        <f aca="false">IF($B49="","",IFERROR(SUMIFS(Datos_items!$Z:$Z,Datos_items!$B:$B,$B49,Datos_items!$O:$O,M$4,Datos_items!$E:$E,Analisis_grupo!$C$4)/COUNTIFS(Datos_items!$B:$B,$B49,Datos_items!$O:$O,M$4,Datos_items!$E:$E,Analisis_grupo!$C$4),""))</f>
        <v/>
      </c>
      <c r="N49" s="18" t="str">
        <f aca="false">IF($B49="","",IFERROR(SUMIFS(Datos_items!$Z:$Z,Datos_items!$B:$B,$B49,Datos_items!$O:$O,N$4,Datos_items!$E:$E,Analisis_grupo!$C$4)/COUNTIFS(Datos_items!$B:$B,$B49,Datos_items!$O:$O,N$4,Datos_items!$E:$E,Analisis_grupo!$C$4),""))</f>
        <v/>
      </c>
      <c r="O49" s="18" t="str">
        <f aca="false">IF($B49="","",IFERROR(SUMIFS(Datos_items!$Z:$Z,Datos_items!$B:$B,$B49,Datos_items!$O:$O,O$4,Datos_items!$E:$E,Analisis_grupo!$C$4)/COUNTIFS(Datos_items!$B:$B,$B49,Datos_items!$O:$O,O$4,Datos_items!$E:$E,Analisis_grupo!$C$4),""))</f>
        <v/>
      </c>
      <c r="P49" s="18" t="str">
        <f aca="false">IF($B49="","",IFERROR(SUMIFS(Datos_items!$Z:$Z,Datos_items!$B:$B,$B49,Datos_items!$O:$O,P$4,Datos_items!$E:$E,Analisis_grupo!$C$4)/COUNTIFS(Datos_items!$B:$B,$B49,Datos_items!$O:$O,P$4,Datos_items!$E:$E,Analisis_grupo!$C$4),""))</f>
        <v/>
      </c>
      <c r="Q49" s="18" t="str">
        <f aca="false">IF($B49="","",IFERROR(SUMIFS(Datos_items!$Z:$Z,Datos_items!$B:$B,$B49,Datos_items!$O:$O,Q$4,Datos_items!$E:$E,Analisis_grupo!$C$4)/COUNTIFS(Datos_items!$B:$B,$B49,Datos_items!$O:$O,Q$4,Datos_items!$E:$E,Analisis_grupo!$C$4),""))</f>
        <v/>
      </c>
      <c r="R49" s="2" t="str">
        <f aca="false">IF(COUNT(J49:Q49)=0,"",IF(MIN(J49:Q49)&gt;=Analisis_grupo!$B$7,"(ninguna)",INDEX($J$4:$Q$4,MATCH(MIN(J49:Q49),J49:Q49,0))))</f>
        <v/>
      </c>
      <c r="S49" s="2" t="str">
        <f aca="false">IF($B49="","",COUNTIF(J49:Q49,"&lt;"&amp;Analisis_grupo!$B$7))</f>
        <v/>
      </c>
      <c r="T49" s="2" t="str">
        <f aca="false">IF($B49="","",COUNTIFS(Datos_items!$B:$B,$B49,Datos_items!$AA:$AA,T$4,Datos_items!$E:$E,Analisis_grupo!$C$4))</f>
        <v/>
      </c>
      <c r="U49" s="2" t="str">
        <f aca="false">IF($B49="","",COUNTIFS(Datos_items!$B:$B,$B49,Datos_items!$AA:$AA,U$4,Datos_items!$E:$E,Analisis_grupo!$C$4))</f>
        <v/>
      </c>
      <c r="V49" s="2" t="str">
        <f aca="false">IF($B49="","",COUNTIFS(Datos_items!$B:$B,$B49,Datos_items!$AA:$AA,V$4,Datos_items!$E:$E,Analisis_grupo!$C$4))</f>
        <v/>
      </c>
      <c r="W49" s="2" t="str">
        <f aca="false">IF($B49="","",COUNTIFS(Datos_items!$B:$B,$B49,Datos_items!$AA:$AA,W$4,Datos_items!$E:$E,Analisis_grupo!$C$4))</f>
        <v/>
      </c>
      <c r="X49" s="2" t="str">
        <f aca="false">IF($B49="","",COUNTIFS(Datos_items!$B:$B,$B49,Datos_items!$AA:$AA,X$4,Datos_items!$E:$E,Analisis_grupo!$C$4))</f>
        <v/>
      </c>
      <c r="Y49" s="2" t="str">
        <f aca="false">IF($B49="","",COUNTIFS(Datos_items!$B:$B,$B49,Datos_items!$AA:$AA,Y$4,Datos_items!$E:$E,Analisis_grupo!$C$4))</f>
        <v/>
      </c>
      <c r="Z49" s="2" t="str">
        <f aca="false">IF($B49="","",COUNTIFS(Datos_items!$B:$B,$B49,Datos_items!$AA:$AA,Z$4,Datos_items!$E:$E,Analisis_grupo!$C$4))</f>
        <v/>
      </c>
      <c r="AA49" s="2" t="str">
        <f aca="false">IF($B49="","",COUNTIFS(Datos_items!$B:$B,$B49,Datos_items!$AA:$AA,AA$4,Datos_items!$E:$E,Analisis_grupo!$C$4))</f>
        <v/>
      </c>
      <c r="AB49" s="2" t="str">
        <f aca="false">IF($B49="","",COUNTIFS(Datos_items!$B:$B,$B49,Datos_items!$AA:$AA,AB$4,Datos_items!$E:$E,Analisis_grupo!$C$4))</f>
        <v/>
      </c>
      <c r="AC49" s="2" t="str">
        <f aca="false">IF($B49="","",COUNTIFS(Datos_items!$B:$B,$B49,Datos_items!$AA:$AA,AC$4,Datos_items!$E:$E,Analisis_grupo!$C$4))</f>
        <v/>
      </c>
      <c r="AD49" s="2" t="str">
        <f aca="false">IF($B49="","",COUNTIFS(Datos_items!$B:$B,$B49,Datos_items!$AA:$AA,AD$4,Datos_items!$E:$E,Analisis_grupo!$C$4))</f>
        <v/>
      </c>
      <c r="AE49" s="2" t="str">
        <f aca="false">IF($B49="","",COUNTIFS(Datos_items!$B:$B,$B49,Datos_items!$AA:$AA,AE$4,Datos_items!$E:$E,Analisis_grupo!$C$4))</f>
        <v/>
      </c>
      <c r="AF49" s="2" t="str">
        <f aca="false">IF($B49="","",COUNTIFS(Datos_items!$B:$B,$B49,Datos_items!$AA:$AA,AF$4,Datos_items!$E:$E,Analisis_grupo!$C$4))</f>
        <v/>
      </c>
      <c r="AG49" s="2" t="str">
        <f aca="false">IF($B49="","",COUNTIFS(Datos_items!$B:$B,$B49,Datos_items!$AA:$AA,AG$4,Datos_items!$E:$E,Analisis_grupo!$C$4))</f>
        <v/>
      </c>
      <c r="AH49" s="2" t="str">
        <f aca="false">IF($B49="","",COUNTIFS(Datos_items!$B:$B,$B49,Datos_items!$AA:$AA,AH$4,Datos_items!$E:$E,Analisis_grupo!$C$4))</f>
        <v/>
      </c>
      <c r="AI49" s="2" t="str">
        <f aca="false">IF($B49="","",COUNTIFS(Datos_items!$B:$B,$B49,Datos_items!$AA:$AA,AI$4,Datos_items!$E:$E,Analisis_grupo!$C$4))</f>
        <v/>
      </c>
      <c r="AJ49" s="2" t="str">
        <f aca="false">IF($B49="","",COUNTIFS(Datos_items!$B:$B,$B49,Datos_items!$AA:$AA,AJ$4,Datos_items!$E:$E,Analisis_grupo!$C$4))</f>
        <v/>
      </c>
      <c r="AK49" s="2" t="str">
        <f aca="false">IF($B49="","",COUNTIFS(Datos_items!$B:$B,$B49,Datos_items!$AA:$AA,AK$4,Datos_items!$E:$E,Analisis_grupo!$C$4))</f>
        <v/>
      </c>
      <c r="AL49" s="2" t="str">
        <f aca="false">IF($B49="","",COUNTIFS(Datos_items!$B:$B,$B49,Datos_items!$AA:$AA,AL$4,Datos_items!$E:$E,Analisis_grupo!$C$4))</f>
        <v/>
      </c>
      <c r="AM49" s="2" t="str">
        <f aca="false">IF($B49="","",IF(MAX(Y49:AL49)=0,"",INDEX($Y$4:$AL$4,MATCH(MAX(Y49:AL49),Y49:AL49,0))))</f>
        <v/>
      </c>
      <c r="AN49" s="2" t="str">
        <f aca="false">IF($B49="","",COUNTIFS(Datos_problemas!$B:$B,$B49,Datos_problemas!$F:$F,"Práctica"))</f>
        <v/>
      </c>
      <c r="AO49" s="2" t="str">
        <f aca="false">IF($B49="","",SUMIFS(Datos_problemas!$AQ:$AQ,Datos_problemas!$B:$B,$B49,Datos_problemas!$F:$F,"Práctica"))</f>
        <v/>
      </c>
      <c r="AP49" s="2" t="str">
        <f aca="false">IF($B49="","",COUNTIFS(Datos_problemas!$B:$B,$B49,Datos_problemas!$F:$F,"Práctica",Datos_problemas!$AS:$AS,"Sí"))</f>
        <v/>
      </c>
    </row>
    <row r="50" customFormat="false" ht="15" hidden="false" customHeight="false" outlineLevel="0" collapsed="false">
      <c r="A50" s="2" t="n">
        <v>46</v>
      </c>
      <c r="B50" s="2" t="str">
        <f aca="false">IFERROR(INDEX(Datos_problemas!$B:$B,MATCH($A50,Datos_problemas!$AV:$AV,0)),"")</f>
        <v/>
      </c>
      <c r="C50" s="2" t="str">
        <f aca="false">IF($B50="","",INDEX(Datos_problemas!$C:$C,MATCH($A50,Datos_problemas!$AV:$AV,0)))</f>
        <v/>
      </c>
      <c r="D50" s="2" t="str">
        <f aca="false">IF($B50="","",INDEX(Datos_problemas!$D:$D,MATCH($A50,Datos_problemas!$AV:$AV,0)))</f>
        <v/>
      </c>
      <c r="E50" s="2" t="str">
        <f aca="false">IF($B50="","",COUNTIFS(Datos_problemas!$B:$B,$B50,Datos_problemas!$F:$F,"Evaluación"))</f>
        <v/>
      </c>
      <c r="F50" s="20" t="str">
        <f aca="false">IF($B50="","",IFERROR(AVERAGEIFS(Datos_problemas!$AE:$AE,Datos_problemas!$B:$B,$B50,Datos_problemas!$F:$F,"Evaluación"),""))</f>
        <v/>
      </c>
      <c r="G50" s="20" t="str">
        <f aca="false">IF($B50="","",IFERROR(AVERAGEIFS(Datos_problemas!$AE:$AE,Datos_problemas!$B:$B,$B50,Datos_problemas!$F:$F,"Evaluación",Datos_problemas!$E:$E,"Diagnóstico"),""))</f>
        <v/>
      </c>
      <c r="H50" s="20" t="str">
        <f aca="false">IF($B50="","",IFERROR(AVERAGEIFS(Datos_problemas!$AE:$AE,Datos_problemas!$B:$B,$B50,Datos_problemas!$F:$F,"Evaluación",Datos_problemas!$E:$E,"Final"),""))</f>
        <v/>
      </c>
      <c r="I50" s="21" t="str">
        <f aca="false">IF(OR(G50="",H50=""),"",IF(G50&gt;=10,"",(H50-G50)/(10-G50)))</f>
        <v/>
      </c>
      <c r="J50" s="18" t="str">
        <f aca="false">IF($B50="","",IFERROR(SUMIFS(Datos_items!$Z:$Z,Datos_items!$B:$B,$B50,Datos_items!$O:$O,J$4,Datos_items!$E:$E,Analisis_grupo!$C$4)/COUNTIFS(Datos_items!$B:$B,$B50,Datos_items!$O:$O,J$4,Datos_items!$E:$E,Analisis_grupo!$C$4),""))</f>
        <v/>
      </c>
      <c r="K50" s="18" t="str">
        <f aca="false">IF($B50="","",IFERROR(SUMIFS(Datos_items!$Z:$Z,Datos_items!$B:$B,$B50,Datos_items!$O:$O,K$4,Datos_items!$E:$E,Analisis_grupo!$C$4)/COUNTIFS(Datos_items!$B:$B,$B50,Datos_items!$O:$O,K$4,Datos_items!$E:$E,Analisis_grupo!$C$4),""))</f>
        <v/>
      </c>
      <c r="L50" s="18" t="str">
        <f aca="false">IF($B50="","",IFERROR(SUMIFS(Datos_items!$Z:$Z,Datos_items!$B:$B,$B50,Datos_items!$O:$O,L$4,Datos_items!$E:$E,Analisis_grupo!$C$4)/COUNTIFS(Datos_items!$B:$B,$B50,Datos_items!$O:$O,L$4,Datos_items!$E:$E,Analisis_grupo!$C$4),""))</f>
        <v/>
      </c>
      <c r="M50" s="18" t="str">
        <f aca="false">IF($B50="","",IFERROR(SUMIFS(Datos_items!$Z:$Z,Datos_items!$B:$B,$B50,Datos_items!$O:$O,M$4,Datos_items!$E:$E,Analisis_grupo!$C$4)/COUNTIFS(Datos_items!$B:$B,$B50,Datos_items!$O:$O,M$4,Datos_items!$E:$E,Analisis_grupo!$C$4),""))</f>
        <v/>
      </c>
      <c r="N50" s="18" t="str">
        <f aca="false">IF($B50="","",IFERROR(SUMIFS(Datos_items!$Z:$Z,Datos_items!$B:$B,$B50,Datos_items!$O:$O,N$4,Datos_items!$E:$E,Analisis_grupo!$C$4)/COUNTIFS(Datos_items!$B:$B,$B50,Datos_items!$O:$O,N$4,Datos_items!$E:$E,Analisis_grupo!$C$4),""))</f>
        <v/>
      </c>
      <c r="O50" s="18" t="str">
        <f aca="false">IF($B50="","",IFERROR(SUMIFS(Datos_items!$Z:$Z,Datos_items!$B:$B,$B50,Datos_items!$O:$O,O$4,Datos_items!$E:$E,Analisis_grupo!$C$4)/COUNTIFS(Datos_items!$B:$B,$B50,Datos_items!$O:$O,O$4,Datos_items!$E:$E,Analisis_grupo!$C$4),""))</f>
        <v/>
      </c>
      <c r="P50" s="18" t="str">
        <f aca="false">IF($B50="","",IFERROR(SUMIFS(Datos_items!$Z:$Z,Datos_items!$B:$B,$B50,Datos_items!$O:$O,P$4,Datos_items!$E:$E,Analisis_grupo!$C$4)/COUNTIFS(Datos_items!$B:$B,$B50,Datos_items!$O:$O,P$4,Datos_items!$E:$E,Analisis_grupo!$C$4),""))</f>
        <v/>
      </c>
      <c r="Q50" s="18" t="str">
        <f aca="false">IF($B50="","",IFERROR(SUMIFS(Datos_items!$Z:$Z,Datos_items!$B:$B,$B50,Datos_items!$O:$O,Q$4,Datos_items!$E:$E,Analisis_grupo!$C$4)/COUNTIFS(Datos_items!$B:$B,$B50,Datos_items!$O:$O,Q$4,Datos_items!$E:$E,Analisis_grupo!$C$4),""))</f>
        <v/>
      </c>
      <c r="R50" s="2" t="str">
        <f aca="false">IF(COUNT(J50:Q50)=0,"",IF(MIN(J50:Q50)&gt;=Analisis_grupo!$B$7,"(ninguna)",INDEX($J$4:$Q$4,MATCH(MIN(J50:Q50),J50:Q50,0))))</f>
        <v/>
      </c>
      <c r="S50" s="2" t="str">
        <f aca="false">IF($B50="","",COUNTIF(J50:Q50,"&lt;"&amp;Analisis_grupo!$B$7))</f>
        <v/>
      </c>
      <c r="T50" s="2" t="str">
        <f aca="false">IF($B50="","",COUNTIFS(Datos_items!$B:$B,$B50,Datos_items!$AA:$AA,T$4,Datos_items!$E:$E,Analisis_grupo!$C$4))</f>
        <v/>
      </c>
      <c r="U50" s="2" t="str">
        <f aca="false">IF($B50="","",COUNTIFS(Datos_items!$B:$B,$B50,Datos_items!$AA:$AA,U$4,Datos_items!$E:$E,Analisis_grupo!$C$4))</f>
        <v/>
      </c>
      <c r="V50" s="2" t="str">
        <f aca="false">IF($B50="","",COUNTIFS(Datos_items!$B:$B,$B50,Datos_items!$AA:$AA,V$4,Datos_items!$E:$E,Analisis_grupo!$C$4))</f>
        <v/>
      </c>
      <c r="W50" s="2" t="str">
        <f aca="false">IF($B50="","",COUNTIFS(Datos_items!$B:$B,$B50,Datos_items!$AA:$AA,W$4,Datos_items!$E:$E,Analisis_grupo!$C$4))</f>
        <v/>
      </c>
      <c r="X50" s="2" t="str">
        <f aca="false">IF($B50="","",COUNTIFS(Datos_items!$B:$B,$B50,Datos_items!$AA:$AA,X$4,Datos_items!$E:$E,Analisis_grupo!$C$4))</f>
        <v/>
      </c>
      <c r="Y50" s="2" t="str">
        <f aca="false">IF($B50="","",COUNTIFS(Datos_items!$B:$B,$B50,Datos_items!$AA:$AA,Y$4,Datos_items!$E:$E,Analisis_grupo!$C$4))</f>
        <v/>
      </c>
      <c r="Z50" s="2" t="str">
        <f aca="false">IF($B50="","",COUNTIFS(Datos_items!$B:$B,$B50,Datos_items!$AA:$AA,Z$4,Datos_items!$E:$E,Analisis_grupo!$C$4))</f>
        <v/>
      </c>
      <c r="AA50" s="2" t="str">
        <f aca="false">IF($B50="","",COUNTIFS(Datos_items!$B:$B,$B50,Datos_items!$AA:$AA,AA$4,Datos_items!$E:$E,Analisis_grupo!$C$4))</f>
        <v/>
      </c>
      <c r="AB50" s="2" t="str">
        <f aca="false">IF($B50="","",COUNTIFS(Datos_items!$B:$B,$B50,Datos_items!$AA:$AA,AB$4,Datos_items!$E:$E,Analisis_grupo!$C$4))</f>
        <v/>
      </c>
      <c r="AC50" s="2" t="str">
        <f aca="false">IF($B50="","",COUNTIFS(Datos_items!$B:$B,$B50,Datos_items!$AA:$AA,AC$4,Datos_items!$E:$E,Analisis_grupo!$C$4))</f>
        <v/>
      </c>
      <c r="AD50" s="2" t="str">
        <f aca="false">IF($B50="","",COUNTIFS(Datos_items!$B:$B,$B50,Datos_items!$AA:$AA,AD$4,Datos_items!$E:$E,Analisis_grupo!$C$4))</f>
        <v/>
      </c>
      <c r="AE50" s="2" t="str">
        <f aca="false">IF($B50="","",COUNTIFS(Datos_items!$B:$B,$B50,Datos_items!$AA:$AA,AE$4,Datos_items!$E:$E,Analisis_grupo!$C$4))</f>
        <v/>
      </c>
      <c r="AF50" s="2" t="str">
        <f aca="false">IF($B50="","",COUNTIFS(Datos_items!$B:$B,$B50,Datos_items!$AA:$AA,AF$4,Datos_items!$E:$E,Analisis_grupo!$C$4))</f>
        <v/>
      </c>
      <c r="AG50" s="2" t="str">
        <f aca="false">IF($B50="","",COUNTIFS(Datos_items!$B:$B,$B50,Datos_items!$AA:$AA,AG$4,Datos_items!$E:$E,Analisis_grupo!$C$4))</f>
        <v/>
      </c>
      <c r="AH50" s="2" t="str">
        <f aca="false">IF($B50="","",COUNTIFS(Datos_items!$B:$B,$B50,Datos_items!$AA:$AA,AH$4,Datos_items!$E:$E,Analisis_grupo!$C$4))</f>
        <v/>
      </c>
      <c r="AI50" s="2" t="str">
        <f aca="false">IF($B50="","",COUNTIFS(Datos_items!$B:$B,$B50,Datos_items!$AA:$AA,AI$4,Datos_items!$E:$E,Analisis_grupo!$C$4))</f>
        <v/>
      </c>
      <c r="AJ50" s="2" t="str">
        <f aca="false">IF($B50="","",COUNTIFS(Datos_items!$B:$B,$B50,Datos_items!$AA:$AA,AJ$4,Datos_items!$E:$E,Analisis_grupo!$C$4))</f>
        <v/>
      </c>
      <c r="AK50" s="2" t="str">
        <f aca="false">IF($B50="","",COUNTIFS(Datos_items!$B:$B,$B50,Datos_items!$AA:$AA,AK$4,Datos_items!$E:$E,Analisis_grupo!$C$4))</f>
        <v/>
      </c>
      <c r="AL50" s="2" t="str">
        <f aca="false">IF($B50="","",COUNTIFS(Datos_items!$B:$B,$B50,Datos_items!$AA:$AA,AL$4,Datos_items!$E:$E,Analisis_grupo!$C$4))</f>
        <v/>
      </c>
      <c r="AM50" s="2" t="str">
        <f aca="false">IF($B50="","",IF(MAX(Y50:AL50)=0,"",INDEX($Y$4:$AL$4,MATCH(MAX(Y50:AL50),Y50:AL50,0))))</f>
        <v/>
      </c>
      <c r="AN50" s="2" t="str">
        <f aca="false">IF($B50="","",COUNTIFS(Datos_problemas!$B:$B,$B50,Datos_problemas!$F:$F,"Práctica"))</f>
        <v/>
      </c>
      <c r="AO50" s="2" t="str">
        <f aca="false">IF($B50="","",SUMIFS(Datos_problemas!$AQ:$AQ,Datos_problemas!$B:$B,$B50,Datos_problemas!$F:$F,"Práctica"))</f>
        <v/>
      </c>
      <c r="AP50" s="2" t="str">
        <f aca="false">IF($B50="","",COUNTIFS(Datos_problemas!$B:$B,$B50,Datos_problemas!$F:$F,"Práctica",Datos_problemas!$AS:$AS,"Sí"))</f>
        <v/>
      </c>
    </row>
    <row r="51" customFormat="false" ht="15" hidden="false" customHeight="false" outlineLevel="0" collapsed="false">
      <c r="A51" s="2" t="n">
        <v>47</v>
      </c>
      <c r="B51" s="2" t="str">
        <f aca="false">IFERROR(INDEX(Datos_problemas!$B:$B,MATCH($A51,Datos_problemas!$AV:$AV,0)),"")</f>
        <v/>
      </c>
      <c r="C51" s="2" t="str">
        <f aca="false">IF($B51="","",INDEX(Datos_problemas!$C:$C,MATCH($A51,Datos_problemas!$AV:$AV,0)))</f>
        <v/>
      </c>
      <c r="D51" s="2" t="str">
        <f aca="false">IF($B51="","",INDEX(Datos_problemas!$D:$D,MATCH($A51,Datos_problemas!$AV:$AV,0)))</f>
        <v/>
      </c>
      <c r="E51" s="2" t="str">
        <f aca="false">IF($B51="","",COUNTIFS(Datos_problemas!$B:$B,$B51,Datos_problemas!$F:$F,"Evaluación"))</f>
        <v/>
      </c>
      <c r="F51" s="20" t="str">
        <f aca="false">IF($B51="","",IFERROR(AVERAGEIFS(Datos_problemas!$AE:$AE,Datos_problemas!$B:$B,$B51,Datos_problemas!$F:$F,"Evaluación"),""))</f>
        <v/>
      </c>
      <c r="G51" s="20" t="str">
        <f aca="false">IF($B51="","",IFERROR(AVERAGEIFS(Datos_problemas!$AE:$AE,Datos_problemas!$B:$B,$B51,Datos_problemas!$F:$F,"Evaluación",Datos_problemas!$E:$E,"Diagnóstico"),""))</f>
        <v/>
      </c>
      <c r="H51" s="20" t="str">
        <f aca="false">IF($B51="","",IFERROR(AVERAGEIFS(Datos_problemas!$AE:$AE,Datos_problemas!$B:$B,$B51,Datos_problemas!$F:$F,"Evaluación",Datos_problemas!$E:$E,"Final"),""))</f>
        <v/>
      </c>
      <c r="I51" s="21" t="str">
        <f aca="false">IF(OR(G51="",H51=""),"",IF(G51&gt;=10,"",(H51-G51)/(10-G51)))</f>
        <v/>
      </c>
      <c r="J51" s="18" t="str">
        <f aca="false">IF($B51="","",IFERROR(SUMIFS(Datos_items!$Z:$Z,Datos_items!$B:$B,$B51,Datos_items!$O:$O,J$4,Datos_items!$E:$E,Analisis_grupo!$C$4)/COUNTIFS(Datos_items!$B:$B,$B51,Datos_items!$O:$O,J$4,Datos_items!$E:$E,Analisis_grupo!$C$4),""))</f>
        <v/>
      </c>
      <c r="K51" s="18" t="str">
        <f aca="false">IF($B51="","",IFERROR(SUMIFS(Datos_items!$Z:$Z,Datos_items!$B:$B,$B51,Datos_items!$O:$O,K$4,Datos_items!$E:$E,Analisis_grupo!$C$4)/COUNTIFS(Datos_items!$B:$B,$B51,Datos_items!$O:$O,K$4,Datos_items!$E:$E,Analisis_grupo!$C$4),""))</f>
        <v/>
      </c>
      <c r="L51" s="18" t="str">
        <f aca="false">IF($B51="","",IFERROR(SUMIFS(Datos_items!$Z:$Z,Datos_items!$B:$B,$B51,Datos_items!$O:$O,L$4,Datos_items!$E:$E,Analisis_grupo!$C$4)/COUNTIFS(Datos_items!$B:$B,$B51,Datos_items!$O:$O,L$4,Datos_items!$E:$E,Analisis_grupo!$C$4),""))</f>
        <v/>
      </c>
      <c r="M51" s="18" t="str">
        <f aca="false">IF($B51="","",IFERROR(SUMIFS(Datos_items!$Z:$Z,Datos_items!$B:$B,$B51,Datos_items!$O:$O,M$4,Datos_items!$E:$E,Analisis_grupo!$C$4)/COUNTIFS(Datos_items!$B:$B,$B51,Datos_items!$O:$O,M$4,Datos_items!$E:$E,Analisis_grupo!$C$4),""))</f>
        <v/>
      </c>
      <c r="N51" s="18" t="str">
        <f aca="false">IF($B51="","",IFERROR(SUMIFS(Datos_items!$Z:$Z,Datos_items!$B:$B,$B51,Datos_items!$O:$O,N$4,Datos_items!$E:$E,Analisis_grupo!$C$4)/COUNTIFS(Datos_items!$B:$B,$B51,Datos_items!$O:$O,N$4,Datos_items!$E:$E,Analisis_grupo!$C$4),""))</f>
        <v/>
      </c>
      <c r="O51" s="18" t="str">
        <f aca="false">IF($B51="","",IFERROR(SUMIFS(Datos_items!$Z:$Z,Datos_items!$B:$B,$B51,Datos_items!$O:$O,O$4,Datos_items!$E:$E,Analisis_grupo!$C$4)/COUNTIFS(Datos_items!$B:$B,$B51,Datos_items!$O:$O,O$4,Datos_items!$E:$E,Analisis_grupo!$C$4),""))</f>
        <v/>
      </c>
      <c r="P51" s="18" t="str">
        <f aca="false">IF($B51="","",IFERROR(SUMIFS(Datos_items!$Z:$Z,Datos_items!$B:$B,$B51,Datos_items!$O:$O,P$4,Datos_items!$E:$E,Analisis_grupo!$C$4)/COUNTIFS(Datos_items!$B:$B,$B51,Datos_items!$O:$O,P$4,Datos_items!$E:$E,Analisis_grupo!$C$4),""))</f>
        <v/>
      </c>
      <c r="Q51" s="18" t="str">
        <f aca="false">IF($B51="","",IFERROR(SUMIFS(Datos_items!$Z:$Z,Datos_items!$B:$B,$B51,Datos_items!$O:$O,Q$4,Datos_items!$E:$E,Analisis_grupo!$C$4)/COUNTIFS(Datos_items!$B:$B,$B51,Datos_items!$O:$O,Q$4,Datos_items!$E:$E,Analisis_grupo!$C$4),""))</f>
        <v/>
      </c>
      <c r="R51" s="2" t="str">
        <f aca="false">IF(COUNT(J51:Q51)=0,"",IF(MIN(J51:Q51)&gt;=Analisis_grupo!$B$7,"(ninguna)",INDEX($J$4:$Q$4,MATCH(MIN(J51:Q51),J51:Q51,0))))</f>
        <v/>
      </c>
      <c r="S51" s="2" t="str">
        <f aca="false">IF($B51="","",COUNTIF(J51:Q51,"&lt;"&amp;Analisis_grupo!$B$7))</f>
        <v/>
      </c>
      <c r="T51" s="2" t="str">
        <f aca="false">IF($B51="","",COUNTIFS(Datos_items!$B:$B,$B51,Datos_items!$AA:$AA,T$4,Datos_items!$E:$E,Analisis_grupo!$C$4))</f>
        <v/>
      </c>
      <c r="U51" s="2" t="str">
        <f aca="false">IF($B51="","",COUNTIFS(Datos_items!$B:$B,$B51,Datos_items!$AA:$AA,U$4,Datos_items!$E:$E,Analisis_grupo!$C$4))</f>
        <v/>
      </c>
      <c r="V51" s="2" t="str">
        <f aca="false">IF($B51="","",COUNTIFS(Datos_items!$B:$B,$B51,Datos_items!$AA:$AA,V$4,Datos_items!$E:$E,Analisis_grupo!$C$4))</f>
        <v/>
      </c>
      <c r="W51" s="2" t="str">
        <f aca="false">IF($B51="","",COUNTIFS(Datos_items!$B:$B,$B51,Datos_items!$AA:$AA,W$4,Datos_items!$E:$E,Analisis_grupo!$C$4))</f>
        <v/>
      </c>
      <c r="X51" s="2" t="str">
        <f aca="false">IF($B51="","",COUNTIFS(Datos_items!$B:$B,$B51,Datos_items!$AA:$AA,X$4,Datos_items!$E:$E,Analisis_grupo!$C$4))</f>
        <v/>
      </c>
      <c r="Y51" s="2" t="str">
        <f aca="false">IF($B51="","",COUNTIFS(Datos_items!$B:$B,$B51,Datos_items!$AA:$AA,Y$4,Datos_items!$E:$E,Analisis_grupo!$C$4))</f>
        <v/>
      </c>
      <c r="Z51" s="2" t="str">
        <f aca="false">IF($B51="","",COUNTIFS(Datos_items!$B:$B,$B51,Datos_items!$AA:$AA,Z$4,Datos_items!$E:$E,Analisis_grupo!$C$4))</f>
        <v/>
      </c>
      <c r="AA51" s="2" t="str">
        <f aca="false">IF($B51="","",COUNTIFS(Datos_items!$B:$B,$B51,Datos_items!$AA:$AA,AA$4,Datos_items!$E:$E,Analisis_grupo!$C$4))</f>
        <v/>
      </c>
      <c r="AB51" s="2" t="str">
        <f aca="false">IF($B51="","",COUNTIFS(Datos_items!$B:$B,$B51,Datos_items!$AA:$AA,AB$4,Datos_items!$E:$E,Analisis_grupo!$C$4))</f>
        <v/>
      </c>
      <c r="AC51" s="2" t="str">
        <f aca="false">IF($B51="","",COUNTIFS(Datos_items!$B:$B,$B51,Datos_items!$AA:$AA,AC$4,Datos_items!$E:$E,Analisis_grupo!$C$4))</f>
        <v/>
      </c>
      <c r="AD51" s="2" t="str">
        <f aca="false">IF($B51="","",COUNTIFS(Datos_items!$B:$B,$B51,Datos_items!$AA:$AA,AD$4,Datos_items!$E:$E,Analisis_grupo!$C$4))</f>
        <v/>
      </c>
      <c r="AE51" s="2" t="str">
        <f aca="false">IF($B51="","",COUNTIFS(Datos_items!$B:$B,$B51,Datos_items!$AA:$AA,AE$4,Datos_items!$E:$E,Analisis_grupo!$C$4))</f>
        <v/>
      </c>
      <c r="AF51" s="2" t="str">
        <f aca="false">IF($B51="","",COUNTIFS(Datos_items!$B:$B,$B51,Datos_items!$AA:$AA,AF$4,Datos_items!$E:$E,Analisis_grupo!$C$4))</f>
        <v/>
      </c>
      <c r="AG51" s="2" t="str">
        <f aca="false">IF($B51="","",COUNTIFS(Datos_items!$B:$B,$B51,Datos_items!$AA:$AA,AG$4,Datos_items!$E:$E,Analisis_grupo!$C$4))</f>
        <v/>
      </c>
      <c r="AH51" s="2" t="str">
        <f aca="false">IF($B51="","",COUNTIFS(Datos_items!$B:$B,$B51,Datos_items!$AA:$AA,AH$4,Datos_items!$E:$E,Analisis_grupo!$C$4))</f>
        <v/>
      </c>
      <c r="AI51" s="2" t="str">
        <f aca="false">IF($B51="","",COUNTIFS(Datos_items!$B:$B,$B51,Datos_items!$AA:$AA,AI$4,Datos_items!$E:$E,Analisis_grupo!$C$4))</f>
        <v/>
      </c>
      <c r="AJ51" s="2" t="str">
        <f aca="false">IF($B51="","",COUNTIFS(Datos_items!$B:$B,$B51,Datos_items!$AA:$AA,AJ$4,Datos_items!$E:$E,Analisis_grupo!$C$4))</f>
        <v/>
      </c>
      <c r="AK51" s="2" t="str">
        <f aca="false">IF($B51="","",COUNTIFS(Datos_items!$B:$B,$B51,Datos_items!$AA:$AA,AK$4,Datos_items!$E:$E,Analisis_grupo!$C$4))</f>
        <v/>
      </c>
      <c r="AL51" s="2" t="str">
        <f aca="false">IF($B51="","",COUNTIFS(Datos_items!$B:$B,$B51,Datos_items!$AA:$AA,AL$4,Datos_items!$E:$E,Analisis_grupo!$C$4))</f>
        <v/>
      </c>
      <c r="AM51" s="2" t="str">
        <f aca="false">IF($B51="","",IF(MAX(Y51:AL51)=0,"",INDEX($Y$4:$AL$4,MATCH(MAX(Y51:AL51),Y51:AL51,0))))</f>
        <v/>
      </c>
      <c r="AN51" s="2" t="str">
        <f aca="false">IF($B51="","",COUNTIFS(Datos_problemas!$B:$B,$B51,Datos_problemas!$F:$F,"Práctica"))</f>
        <v/>
      </c>
      <c r="AO51" s="2" t="str">
        <f aca="false">IF($B51="","",SUMIFS(Datos_problemas!$AQ:$AQ,Datos_problemas!$B:$B,$B51,Datos_problemas!$F:$F,"Práctica"))</f>
        <v/>
      </c>
      <c r="AP51" s="2" t="str">
        <f aca="false">IF($B51="","",COUNTIFS(Datos_problemas!$B:$B,$B51,Datos_problemas!$F:$F,"Práctica",Datos_problemas!$AS:$AS,"Sí"))</f>
        <v/>
      </c>
    </row>
    <row r="52" customFormat="false" ht="15" hidden="false" customHeight="false" outlineLevel="0" collapsed="false">
      <c r="A52" s="2" t="n">
        <v>48</v>
      </c>
      <c r="B52" s="2" t="str">
        <f aca="false">IFERROR(INDEX(Datos_problemas!$B:$B,MATCH($A52,Datos_problemas!$AV:$AV,0)),"")</f>
        <v/>
      </c>
      <c r="C52" s="2" t="str">
        <f aca="false">IF($B52="","",INDEX(Datos_problemas!$C:$C,MATCH($A52,Datos_problemas!$AV:$AV,0)))</f>
        <v/>
      </c>
      <c r="D52" s="2" t="str">
        <f aca="false">IF($B52="","",INDEX(Datos_problemas!$D:$D,MATCH($A52,Datos_problemas!$AV:$AV,0)))</f>
        <v/>
      </c>
      <c r="E52" s="2" t="str">
        <f aca="false">IF($B52="","",COUNTIFS(Datos_problemas!$B:$B,$B52,Datos_problemas!$F:$F,"Evaluación"))</f>
        <v/>
      </c>
      <c r="F52" s="20" t="str">
        <f aca="false">IF($B52="","",IFERROR(AVERAGEIFS(Datos_problemas!$AE:$AE,Datos_problemas!$B:$B,$B52,Datos_problemas!$F:$F,"Evaluación"),""))</f>
        <v/>
      </c>
      <c r="G52" s="20" t="str">
        <f aca="false">IF($B52="","",IFERROR(AVERAGEIFS(Datos_problemas!$AE:$AE,Datos_problemas!$B:$B,$B52,Datos_problemas!$F:$F,"Evaluación",Datos_problemas!$E:$E,"Diagnóstico"),""))</f>
        <v/>
      </c>
      <c r="H52" s="20" t="str">
        <f aca="false">IF($B52="","",IFERROR(AVERAGEIFS(Datos_problemas!$AE:$AE,Datos_problemas!$B:$B,$B52,Datos_problemas!$F:$F,"Evaluación",Datos_problemas!$E:$E,"Final"),""))</f>
        <v/>
      </c>
      <c r="I52" s="21" t="str">
        <f aca="false">IF(OR(G52="",H52=""),"",IF(G52&gt;=10,"",(H52-G52)/(10-G52)))</f>
        <v/>
      </c>
      <c r="J52" s="18" t="str">
        <f aca="false">IF($B52="","",IFERROR(SUMIFS(Datos_items!$Z:$Z,Datos_items!$B:$B,$B52,Datos_items!$O:$O,J$4,Datos_items!$E:$E,Analisis_grupo!$C$4)/COUNTIFS(Datos_items!$B:$B,$B52,Datos_items!$O:$O,J$4,Datos_items!$E:$E,Analisis_grupo!$C$4),""))</f>
        <v/>
      </c>
      <c r="K52" s="18" t="str">
        <f aca="false">IF($B52="","",IFERROR(SUMIFS(Datos_items!$Z:$Z,Datos_items!$B:$B,$B52,Datos_items!$O:$O,K$4,Datos_items!$E:$E,Analisis_grupo!$C$4)/COUNTIFS(Datos_items!$B:$B,$B52,Datos_items!$O:$O,K$4,Datos_items!$E:$E,Analisis_grupo!$C$4),""))</f>
        <v/>
      </c>
      <c r="L52" s="18" t="str">
        <f aca="false">IF($B52="","",IFERROR(SUMIFS(Datos_items!$Z:$Z,Datos_items!$B:$B,$B52,Datos_items!$O:$O,L$4,Datos_items!$E:$E,Analisis_grupo!$C$4)/COUNTIFS(Datos_items!$B:$B,$B52,Datos_items!$O:$O,L$4,Datos_items!$E:$E,Analisis_grupo!$C$4),""))</f>
        <v/>
      </c>
      <c r="M52" s="18" t="str">
        <f aca="false">IF($B52="","",IFERROR(SUMIFS(Datos_items!$Z:$Z,Datos_items!$B:$B,$B52,Datos_items!$O:$O,M$4,Datos_items!$E:$E,Analisis_grupo!$C$4)/COUNTIFS(Datos_items!$B:$B,$B52,Datos_items!$O:$O,M$4,Datos_items!$E:$E,Analisis_grupo!$C$4),""))</f>
        <v/>
      </c>
      <c r="N52" s="18" t="str">
        <f aca="false">IF($B52="","",IFERROR(SUMIFS(Datos_items!$Z:$Z,Datos_items!$B:$B,$B52,Datos_items!$O:$O,N$4,Datos_items!$E:$E,Analisis_grupo!$C$4)/COUNTIFS(Datos_items!$B:$B,$B52,Datos_items!$O:$O,N$4,Datos_items!$E:$E,Analisis_grupo!$C$4),""))</f>
        <v/>
      </c>
      <c r="O52" s="18" t="str">
        <f aca="false">IF($B52="","",IFERROR(SUMIFS(Datos_items!$Z:$Z,Datos_items!$B:$B,$B52,Datos_items!$O:$O,O$4,Datos_items!$E:$E,Analisis_grupo!$C$4)/COUNTIFS(Datos_items!$B:$B,$B52,Datos_items!$O:$O,O$4,Datos_items!$E:$E,Analisis_grupo!$C$4),""))</f>
        <v/>
      </c>
      <c r="P52" s="18" t="str">
        <f aca="false">IF($B52="","",IFERROR(SUMIFS(Datos_items!$Z:$Z,Datos_items!$B:$B,$B52,Datos_items!$O:$O,P$4,Datos_items!$E:$E,Analisis_grupo!$C$4)/COUNTIFS(Datos_items!$B:$B,$B52,Datos_items!$O:$O,P$4,Datos_items!$E:$E,Analisis_grupo!$C$4),""))</f>
        <v/>
      </c>
      <c r="Q52" s="18" t="str">
        <f aca="false">IF($B52="","",IFERROR(SUMIFS(Datos_items!$Z:$Z,Datos_items!$B:$B,$B52,Datos_items!$O:$O,Q$4,Datos_items!$E:$E,Analisis_grupo!$C$4)/COUNTIFS(Datos_items!$B:$B,$B52,Datos_items!$O:$O,Q$4,Datos_items!$E:$E,Analisis_grupo!$C$4),""))</f>
        <v/>
      </c>
      <c r="R52" s="2" t="str">
        <f aca="false">IF(COUNT(J52:Q52)=0,"",IF(MIN(J52:Q52)&gt;=Analisis_grupo!$B$7,"(ninguna)",INDEX($J$4:$Q$4,MATCH(MIN(J52:Q52),J52:Q52,0))))</f>
        <v/>
      </c>
      <c r="S52" s="2" t="str">
        <f aca="false">IF($B52="","",COUNTIF(J52:Q52,"&lt;"&amp;Analisis_grupo!$B$7))</f>
        <v/>
      </c>
      <c r="T52" s="2" t="str">
        <f aca="false">IF($B52="","",COUNTIFS(Datos_items!$B:$B,$B52,Datos_items!$AA:$AA,T$4,Datos_items!$E:$E,Analisis_grupo!$C$4))</f>
        <v/>
      </c>
      <c r="U52" s="2" t="str">
        <f aca="false">IF($B52="","",COUNTIFS(Datos_items!$B:$B,$B52,Datos_items!$AA:$AA,U$4,Datos_items!$E:$E,Analisis_grupo!$C$4))</f>
        <v/>
      </c>
      <c r="V52" s="2" t="str">
        <f aca="false">IF($B52="","",COUNTIFS(Datos_items!$B:$B,$B52,Datos_items!$AA:$AA,V$4,Datos_items!$E:$E,Analisis_grupo!$C$4))</f>
        <v/>
      </c>
      <c r="W52" s="2" t="str">
        <f aca="false">IF($B52="","",COUNTIFS(Datos_items!$B:$B,$B52,Datos_items!$AA:$AA,W$4,Datos_items!$E:$E,Analisis_grupo!$C$4))</f>
        <v/>
      </c>
      <c r="X52" s="2" t="str">
        <f aca="false">IF($B52="","",COUNTIFS(Datos_items!$B:$B,$B52,Datos_items!$AA:$AA,X$4,Datos_items!$E:$E,Analisis_grupo!$C$4))</f>
        <v/>
      </c>
      <c r="Y52" s="2" t="str">
        <f aca="false">IF($B52="","",COUNTIFS(Datos_items!$B:$B,$B52,Datos_items!$AA:$AA,Y$4,Datos_items!$E:$E,Analisis_grupo!$C$4))</f>
        <v/>
      </c>
      <c r="Z52" s="2" t="str">
        <f aca="false">IF($B52="","",COUNTIFS(Datos_items!$B:$B,$B52,Datos_items!$AA:$AA,Z$4,Datos_items!$E:$E,Analisis_grupo!$C$4))</f>
        <v/>
      </c>
      <c r="AA52" s="2" t="str">
        <f aca="false">IF($B52="","",COUNTIFS(Datos_items!$B:$B,$B52,Datos_items!$AA:$AA,AA$4,Datos_items!$E:$E,Analisis_grupo!$C$4))</f>
        <v/>
      </c>
      <c r="AB52" s="2" t="str">
        <f aca="false">IF($B52="","",COUNTIFS(Datos_items!$B:$B,$B52,Datos_items!$AA:$AA,AB$4,Datos_items!$E:$E,Analisis_grupo!$C$4))</f>
        <v/>
      </c>
      <c r="AC52" s="2" t="str">
        <f aca="false">IF($B52="","",COUNTIFS(Datos_items!$B:$B,$B52,Datos_items!$AA:$AA,AC$4,Datos_items!$E:$E,Analisis_grupo!$C$4))</f>
        <v/>
      </c>
      <c r="AD52" s="2" t="str">
        <f aca="false">IF($B52="","",COUNTIFS(Datos_items!$B:$B,$B52,Datos_items!$AA:$AA,AD$4,Datos_items!$E:$E,Analisis_grupo!$C$4))</f>
        <v/>
      </c>
      <c r="AE52" s="2" t="str">
        <f aca="false">IF($B52="","",COUNTIFS(Datos_items!$B:$B,$B52,Datos_items!$AA:$AA,AE$4,Datos_items!$E:$E,Analisis_grupo!$C$4))</f>
        <v/>
      </c>
      <c r="AF52" s="2" t="str">
        <f aca="false">IF($B52="","",COUNTIFS(Datos_items!$B:$B,$B52,Datos_items!$AA:$AA,AF$4,Datos_items!$E:$E,Analisis_grupo!$C$4))</f>
        <v/>
      </c>
      <c r="AG52" s="2" t="str">
        <f aca="false">IF($B52="","",COUNTIFS(Datos_items!$B:$B,$B52,Datos_items!$AA:$AA,AG$4,Datos_items!$E:$E,Analisis_grupo!$C$4))</f>
        <v/>
      </c>
      <c r="AH52" s="2" t="str">
        <f aca="false">IF($B52="","",COUNTIFS(Datos_items!$B:$B,$B52,Datos_items!$AA:$AA,AH$4,Datos_items!$E:$E,Analisis_grupo!$C$4))</f>
        <v/>
      </c>
      <c r="AI52" s="2" t="str">
        <f aca="false">IF($B52="","",COUNTIFS(Datos_items!$B:$B,$B52,Datos_items!$AA:$AA,AI$4,Datos_items!$E:$E,Analisis_grupo!$C$4))</f>
        <v/>
      </c>
      <c r="AJ52" s="2" t="str">
        <f aca="false">IF($B52="","",COUNTIFS(Datos_items!$B:$B,$B52,Datos_items!$AA:$AA,AJ$4,Datos_items!$E:$E,Analisis_grupo!$C$4))</f>
        <v/>
      </c>
      <c r="AK52" s="2" t="str">
        <f aca="false">IF($B52="","",COUNTIFS(Datos_items!$B:$B,$B52,Datos_items!$AA:$AA,AK$4,Datos_items!$E:$E,Analisis_grupo!$C$4))</f>
        <v/>
      </c>
      <c r="AL52" s="2" t="str">
        <f aca="false">IF($B52="","",COUNTIFS(Datos_items!$B:$B,$B52,Datos_items!$AA:$AA,AL$4,Datos_items!$E:$E,Analisis_grupo!$C$4))</f>
        <v/>
      </c>
      <c r="AM52" s="2" t="str">
        <f aca="false">IF($B52="","",IF(MAX(Y52:AL52)=0,"",INDEX($Y$4:$AL$4,MATCH(MAX(Y52:AL52),Y52:AL52,0))))</f>
        <v/>
      </c>
      <c r="AN52" s="2" t="str">
        <f aca="false">IF($B52="","",COUNTIFS(Datos_problemas!$B:$B,$B52,Datos_problemas!$F:$F,"Práctica"))</f>
        <v/>
      </c>
      <c r="AO52" s="2" t="str">
        <f aca="false">IF($B52="","",SUMIFS(Datos_problemas!$AQ:$AQ,Datos_problemas!$B:$B,$B52,Datos_problemas!$F:$F,"Práctica"))</f>
        <v/>
      </c>
      <c r="AP52" s="2" t="str">
        <f aca="false">IF($B52="","",COUNTIFS(Datos_problemas!$B:$B,$B52,Datos_problemas!$F:$F,"Práctica",Datos_problemas!$AS:$AS,"Sí"))</f>
        <v/>
      </c>
    </row>
    <row r="53" customFormat="false" ht="15" hidden="false" customHeight="false" outlineLevel="0" collapsed="false">
      <c r="A53" s="2" t="n">
        <v>49</v>
      </c>
      <c r="B53" s="2" t="str">
        <f aca="false">IFERROR(INDEX(Datos_problemas!$B:$B,MATCH($A53,Datos_problemas!$AV:$AV,0)),"")</f>
        <v/>
      </c>
      <c r="C53" s="2" t="str">
        <f aca="false">IF($B53="","",INDEX(Datos_problemas!$C:$C,MATCH($A53,Datos_problemas!$AV:$AV,0)))</f>
        <v/>
      </c>
      <c r="D53" s="2" t="str">
        <f aca="false">IF($B53="","",INDEX(Datos_problemas!$D:$D,MATCH($A53,Datos_problemas!$AV:$AV,0)))</f>
        <v/>
      </c>
      <c r="E53" s="2" t="str">
        <f aca="false">IF($B53="","",COUNTIFS(Datos_problemas!$B:$B,$B53,Datos_problemas!$F:$F,"Evaluación"))</f>
        <v/>
      </c>
      <c r="F53" s="20" t="str">
        <f aca="false">IF($B53="","",IFERROR(AVERAGEIFS(Datos_problemas!$AE:$AE,Datos_problemas!$B:$B,$B53,Datos_problemas!$F:$F,"Evaluación"),""))</f>
        <v/>
      </c>
      <c r="G53" s="20" t="str">
        <f aca="false">IF($B53="","",IFERROR(AVERAGEIFS(Datos_problemas!$AE:$AE,Datos_problemas!$B:$B,$B53,Datos_problemas!$F:$F,"Evaluación",Datos_problemas!$E:$E,"Diagnóstico"),""))</f>
        <v/>
      </c>
      <c r="H53" s="20" t="str">
        <f aca="false">IF($B53="","",IFERROR(AVERAGEIFS(Datos_problemas!$AE:$AE,Datos_problemas!$B:$B,$B53,Datos_problemas!$F:$F,"Evaluación",Datos_problemas!$E:$E,"Final"),""))</f>
        <v/>
      </c>
      <c r="I53" s="21" t="str">
        <f aca="false">IF(OR(G53="",H53=""),"",IF(G53&gt;=10,"",(H53-G53)/(10-G53)))</f>
        <v/>
      </c>
      <c r="J53" s="18" t="str">
        <f aca="false">IF($B53="","",IFERROR(SUMIFS(Datos_items!$Z:$Z,Datos_items!$B:$B,$B53,Datos_items!$O:$O,J$4,Datos_items!$E:$E,Analisis_grupo!$C$4)/COUNTIFS(Datos_items!$B:$B,$B53,Datos_items!$O:$O,J$4,Datos_items!$E:$E,Analisis_grupo!$C$4),""))</f>
        <v/>
      </c>
      <c r="K53" s="18" t="str">
        <f aca="false">IF($B53="","",IFERROR(SUMIFS(Datos_items!$Z:$Z,Datos_items!$B:$B,$B53,Datos_items!$O:$O,K$4,Datos_items!$E:$E,Analisis_grupo!$C$4)/COUNTIFS(Datos_items!$B:$B,$B53,Datos_items!$O:$O,K$4,Datos_items!$E:$E,Analisis_grupo!$C$4),""))</f>
        <v/>
      </c>
      <c r="L53" s="18" t="str">
        <f aca="false">IF($B53="","",IFERROR(SUMIFS(Datos_items!$Z:$Z,Datos_items!$B:$B,$B53,Datos_items!$O:$O,L$4,Datos_items!$E:$E,Analisis_grupo!$C$4)/COUNTIFS(Datos_items!$B:$B,$B53,Datos_items!$O:$O,L$4,Datos_items!$E:$E,Analisis_grupo!$C$4),""))</f>
        <v/>
      </c>
      <c r="M53" s="18" t="str">
        <f aca="false">IF($B53="","",IFERROR(SUMIFS(Datos_items!$Z:$Z,Datos_items!$B:$B,$B53,Datos_items!$O:$O,M$4,Datos_items!$E:$E,Analisis_grupo!$C$4)/COUNTIFS(Datos_items!$B:$B,$B53,Datos_items!$O:$O,M$4,Datos_items!$E:$E,Analisis_grupo!$C$4),""))</f>
        <v/>
      </c>
      <c r="N53" s="18" t="str">
        <f aca="false">IF($B53="","",IFERROR(SUMIFS(Datos_items!$Z:$Z,Datos_items!$B:$B,$B53,Datos_items!$O:$O,N$4,Datos_items!$E:$E,Analisis_grupo!$C$4)/COUNTIFS(Datos_items!$B:$B,$B53,Datos_items!$O:$O,N$4,Datos_items!$E:$E,Analisis_grupo!$C$4),""))</f>
        <v/>
      </c>
      <c r="O53" s="18" t="str">
        <f aca="false">IF($B53="","",IFERROR(SUMIFS(Datos_items!$Z:$Z,Datos_items!$B:$B,$B53,Datos_items!$O:$O,O$4,Datos_items!$E:$E,Analisis_grupo!$C$4)/COUNTIFS(Datos_items!$B:$B,$B53,Datos_items!$O:$O,O$4,Datos_items!$E:$E,Analisis_grupo!$C$4),""))</f>
        <v/>
      </c>
      <c r="P53" s="18" t="str">
        <f aca="false">IF($B53="","",IFERROR(SUMIFS(Datos_items!$Z:$Z,Datos_items!$B:$B,$B53,Datos_items!$O:$O,P$4,Datos_items!$E:$E,Analisis_grupo!$C$4)/COUNTIFS(Datos_items!$B:$B,$B53,Datos_items!$O:$O,P$4,Datos_items!$E:$E,Analisis_grupo!$C$4),""))</f>
        <v/>
      </c>
      <c r="Q53" s="18" t="str">
        <f aca="false">IF($B53="","",IFERROR(SUMIFS(Datos_items!$Z:$Z,Datos_items!$B:$B,$B53,Datos_items!$O:$O,Q$4,Datos_items!$E:$E,Analisis_grupo!$C$4)/COUNTIFS(Datos_items!$B:$B,$B53,Datos_items!$O:$O,Q$4,Datos_items!$E:$E,Analisis_grupo!$C$4),""))</f>
        <v/>
      </c>
      <c r="R53" s="2" t="str">
        <f aca="false">IF(COUNT(J53:Q53)=0,"",IF(MIN(J53:Q53)&gt;=Analisis_grupo!$B$7,"(ninguna)",INDEX($J$4:$Q$4,MATCH(MIN(J53:Q53),J53:Q53,0))))</f>
        <v/>
      </c>
      <c r="S53" s="2" t="str">
        <f aca="false">IF($B53="","",COUNTIF(J53:Q53,"&lt;"&amp;Analisis_grupo!$B$7))</f>
        <v/>
      </c>
      <c r="T53" s="2" t="str">
        <f aca="false">IF($B53="","",COUNTIFS(Datos_items!$B:$B,$B53,Datos_items!$AA:$AA,T$4,Datos_items!$E:$E,Analisis_grupo!$C$4))</f>
        <v/>
      </c>
      <c r="U53" s="2" t="str">
        <f aca="false">IF($B53="","",COUNTIFS(Datos_items!$B:$B,$B53,Datos_items!$AA:$AA,U$4,Datos_items!$E:$E,Analisis_grupo!$C$4))</f>
        <v/>
      </c>
      <c r="V53" s="2" t="str">
        <f aca="false">IF($B53="","",COUNTIFS(Datos_items!$B:$B,$B53,Datos_items!$AA:$AA,V$4,Datos_items!$E:$E,Analisis_grupo!$C$4))</f>
        <v/>
      </c>
      <c r="W53" s="2" t="str">
        <f aca="false">IF($B53="","",COUNTIFS(Datos_items!$B:$B,$B53,Datos_items!$AA:$AA,W$4,Datos_items!$E:$E,Analisis_grupo!$C$4))</f>
        <v/>
      </c>
      <c r="X53" s="2" t="str">
        <f aca="false">IF($B53="","",COUNTIFS(Datos_items!$B:$B,$B53,Datos_items!$AA:$AA,X$4,Datos_items!$E:$E,Analisis_grupo!$C$4))</f>
        <v/>
      </c>
      <c r="Y53" s="2" t="str">
        <f aca="false">IF($B53="","",COUNTIFS(Datos_items!$B:$B,$B53,Datos_items!$AA:$AA,Y$4,Datos_items!$E:$E,Analisis_grupo!$C$4))</f>
        <v/>
      </c>
      <c r="Z53" s="2" t="str">
        <f aca="false">IF($B53="","",COUNTIFS(Datos_items!$B:$B,$B53,Datos_items!$AA:$AA,Z$4,Datos_items!$E:$E,Analisis_grupo!$C$4))</f>
        <v/>
      </c>
      <c r="AA53" s="2" t="str">
        <f aca="false">IF($B53="","",COUNTIFS(Datos_items!$B:$B,$B53,Datos_items!$AA:$AA,AA$4,Datos_items!$E:$E,Analisis_grupo!$C$4))</f>
        <v/>
      </c>
      <c r="AB53" s="2" t="str">
        <f aca="false">IF($B53="","",COUNTIFS(Datos_items!$B:$B,$B53,Datos_items!$AA:$AA,AB$4,Datos_items!$E:$E,Analisis_grupo!$C$4))</f>
        <v/>
      </c>
      <c r="AC53" s="2" t="str">
        <f aca="false">IF($B53="","",COUNTIFS(Datos_items!$B:$B,$B53,Datos_items!$AA:$AA,AC$4,Datos_items!$E:$E,Analisis_grupo!$C$4))</f>
        <v/>
      </c>
      <c r="AD53" s="2" t="str">
        <f aca="false">IF($B53="","",COUNTIFS(Datos_items!$B:$B,$B53,Datos_items!$AA:$AA,AD$4,Datos_items!$E:$E,Analisis_grupo!$C$4))</f>
        <v/>
      </c>
      <c r="AE53" s="2" t="str">
        <f aca="false">IF($B53="","",COUNTIFS(Datos_items!$B:$B,$B53,Datos_items!$AA:$AA,AE$4,Datos_items!$E:$E,Analisis_grupo!$C$4))</f>
        <v/>
      </c>
      <c r="AF53" s="2" t="str">
        <f aca="false">IF($B53="","",COUNTIFS(Datos_items!$B:$B,$B53,Datos_items!$AA:$AA,AF$4,Datos_items!$E:$E,Analisis_grupo!$C$4))</f>
        <v/>
      </c>
      <c r="AG53" s="2" t="str">
        <f aca="false">IF($B53="","",COUNTIFS(Datos_items!$B:$B,$B53,Datos_items!$AA:$AA,AG$4,Datos_items!$E:$E,Analisis_grupo!$C$4))</f>
        <v/>
      </c>
      <c r="AH53" s="2" t="str">
        <f aca="false">IF($B53="","",COUNTIFS(Datos_items!$B:$B,$B53,Datos_items!$AA:$AA,AH$4,Datos_items!$E:$E,Analisis_grupo!$C$4))</f>
        <v/>
      </c>
      <c r="AI53" s="2" t="str">
        <f aca="false">IF($B53="","",COUNTIFS(Datos_items!$B:$B,$B53,Datos_items!$AA:$AA,AI$4,Datos_items!$E:$E,Analisis_grupo!$C$4))</f>
        <v/>
      </c>
      <c r="AJ53" s="2" t="str">
        <f aca="false">IF($B53="","",COUNTIFS(Datos_items!$B:$B,$B53,Datos_items!$AA:$AA,AJ$4,Datos_items!$E:$E,Analisis_grupo!$C$4))</f>
        <v/>
      </c>
      <c r="AK53" s="2" t="str">
        <f aca="false">IF($B53="","",COUNTIFS(Datos_items!$B:$B,$B53,Datos_items!$AA:$AA,AK$4,Datos_items!$E:$E,Analisis_grupo!$C$4))</f>
        <v/>
      </c>
      <c r="AL53" s="2" t="str">
        <f aca="false">IF($B53="","",COUNTIFS(Datos_items!$B:$B,$B53,Datos_items!$AA:$AA,AL$4,Datos_items!$E:$E,Analisis_grupo!$C$4))</f>
        <v/>
      </c>
      <c r="AM53" s="2" t="str">
        <f aca="false">IF($B53="","",IF(MAX(Y53:AL53)=0,"",INDEX($Y$4:$AL$4,MATCH(MAX(Y53:AL53),Y53:AL53,0))))</f>
        <v/>
      </c>
      <c r="AN53" s="2" t="str">
        <f aca="false">IF($B53="","",COUNTIFS(Datos_problemas!$B:$B,$B53,Datos_problemas!$F:$F,"Práctica"))</f>
        <v/>
      </c>
      <c r="AO53" s="2" t="str">
        <f aca="false">IF($B53="","",SUMIFS(Datos_problemas!$AQ:$AQ,Datos_problemas!$B:$B,$B53,Datos_problemas!$F:$F,"Práctica"))</f>
        <v/>
      </c>
      <c r="AP53" s="2" t="str">
        <f aca="false">IF($B53="","",COUNTIFS(Datos_problemas!$B:$B,$B53,Datos_problemas!$F:$F,"Práctica",Datos_problemas!$AS:$AS,"Sí"))</f>
        <v/>
      </c>
    </row>
    <row r="54" customFormat="false" ht="15" hidden="false" customHeight="false" outlineLevel="0" collapsed="false">
      <c r="A54" s="2" t="n">
        <v>50</v>
      </c>
      <c r="B54" s="2" t="str">
        <f aca="false">IFERROR(INDEX(Datos_problemas!$B:$B,MATCH($A54,Datos_problemas!$AV:$AV,0)),"")</f>
        <v/>
      </c>
      <c r="C54" s="2" t="str">
        <f aca="false">IF($B54="","",INDEX(Datos_problemas!$C:$C,MATCH($A54,Datos_problemas!$AV:$AV,0)))</f>
        <v/>
      </c>
      <c r="D54" s="2" t="str">
        <f aca="false">IF($B54="","",INDEX(Datos_problemas!$D:$D,MATCH($A54,Datos_problemas!$AV:$AV,0)))</f>
        <v/>
      </c>
      <c r="E54" s="2" t="str">
        <f aca="false">IF($B54="","",COUNTIFS(Datos_problemas!$B:$B,$B54,Datos_problemas!$F:$F,"Evaluación"))</f>
        <v/>
      </c>
      <c r="F54" s="20" t="str">
        <f aca="false">IF($B54="","",IFERROR(AVERAGEIFS(Datos_problemas!$AE:$AE,Datos_problemas!$B:$B,$B54,Datos_problemas!$F:$F,"Evaluación"),""))</f>
        <v/>
      </c>
      <c r="G54" s="20" t="str">
        <f aca="false">IF($B54="","",IFERROR(AVERAGEIFS(Datos_problemas!$AE:$AE,Datos_problemas!$B:$B,$B54,Datos_problemas!$F:$F,"Evaluación",Datos_problemas!$E:$E,"Diagnóstico"),""))</f>
        <v/>
      </c>
      <c r="H54" s="20" t="str">
        <f aca="false">IF($B54="","",IFERROR(AVERAGEIFS(Datos_problemas!$AE:$AE,Datos_problemas!$B:$B,$B54,Datos_problemas!$F:$F,"Evaluación",Datos_problemas!$E:$E,"Final"),""))</f>
        <v/>
      </c>
      <c r="I54" s="21" t="str">
        <f aca="false">IF(OR(G54="",H54=""),"",IF(G54&gt;=10,"",(H54-G54)/(10-G54)))</f>
        <v/>
      </c>
      <c r="J54" s="18" t="str">
        <f aca="false">IF($B54="","",IFERROR(SUMIFS(Datos_items!$Z:$Z,Datos_items!$B:$B,$B54,Datos_items!$O:$O,J$4,Datos_items!$E:$E,Analisis_grupo!$C$4)/COUNTIFS(Datos_items!$B:$B,$B54,Datos_items!$O:$O,J$4,Datos_items!$E:$E,Analisis_grupo!$C$4),""))</f>
        <v/>
      </c>
      <c r="K54" s="18" t="str">
        <f aca="false">IF($B54="","",IFERROR(SUMIFS(Datos_items!$Z:$Z,Datos_items!$B:$B,$B54,Datos_items!$O:$O,K$4,Datos_items!$E:$E,Analisis_grupo!$C$4)/COUNTIFS(Datos_items!$B:$B,$B54,Datos_items!$O:$O,K$4,Datos_items!$E:$E,Analisis_grupo!$C$4),""))</f>
        <v/>
      </c>
      <c r="L54" s="18" t="str">
        <f aca="false">IF($B54="","",IFERROR(SUMIFS(Datos_items!$Z:$Z,Datos_items!$B:$B,$B54,Datos_items!$O:$O,L$4,Datos_items!$E:$E,Analisis_grupo!$C$4)/COUNTIFS(Datos_items!$B:$B,$B54,Datos_items!$O:$O,L$4,Datos_items!$E:$E,Analisis_grupo!$C$4),""))</f>
        <v/>
      </c>
      <c r="M54" s="18" t="str">
        <f aca="false">IF($B54="","",IFERROR(SUMIFS(Datos_items!$Z:$Z,Datos_items!$B:$B,$B54,Datos_items!$O:$O,M$4,Datos_items!$E:$E,Analisis_grupo!$C$4)/COUNTIFS(Datos_items!$B:$B,$B54,Datos_items!$O:$O,M$4,Datos_items!$E:$E,Analisis_grupo!$C$4),""))</f>
        <v/>
      </c>
      <c r="N54" s="18" t="str">
        <f aca="false">IF($B54="","",IFERROR(SUMIFS(Datos_items!$Z:$Z,Datos_items!$B:$B,$B54,Datos_items!$O:$O,N$4,Datos_items!$E:$E,Analisis_grupo!$C$4)/COUNTIFS(Datos_items!$B:$B,$B54,Datos_items!$O:$O,N$4,Datos_items!$E:$E,Analisis_grupo!$C$4),""))</f>
        <v/>
      </c>
      <c r="O54" s="18" t="str">
        <f aca="false">IF($B54="","",IFERROR(SUMIFS(Datos_items!$Z:$Z,Datos_items!$B:$B,$B54,Datos_items!$O:$O,O$4,Datos_items!$E:$E,Analisis_grupo!$C$4)/COUNTIFS(Datos_items!$B:$B,$B54,Datos_items!$O:$O,O$4,Datos_items!$E:$E,Analisis_grupo!$C$4),""))</f>
        <v/>
      </c>
      <c r="P54" s="18" t="str">
        <f aca="false">IF($B54="","",IFERROR(SUMIFS(Datos_items!$Z:$Z,Datos_items!$B:$B,$B54,Datos_items!$O:$O,P$4,Datos_items!$E:$E,Analisis_grupo!$C$4)/COUNTIFS(Datos_items!$B:$B,$B54,Datos_items!$O:$O,P$4,Datos_items!$E:$E,Analisis_grupo!$C$4),""))</f>
        <v/>
      </c>
      <c r="Q54" s="18" t="str">
        <f aca="false">IF($B54="","",IFERROR(SUMIFS(Datos_items!$Z:$Z,Datos_items!$B:$B,$B54,Datos_items!$O:$O,Q$4,Datos_items!$E:$E,Analisis_grupo!$C$4)/COUNTIFS(Datos_items!$B:$B,$B54,Datos_items!$O:$O,Q$4,Datos_items!$E:$E,Analisis_grupo!$C$4),""))</f>
        <v/>
      </c>
      <c r="R54" s="2" t="str">
        <f aca="false">IF(COUNT(J54:Q54)=0,"",IF(MIN(J54:Q54)&gt;=Analisis_grupo!$B$7,"(ninguna)",INDEX($J$4:$Q$4,MATCH(MIN(J54:Q54),J54:Q54,0))))</f>
        <v/>
      </c>
      <c r="S54" s="2" t="str">
        <f aca="false">IF($B54="","",COUNTIF(J54:Q54,"&lt;"&amp;Analisis_grupo!$B$7))</f>
        <v/>
      </c>
      <c r="T54" s="2" t="str">
        <f aca="false">IF($B54="","",COUNTIFS(Datos_items!$B:$B,$B54,Datos_items!$AA:$AA,T$4,Datos_items!$E:$E,Analisis_grupo!$C$4))</f>
        <v/>
      </c>
      <c r="U54" s="2" t="str">
        <f aca="false">IF($B54="","",COUNTIFS(Datos_items!$B:$B,$B54,Datos_items!$AA:$AA,U$4,Datos_items!$E:$E,Analisis_grupo!$C$4))</f>
        <v/>
      </c>
      <c r="V54" s="2" t="str">
        <f aca="false">IF($B54="","",COUNTIFS(Datos_items!$B:$B,$B54,Datos_items!$AA:$AA,V$4,Datos_items!$E:$E,Analisis_grupo!$C$4))</f>
        <v/>
      </c>
      <c r="W54" s="2" t="str">
        <f aca="false">IF($B54="","",COUNTIFS(Datos_items!$B:$B,$B54,Datos_items!$AA:$AA,W$4,Datos_items!$E:$E,Analisis_grupo!$C$4))</f>
        <v/>
      </c>
      <c r="X54" s="2" t="str">
        <f aca="false">IF($B54="","",COUNTIFS(Datos_items!$B:$B,$B54,Datos_items!$AA:$AA,X$4,Datos_items!$E:$E,Analisis_grupo!$C$4))</f>
        <v/>
      </c>
      <c r="Y54" s="2" t="str">
        <f aca="false">IF($B54="","",COUNTIFS(Datos_items!$B:$B,$B54,Datos_items!$AA:$AA,Y$4,Datos_items!$E:$E,Analisis_grupo!$C$4))</f>
        <v/>
      </c>
      <c r="Z54" s="2" t="str">
        <f aca="false">IF($B54="","",COUNTIFS(Datos_items!$B:$B,$B54,Datos_items!$AA:$AA,Z$4,Datos_items!$E:$E,Analisis_grupo!$C$4))</f>
        <v/>
      </c>
      <c r="AA54" s="2" t="str">
        <f aca="false">IF($B54="","",COUNTIFS(Datos_items!$B:$B,$B54,Datos_items!$AA:$AA,AA$4,Datos_items!$E:$E,Analisis_grupo!$C$4))</f>
        <v/>
      </c>
      <c r="AB54" s="2" t="str">
        <f aca="false">IF($B54="","",COUNTIFS(Datos_items!$B:$B,$B54,Datos_items!$AA:$AA,AB$4,Datos_items!$E:$E,Analisis_grupo!$C$4))</f>
        <v/>
      </c>
      <c r="AC54" s="2" t="str">
        <f aca="false">IF($B54="","",COUNTIFS(Datos_items!$B:$B,$B54,Datos_items!$AA:$AA,AC$4,Datos_items!$E:$E,Analisis_grupo!$C$4))</f>
        <v/>
      </c>
      <c r="AD54" s="2" t="str">
        <f aca="false">IF($B54="","",COUNTIFS(Datos_items!$B:$B,$B54,Datos_items!$AA:$AA,AD$4,Datos_items!$E:$E,Analisis_grupo!$C$4))</f>
        <v/>
      </c>
      <c r="AE54" s="2" t="str">
        <f aca="false">IF($B54="","",COUNTIFS(Datos_items!$B:$B,$B54,Datos_items!$AA:$AA,AE$4,Datos_items!$E:$E,Analisis_grupo!$C$4))</f>
        <v/>
      </c>
      <c r="AF54" s="2" t="str">
        <f aca="false">IF($B54="","",COUNTIFS(Datos_items!$B:$B,$B54,Datos_items!$AA:$AA,AF$4,Datos_items!$E:$E,Analisis_grupo!$C$4))</f>
        <v/>
      </c>
      <c r="AG54" s="2" t="str">
        <f aca="false">IF($B54="","",COUNTIFS(Datos_items!$B:$B,$B54,Datos_items!$AA:$AA,AG$4,Datos_items!$E:$E,Analisis_grupo!$C$4))</f>
        <v/>
      </c>
      <c r="AH54" s="2" t="str">
        <f aca="false">IF($B54="","",COUNTIFS(Datos_items!$B:$B,$B54,Datos_items!$AA:$AA,AH$4,Datos_items!$E:$E,Analisis_grupo!$C$4))</f>
        <v/>
      </c>
      <c r="AI54" s="2" t="str">
        <f aca="false">IF($B54="","",COUNTIFS(Datos_items!$B:$B,$B54,Datos_items!$AA:$AA,AI$4,Datos_items!$E:$E,Analisis_grupo!$C$4))</f>
        <v/>
      </c>
      <c r="AJ54" s="2" t="str">
        <f aca="false">IF($B54="","",COUNTIFS(Datos_items!$B:$B,$B54,Datos_items!$AA:$AA,AJ$4,Datos_items!$E:$E,Analisis_grupo!$C$4))</f>
        <v/>
      </c>
      <c r="AK54" s="2" t="str">
        <f aca="false">IF($B54="","",COUNTIFS(Datos_items!$B:$B,$B54,Datos_items!$AA:$AA,AK$4,Datos_items!$E:$E,Analisis_grupo!$C$4))</f>
        <v/>
      </c>
      <c r="AL54" s="2" t="str">
        <f aca="false">IF($B54="","",COUNTIFS(Datos_items!$B:$B,$B54,Datos_items!$AA:$AA,AL$4,Datos_items!$E:$E,Analisis_grupo!$C$4))</f>
        <v/>
      </c>
      <c r="AM54" s="2" t="str">
        <f aca="false">IF($B54="","",IF(MAX(Y54:AL54)=0,"",INDEX($Y$4:$AL$4,MATCH(MAX(Y54:AL54),Y54:AL54,0))))</f>
        <v/>
      </c>
      <c r="AN54" s="2" t="str">
        <f aca="false">IF($B54="","",COUNTIFS(Datos_problemas!$B:$B,$B54,Datos_problemas!$F:$F,"Práctica"))</f>
        <v/>
      </c>
      <c r="AO54" s="2" t="str">
        <f aca="false">IF($B54="","",SUMIFS(Datos_problemas!$AQ:$AQ,Datos_problemas!$B:$B,$B54,Datos_problemas!$F:$F,"Práctica"))</f>
        <v/>
      </c>
      <c r="AP54" s="2" t="str">
        <f aca="false">IF($B54="","",COUNTIFS(Datos_problemas!$B:$B,$B54,Datos_problemas!$F:$F,"Práctica",Datos_problemas!$AS:$AS,"Sí"))</f>
        <v/>
      </c>
    </row>
    <row r="55" customFormat="false" ht="15" hidden="false" customHeight="false" outlineLevel="0" collapsed="false">
      <c r="A55" s="2" t="n">
        <v>51</v>
      </c>
      <c r="B55" s="2" t="str">
        <f aca="false">IFERROR(INDEX(Datos_problemas!$B:$B,MATCH($A55,Datos_problemas!$AV:$AV,0)),"")</f>
        <v/>
      </c>
      <c r="C55" s="2" t="str">
        <f aca="false">IF($B55="","",INDEX(Datos_problemas!$C:$C,MATCH($A55,Datos_problemas!$AV:$AV,0)))</f>
        <v/>
      </c>
      <c r="D55" s="2" t="str">
        <f aca="false">IF($B55="","",INDEX(Datos_problemas!$D:$D,MATCH($A55,Datos_problemas!$AV:$AV,0)))</f>
        <v/>
      </c>
      <c r="E55" s="2" t="str">
        <f aca="false">IF($B55="","",COUNTIFS(Datos_problemas!$B:$B,$B55,Datos_problemas!$F:$F,"Evaluación"))</f>
        <v/>
      </c>
      <c r="F55" s="20" t="str">
        <f aca="false">IF($B55="","",IFERROR(AVERAGEIFS(Datos_problemas!$AE:$AE,Datos_problemas!$B:$B,$B55,Datos_problemas!$F:$F,"Evaluación"),""))</f>
        <v/>
      </c>
      <c r="G55" s="20" t="str">
        <f aca="false">IF($B55="","",IFERROR(AVERAGEIFS(Datos_problemas!$AE:$AE,Datos_problemas!$B:$B,$B55,Datos_problemas!$F:$F,"Evaluación",Datos_problemas!$E:$E,"Diagnóstico"),""))</f>
        <v/>
      </c>
      <c r="H55" s="20" t="str">
        <f aca="false">IF($B55="","",IFERROR(AVERAGEIFS(Datos_problemas!$AE:$AE,Datos_problemas!$B:$B,$B55,Datos_problemas!$F:$F,"Evaluación",Datos_problemas!$E:$E,"Final"),""))</f>
        <v/>
      </c>
      <c r="I55" s="21" t="str">
        <f aca="false">IF(OR(G55="",H55=""),"",IF(G55&gt;=10,"",(H55-G55)/(10-G55)))</f>
        <v/>
      </c>
      <c r="J55" s="18" t="str">
        <f aca="false">IF($B55="","",IFERROR(SUMIFS(Datos_items!$Z:$Z,Datos_items!$B:$B,$B55,Datos_items!$O:$O,J$4,Datos_items!$E:$E,Analisis_grupo!$C$4)/COUNTIFS(Datos_items!$B:$B,$B55,Datos_items!$O:$O,J$4,Datos_items!$E:$E,Analisis_grupo!$C$4),""))</f>
        <v/>
      </c>
      <c r="K55" s="18" t="str">
        <f aca="false">IF($B55="","",IFERROR(SUMIFS(Datos_items!$Z:$Z,Datos_items!$B:$B,$B55,Datos_items!$O:$O,K$4,Datos_items!$E:$E,Analisis_grupo!$C$4)/COUNTIFS(Datos_items!$B:$B,$B55,Datos_items!$O:$O,K$4,Datos_items!$E:$E,Analisis_grupo!$C$4),""))</f>
        <v/>
      </c>
      <c r="L55" s="18" t="str">
        <f aca="false">IF($B55="","",IFERROR(SUMIFS(Datos_items!$Z:$Z,Datos_items!$B:$B,$B55,Datos_items!$O:$O,L$4,Datos_items!$E:$E,Analisis_grupo!$C$4)/COUNTIFS(Datos_items!$B:$B,$B55,Datos_items!$O:$O,L$4,Datos_items!$E:$E,Analisis_grupo!$C$4),""))</f>
        <v/>
      </c>
      <c r="M55" s="18" t="str">
        <f aca="false">IF($B55="","",IFERROR(SUMIFS(Datos_items!$Z:$Z,Datos_items!$B:$B,$B55,Datos_items!$O:$O,M$4,Datos_items!$E:$E,Analisis_grupo!$C$4)/COUNTIFS(Datos_items!$B:$B,$B55,Datos_items!$O:$O,M$4,Datos_items!$E:$E,Analisis_grupo!$C$4),""))</f>
        <v/>
      </c>
      <c r="N55" s="18" t="str">
        <f aca="false">IF($B55="","",IFERROR(SUMIFS(Datos_items!$Z:$Z,Datos_items!$B:$B,$B55,Datos_items!$O:$O,N$4,Datos_items!$E:$E,Analisis_grupo!$C$4)/COUNTIFS(Datos_items!$B:$B,$B55,Datos_items!$O:$O,N$4,Datos_items!$E:$E,Analisis_grupo!$C$4),""))</f>
        <v/>
      </c>
      <c r="O55" s="18" t="str">
        <f aca="false">IF($B55="","",IFERROR(SUMIFS(Datos_items!$Z:$Z,Datos_items!$B:$B,$B55,Datos_items!$O:$O,O$4,Datos_items!$E:$E,Analisis_grupo!$C$4)/COUNTIFS(Datos_items!$B:$B,$B55,Datos_items!$O:$O,O$4,Datos_items!$E:$E,Analisis_grupo!$C$4),""))</f>
        <v/>
      </c>
      <c r="P55" s="18" t="str">
        <f aca="false">IF($B55="","",IFERROR(SUMIFS(Datos_items!$Z:$Z,Datos_items!$B:$B,$B55,Datos_items!$O:$O,P$4,Datos_items!$E:$E,Analisis_grupo!$C$4)/COUNTIFS(Datos_items!$B:$B,$B55,Datos_items!$O:$O,P$4,Datos_items!$E:$E,Analisis_grupo!$C$4),""))</f>
        <v/>
      </c>
      <c r="Q55" s="18" t="str">
        <f aca="false">IF($B55="","",IFERROR(SUMIFS(Datos_items!$Z:$Z,Datos_items!$B:$B,$B55,Datos_items!$O:$O,Q$4,Datos_items!$E:$E,Analisis_grupo!$C$4)/COUNTIFS(Datos_items!$B:$B,$B55,Datos_items!$O:$O,Q$4,Datos_items!$E:$E,Analisis_grupo!$C$4),""))</f>
        <v/>
      </c>
      <c r="R55" s="2" t="str">
        <f aca="false">IF(COUNT(J55:Q55)=0,"",IF(MIN(J55:Q55)&gt;=Analisis_grupo!$B$7,"(ninguna)",INDEX($J$4:$Q$4,MATCH(MIN(J55:Q55),J55:Q55,0))))</f>
        <v/>
      </c>
      <c r="S55" s="2" t="str">
        <f aca="false">IF($B55="","",COUNTIF(J55:Q55,"&lt;"&amp;Analisis_grupo!$B$7))</f>
        <v/>
      </c>
      <c r="T55" s="2" t="str">
        <f aca="false">IF($B55="","",COUNTIFS(Datos_items!$B:$B,$B55,Datos_items!$AA:$AA,T$4,Datos_items!$E:$E,Analisis_grupo!$C$4))</f>
        <v/>
      </c>
      <c r="U55" s="2" t="str">
        <f aca="false">IF($B55="","",COUNTIFS(Datos_items!$B:$B,$B55,Datos_items!$AA:$AA,U$4,Datos_items!$E:$E,Analisis_grupo!$C$4))</f>
        <v/>
      </c>
      <c r="V55" s="2" t="str">
        <f aca="false">IF($B55="","",COUNTIFS(Datos_items!$B:$B,$B55,Datos_items!$AA:$AA,V$4,Datos_items!$E:$E,Analisis_grupo!$C$4))</f>
        <v/>
      </c>
      <c r="W55" s="2" t="str">
        <f aca="false">IF($B55="","",COUNTIFS(Datos_items!$B:$B,$B55,Datos_items!$AA:$AA,W$4,Datos_items!$E:$E,Analisis_grupo!$C$4))</f>
        <v/>
      </c>
      <c r="X55" s="2" t="str">
        <f aca="false">IF($B55="","",COUNTIFS(Datos_items!$B:$B,$B55,Datos_items!$AA:$AA,X$4,Datos_items!$E:$E,Analisis_grupo!$C$4))</f>
        <v/>
      </c>
      <c r="Y55" s="2" t="str">
        <f aca="false">IF($B55="","",COUNTIFS(Datos_items!$B:$B,$B55,Datos_items!$AA:$AA,Y$4,Datos_items!$E:$E,Analisis_grupo!$C$4))</f>
        <v/>
      </c>
      <c r="Z55" s="2" t="str">
        <f aca="false">IF($B55="","",COUNTIFS(Datos_items!$B:$B,$B55,Datos_items!$AA:$AA,Z$4,Datos_items!$E:$E,Analisis_grupo!$C$4))</f>
        <v/>
      </c>
      <c r="AA55" s="2" t="str">
        <f aca="false">IF($B55="","",COUNTIFS(Datos_items!$B:$B,$B55,Datos_items!$AA:$AA,AA$4,Datos_items!$E:$E,Analisis_grupo!$C$4))</f>
        <v/>
      </c>
      <c r="AB55" s="2" t="str">
        <f aca="false">IF($B55="","",COUNTIFS(Datos_items!$B:$B,$B55,Datos_items!$AA:$AA,AB$4,Datos_items!$E:$E,Analisis_grupo!$C$4))</f>
        <v/>
      </c>
      <c r="AC55" s="2" t="str">
        <f aca="false">IF($B55="","",COUNTIFS(Datos_items!$B:$B,$B55,Datos_items!$AA:$AA,AC$4,Datos_items!$E:$E,Analisis_grupo!$C$4))</f>
        <v/>
      </c>
      <c r="AD55" s="2" t="str">
        <f aca="false">IF($B55="","",COUNTIFS(Datos_items!$B:$B,$B55,Datos_items!$AA:$AA,AD$4,Datos_items!$E:$E,Analisis_grupo!$C$4))</f>
        <v/>
      </c>
      <c r="AE55" s="2" t="str">
        <f aca="false">IF($B55="","",COUNTIFS(Datos_items!$B:$B,$B55,Datos_items!$AA:$AA,AE$4,Datos_items!$E:$E,Analisis_grupo!$C$4))</f>
        <v/>
      </c>
      <c r="AF55" s="2" t="str">
        <f aca="false">IF($B55="","",COUNTIFS(Datos_items!$B:$B,$B55,Datos_items!$AA:$AA,AF$4,Datos_items!$E:$E,Analisis_grupo!$C$4))</f>
        <v/>
      </c>
      <c r="AG55" s="2" t="str">
        <f aca="false">IF($B55="","",COUNTIFS(Datos_items!$B:$B,$B55,Datos_items!$AA:$AA,AG$4,Datos_items!$E:$E,Analisis_grupo!$C$4))</f>
        <v/>
      </c>
      <c r="AH55" s="2" t="str">
        <f aca="false">IF($B55="","",COUNTIFS(Datos_items!$B:$B,$B55,Datos_items!$AA:$AA,AH$4,Datos_items!$E:$E,Analisis_grupo!$C$4))</f>
        <v/>
      </c>
      <c r="AI55" s="2" t="str">
        <f aca="false">IF($B55="","",COUNTIFS(Datos_items!$B:$B,$B55,Datos_items!$AA:$AA,AI$4,Datos_items!$E:$E,Analisis_grupo!$C$4))</f>
        <v/>
      </c>
      <c r="AJ55" s="2" t="str">
        <f aca="false">IF($B55="","",COUNTIFS(Datos_items!$B:$B,$B55,Datos_items!$AA:$AA,AJ$4,Datos_items!$E:$E,Analisis_grupo!$C$4))</f>
        <v/>
      </c>
      <c r="AK55" s="2" t="str">
        <f aca="false">IF($B55="","",COUNTIFS(Datos_items!$B:$B,$B55,Datos_items!$AA:$AA,AK$4,Datos_items!$E:$E,Analisis_grupo!$C$4))</f>
        <v/>
      </c>
      <c r="AL55" s="2" t="str">
        <f aca="false">IF($B55="","",COUNTIFS(Datos_items!$B:$B,$B55,Datos_items!$AA:$AA,AL$4,Datos_items!$E:$E,Analisis_grupo!$C$4))</f>
        <v/>
      </c>
      <c r="AM55" s="2" t="str">
        <f aca="false">IF($B55="","",IF(MAX(Y55:AL55)=0,"",INDEX($Y$4:$AL$4,MATCH(MAX(Y55:AL55),Y55:AL55,0))))</f>
        <v/>
      </c>
      <c r="AN55" s="2" t="str">
        <f aca="false">IF($B55="","",COUNTIFS(Datos_problemas!$B:$B,$B55,Datos_problemas!$F:$F,"Práctica"))</f>
        <v/>
      </c>
      <c r="AO55" s="2" t="str">
        <f aca="false">IF($B55="","",SUMIFS(Datos_problemas!$AQ:$AQ,Datos_problemas!$B:$B,$B55,Datos_problemas!$F:$F,"Práctica"))</f>
        <v/>
      </c>
      <c r="AP55" s="2" t="str">
        <f aca="false">IF($B55="","",COUNTIFS(Datos_problemas!$B:$B,$B55,Datos_problemas!$F:$F,"Práctica",Datos_problemas!$AS:$AS,"Sí"))</f>
        <v/>
      </c>
    </row>
    <row r="56" customFormat="false" ht="15" hidden="false" customHeight="false" outlineLevel="0" collapsed="false">
      <c r="A56" s="2" t="n">
        <v>52</v>
      </c>
      <c r="B56" s="2" t="str">
        <f aca="false">IFERROR(INDEX(Datos_problemas!$B:$B,MATCH($A56,Datos_problemas!$AV:$AV,0)),"")</f>
        <v/>
      </c>
      <c r="C56" s="2" t="str">
        <f aca="false">IF($B56="","",INDEX(Datos_problemas!$C:$C,MATCH($A56,Datos_problemas!$AV:$AV,0)))</f>
        <v/>
      </c>
      <c r="D56" s="2" t="str">
        <f aca="false">IF($B56="","",INDEX(Datos_problemas!$D:$D,MATCH($A56,Datos_problemas!$AV:$AV,0)))</f>
        <v/>
      </c>
      <c r="E56" s="2" t="str">
        <f aca="false">IF($B56="","",COUNTIFS(Datos_problemas!$B:$B,$B56,Datos_problemas!$F:$F,"Evaluación"))</f>
        <v/>
      </c>
      <c r="F56" s="20" t="str">
        <f aca="false">IF($B56="","",IFERROR(AVERAGEIFS(Datos_problemas!$AE:$AE,Datos_problemas!$B:$B,$B56,Datos_problemas!$F:$F,"Evaluación"),""))</f>
        <v/>
      </c>
      <c r="G56" s="20" t="str">
        <f aca="false">IF($B56="","",IFERROR(AVERAGEIFS(Datos_problemas!$AE:$AE,Datos_problemas!$B:$B,$B56,Datos_problemas!$F:$F,"Evaluación",Datos_problemas!$E:$E,"Diagnóstico"),""))</f>
        <v/>
      </c>
      <c r="H56" s="20" t="str">
        <f aca="false">IF($B56="","",IFERROR(AVERAGEIFS(Datos_problemas!$AE:$AE,Datos_problemas!$B:$B,$B56,Datos_problemas!$F:$F,"Evaluación",Datos_problemas!$E:$E,"Final"),""))</f>
        <v/>
      </c>
      <c r="I56" s="21" t="str">
        <f aca="false">IF(OR(G56="",H56=""),"",IF(G56&gt;=10,"",(H56-G56)/(10-G56)))</f>
        <v/>
      </c>
      <c r="J56" s="18" t="str">
        <f aca="false">IF($B56="","",IFERROR(SUMIFS(Datos_items!$Z:$Z,Datos_items!$B:$B,$B56,Datos_items!$O:$O,J$4,Datos_items!$E:$E,Analisis_grupo!$C$4)/COUNTIFS(Datos_items!$B:$B,$B56,Datos_items!$O:$O,J$4,Datos_items!$E:$E,Analisis_grupo!$C$4),""))</f>
        <v/>
      </c>
      <c r="K56" s="18" t="str">
        <f aca="false">IF($B56="","",IFERROR(SUMIFS(Datos_items!$Z:$Z,Datos_items!$B:$B,$B56,Datos_items!$O:$O,K$4,Datos_items!$E:$E,Analisis_grupo!$C$4)/COUNTIFS(Datos_items!$B:$B,$B56,Datos_items!$O:$O,K$4,Datos_items!$E:$E,Analisis_grupo!$C$4),""))</f>
        <v/>
      </c>
      <c r="L56" s="18" t="str">
        <f aca="false">IF($B56="","",IFERROR(SUMIFS(Datos_items!$Z:$Z,Datos_items!$B:$B,$B56,Datos_items!$O:$O,L$4,Datos_items!$E:$E,Analisis_grupo!$C$4)/COUNTIFS(Datos_items!$B:$B,$B56,Datos_items!$O:$O,L$4,Datos_items!$E:$E,Analisis_grupo!$C$4),""))</f>
        <v/>
      </c>
      <c r="M56" s="18" t="str">
        <f aca="false">IF($B56="","",IFERROR(SUMIFS(Datos_items!$Z:$Z,Datos_items!$B:$B,$B56,Datos_items!$O:$O,M$4,Datos_items!$E:$E,Analisis_grupo!$C$4)/COUNTIFS(Datos_items!$B:$B,$B56,Datos_items!$O:$O,M$4,Datos_items!$E:$E,Analisis_grupo!$C$4),""))</f>
        <v/>
      </c>
      <c r="N56" s="18" t="str">
        <f aca="false">IF($B56="","",IFERROR(SUMIFS(Datos_items!$Z:$Z,Datos_items!$B:$B,$B56,Datos_items!$O:$O,N$4,Datos_items!$E:$E,Analisis_grupo!$C$4)/COUNTIFS(Datos_items!$B:$B,$B56,Datos_items!$O:$O,N$4,Datos_items!$E:$E,Analisis_grupo!$C$4),""))</f>
        <v/>
      </c>
      <c r="O56" s="18" t="str">
        <f aca="false">IF($B56="","",IFERROR(SUMIFS(Datos_items!$Z:$Z,Datos_items!$B:$B,$B56,Datos_items!$O:$O,O$4,Datos_items!$E:$E,Analisis_grupo!$C$4)/COUNTIFS(Datos_items!$B:$B,$B56,Datos_items!$O:$O,O$4,Datos_items!$E:$E,Analisis_grupo!$C$4),""))</f>
        <v/>
      </c>
      <c r="P56" s="18" t="str">
        <f aca="false">IF($B56="","",IFERROR(SUMIFS(Datos_items!$Z:$Z,Datos_items!$B:$B,$B56,Datos_items!$O:$O,P$4,Datos_items!$E:$E,Analisis_grupo!$C$4)/COUNTIFS(Datos_items!$B:$B,$B56,Datos_items!$O:$O,P$4,Datos_items!$E:$E,Analisis_grupo!$C$4),""))</f>
        <v/>
      </c>
      <c r="Q56" s="18" t="str">
        <f aca="false">IF($B56="","",IFERROR(SUMIFS(Datos_items!$Z:$Z,Datos_items!$B:$B,$B56,Datos_items!$O:$O,Q$4,Datos_items!$E:$E,Analisis_grupo!$C$4)/COUNTIFS(Datos_items!$B:$B,$B56,Datos_items!$O:$O,Q$4,Datos_items!$E:$E,Analisis_grupo!$C$4),""))</f>
        <v/>
      </c>
      <c r="R56" s="2" t="str">
        <f aca="false">IF(COUNT(J56:Q56)=0,"",IF(MIN(J56:Q56)&gt;=Analisis_grupo!$B$7,"(ninguna)",INDEX($J$4:$Q$4,MATCH(MIN(J56:Q56),J56:Q56,0))))</f>
        <v/>
      </c>
      <c r="S56" s="2" t="str">
        <f aca="false">IF($B56="","",COUNTIF(J56:Q56,"&lt;"&amp;Analisis_grupo!$B$7))</f>
        <v/>
      </c>
      <c r="T56" s="2" t="str">
        <f aca="false">IF($B56="","",COUNTIFS(Datos_items!$B:$B,$B56,Datos_items!$AA:$AA,T$4,Datos_items!$E:$E,Analisis_grupo!$C$4))</f>
        <v/>
      </c>
      <c r="U56" s="2" t="str">
        <f aca="false">IF($B56="","",COUNTIFS(Datos_items!$B:$B,$B56,Datos_items!$AA:$AA,U$4,Datos_items!$E:$E,Analisis_grupo!$C$4))</f>
        <v/>
      </c>
      <c r="V56" s="2" t="str">
        <f aca="false">IF($B56="","",COUNTIFS(Datos_items!$B:$B,$B56,Datos_items!$AA:$AA,V$4,Datos_items!$E:$E,Analisis_grupo!$C$4))</f>
        <v/>
      </c>
      <c r="W56" s="2" t="str">
        <f aca="false">IF($B56="","",COUNTIFS(Datos_items!$B:$B,$B56,Datos_items!$AA:$AA,W$4,Datos_items!$E:$E,Analisis_grupo!$C$4))</f>
        <v/>
      </c>
      <c r="X56" s="2" t="str">
        <f aca="false">IF($B56="","",COUNTIFS(Datos_items!$B:$B,$B56,Datos_items!$AA:$AA,X$4,Datos_items!$E:$E,Analisis_grupo!$C$4))</f>
        <v/>
      </c>
      <c r="Y56" s="2" t="str">
        <f aca="false">IF($B56="","",COUNTIFS(Datos_items!$B:$B,$B56,Datos_items!$AA:$AA,Y$4,Datos_items!$E:$E,Analisis_grupo!$C$4))</f>
        <v/>
      </c>
      <c r="Z56" s="2" t="str">
        <f aca="false">IF($B56="","",COUNTIFS(Datos_items!$B:$B,$B56,Datos_items!$AA:$AA,Z$4,Datos_items!$E:$E,Analisis_grupo!$C$4))</f>
        <v/>
      </c>
      <c r="AA56" s="2" t="str">
        <f aca="false">IF($B56="","",COUNTIFS(Datos_items!$B:$B,$B56,Datos_items!$AA:$AA,AA$4,Datos_items!$E:$E,Analisis_grupo!$C$4))</f>
        <v/>
      </c>
      <c r="AB56" s="2" t="str">
        <f aca="false">IF($B56="","",COUNTIFS(Datos_items!$B:$B,$B56,Datos_items!$AA:$AA,AB$4,Datos_items!$E:$E,Analisis_grupo!$C$4))</f>
        <v/>
      </c>
      <c r="AC56" s="2" t="str">
        <f aca="false">IF($B56="","",COUNTIFS(Datos_items!$B:$B,$B56,Datos_items!$AA:$AA,AC$4,Datos_items!$E:$E,Analisis_grupo!$C$4))</f>
        <v/>
      </c>
      <c r="AD56" s="2" t="str">
        <f aca="false">IF($B56="","",COUNTIFS(Datos_items!$B:$B,$B56,Datos_items!$AA:$AA,AD$4,Datos_items!$E:$E,Analisis_grupo!$C$4))</f>
        <v/>
      </c>
      <c r="AE56" s="2" t="str">
        <f aca="false">IF($B56="","",COUNTIFS(Datos_items!$B:$B,$B56,Datos_items!$AA:$AA,AE$4,Datos_items!$E:$E,Analisis_grupo!$C$4))</f>
        <v/>
      </c>
      <c r="AF56" s="2" t="str">
        <f aca="false">IF($B56="","",COUNTIFS(Datos_items!$B:$B,$B56,Datos_items!$AA:$AA,AF$4,Datos_items!$E:$E,Analisis_grupo!$C$4))</f>
        <v/>
      </c>
      <c r="AG56" s="2" t="str">
        <f aca="false">IF($B56="","",COUNTIFS(Datos_items!$B:$B,$B56,Datos_items!$AA:$AA,AG$4,Datos_items!$E:$E,Analisis_grupo!$C$4))</f>
        <v/>
      </c>
      <c r="AH56" s="2" t="str">
        <f aca="false">IF($B56="","",COUNTIFS(Datos_items!$B:$B,$B56,Datos_items!$AA:$AA,AH$4,Datos_items!$E:$E,Analisis_grupo!$C$4))</f>
        <v/>
      </c>
      <c r="AI56" s="2" t="str">
        <f aca="false">IF($B56="","",COUNTIFS(Datos_items!$B:$B,$B56,Datos_items!$AA:$AA,AI$4,Datos_items!$E:$E,Analisis_grupo!$C$4))</f>
        <v/>
      </c>
      <c r="AJ56" s="2" t="str">
        <f aca="false">IF($B56="","",COUNTIFS(Datos_items!$B:$B,$B56,Datos_items!$AA:$AA,AJ$4,Datos_items!$E:$E,Analisis_grupo!$C$4))</f>
        <v/>
      </c>
      <c r="AK56" s="2" t="str">
        <f aca="false">IF($B56="","",COUNTIFS(Datos_items!$B:$B,$B56,Datos_items!$AA:$AA,AK$4,Datos_items!$E:$E,Analisis_grupo!$C$4))</f>
        <v/>
      </c>
      <c r="AL56" s="2" t="str">
        <f aca="false">IF($B56="","",COUNTIFS(Datos_items!$B:$B,$B56,Datos_items!$AA:$AA,AL$4,Datos_items!$E:$E,Analisis_grupo!$C$4))</f>
        <v/>
      </c>
      <c r="AM56" s="2" t="str">
        <f aca="false">IF($B56="","",IF(MAX(Y56:AL56)=0,"",INDEX($Y$4:$AL$4,MATCH(MAX(Y56:AL56),Y56:AL56,0))))</f>
        <v/>
      </c>
      <c r="AN56" s="2" t="str">
        <f aca="false">IF($B56="","",COUNTIFS(Datos_problemas!$B:$B,$B56,Datos_problemas!$F:$F,"Práctica"))</f>
        <v/>
      </c>
      <c r="AO56" s="2" t="str">
        <f aca="false">IF($B56="","",SUMIFS(Datos_problemas!$AQ:$AQ,Datos_problemas!$B:$B,$B56,Datos_problemas!$F:$F,"Práctica"))</f>
        <v/>
      </c>
      <c r="AP56" s="2" t="str">
        <f aca="false">IF($B56="","",COUNTIFS(Datos_problemas!$B:$B,$B56,Datos_problemas!$F:$F,"Práctica",Datos_problemas!$AS:$AS,"Sí"))</f>
        <v/>
      </c>
    </row>
    <row r="57" customFormat="false" ht="15" hidden="false" customHeight="false" outlineLevel="0" collapsed="false">
      <c r="A57" s="2" t="n">
        <v>53</v>
      </c>
      <c r="B57" s="2" t="str">
        <f aca="false">IFERROR(INDEX(Datos_problemas!$B:$B,MATCH($A57,Datos_problemas!$AV:$AV,0)),"")</f>
        <v/>
      </c>
      <c r="C57" s="2" t="str">
        <f aca="false">IF($B57="","",INDEX(Datos_problemas!$C:$C,MATCH($A57,Datos_problemas!$AV:$AV,0)))</f>
        <v/>
      </c>
      <c r="D57" s="2" t="str">
        <f aca="false">IF($B57="","",INDEX(Datos_problemas!$D:$D,MATCH($A57,Datos_problemas!$AV:$AV,0)))</f>
        <v/>
      </c>
      <c r="E57" s="2" t="str">
        <f aca="false">IF($B57="","",COUNTIFS(Datos_problemas!$B:$B,$B57,Datos_problemas!$F:$F,"Evaluación"))</f>
        <v/>
      </c>
      <c r="F57" s="20" t="str">
        <f aca="false">IF($B57="","",IFERROR(AVERAGEIFS(Datos_problemas!$AE:$AE,Datos_problemas!$B:$B,$B57,Datos_problemas!$F:$F,"Evaluación"),""))</f>
        <v/>
      </c>
      <c r="G57" s="20" t="str">
        <f aca="false">IF($B57="","",IFERROR(AVERAGEIFS(Datos_problemas!$AE:$AE,Datos_problemas!$B:$B,$B57,Datos_problemas!$F:$F,"Evaluación",Datos_problemas!$E:$E,"Diagnóstico"),""))</f>
        <v/>
      </c>
      <c r="H57" s="20" t="str">
        <f aca="false">IF($B57="","",IFERROR(AVERAGEIFS(Datos_problemas!$AE:$AE,Datos_problemas!$B:$B,$B57,Datos_problemas!$F:$F,"Evaluación",Datos_problemas!$E:$E,"Final"),""))</f>
        <v/>
      </c>
      <c r="I57" s="21" t="str">
        <f aca="false">IF(OR(G57="",H57=""),"",IF(G57&gt;=10,"",(H57-G57)/(10-G57)))</f>
        <v/>
      </c>
      <c r="J57" s="18" t="str">
        <f aca="false">IF($B57="","",IFERROR(SUMIFS(Datos_items!$Z:$Z,Datos_items!$B:$B,$B57,Datos_items!$O:$O,J$4,Datos_items!$E:$E,Analisis_grupo!$C$4)/COUNTIFS(Datos_items!$B:$B,$B57,Datos_items!$O:$O,J$4,Datos_items!$E:$E,Analisis_grupo!$C$4),""))</f>
        <v/>
      </c>
      <c r="K57" s="18" t="str">
        <f aca="false">IF($B57="","",IFERROR(SUMIFS(Datos_items!$Z:$Z,Datos_items!$B:$B,$B57,Datos_items!$O:$O,K$4,Datos_items!$E:$E,Analisis_grupo!$C$4)/COUNTIFS(Datos_items!$B:$B,$B57,Datos_items!$O:$O,K$4,Datos_items!$E:$E,Analisis_grupo!$C$4),""))</f>
        <v/>
      </c>
      <c r="L57" s="18" t="str">
        <f aca="false">IF($B57="","",IFERROR(SUMIFS(Datos_items!$Z:$Z,Datos_items!$B:$B,$B57,Datos_items!$O:$O,L$4,Datos_items!$E:$E,Analisis_grupo!$C$4)/COUNTIFS(Datos_items!$B:$B,$B57,Datos_items!$O:$O,L$4,Datos_items!$E:$E,Analisis_grupo!$C$4),""))</f>
        <v/>
      </c>
      <c r="M57" s="18" t="str">
        <f aca="false">IF($B57="","",IFERROR(SUMIFS(Datos_items!$Z:$Z,Datos_items!$B:$B,$B57,Datos_items!$O:$O,M$4,Datos_items!$E:$E,Analisis_grupo!$C$4)/COUNTIFS(Datos_items!$B:$B,$B57,Datos_items!$O:$O,M$4,Datos_items!$E:$E,Analisis_grupo!$C$4),""))</f>
        <v/>
      </c>
      <c r="N57" s="18" t="str">
        <f aca="false">IF($B57="","",IFERROR(SUMIFS(Datos_items!$Z:$Z,Datos_items!$B:$B,$B57,Datos_items!$O:$O,N$4,Datos_items!$E:$E,Analisis_grupo!$C$4)/COUNTIFS(Datos_items!$B:$B,$B57,Datos_items!$O:$O,N$4,Datos_items!$E:$E,Analisis_grupo!$C$4),""))</f>
        <v/>
      </c>
      <c r="O57" s="18" t="str">
        <f aca="false">IF($B57="","",IFERROR(SUMIFS(Datos_items!$Z:$Z,Datos_items!$B:$B,$B57,Datos_items!$O:$O,O$4,Datos_items!$E:$E,Analisis_grupo!$C$4)/COUNTIFS(Datos_items!$B:$B,$B57,Datos_items!$O:$O,O$4,Datos_items!$E:$E,Analisis_grupo!$C$4),""))</f>
        <v/>
      </c>
      <c r="P57" s="18" t="str">
        <f aca="false">IF($B57="","",IFERROR(SUMIFS(Datos_items!$Z:$Z,Datos_items!$B:$B,$B57,Datos_items!$O:$O,P$4,Datos_items!$E:$E,Analisis_grupo!$C$4)/COUNTIFS(Datos_items!$B:$B,$B57,Datos_items!$O:$O,P$4,Datos_items!$E:$E,Analisis_grupo!$C$4),""))</f>
        <v/>
      </c>
      <c r="Q57" s="18" t="str">
        <f aca="false">IF($B57="","",IFERROR(SUMIFS(Datos_items!$Z:$Z,Datos_items!$B:$B,$B57,Datos_items!$O:$O,Q$4,Datos_items!$E:$E,Analisis_grupo!$C$4)/COUNTIFS(Datos_items!$B:$B,$B57,Datos_items!$O:$O,Q$4,Datos_items!$E:$E,Analisis_grupo!$C$4),""))</f>
        <v/>
      </c>
      <c r="R57" s="2" t="str">
        <f aca="false">IF(COUNT(J57:Q57)=0,"",IF(MIN(J57:Q57)&gt;=Analisis_grupo!$B$7,"(ninguna)",INDEX($J$4:$Q$4,MATCH(MIN(J57:Q57),J57:Q57,0))))</f>
        <v/>
      </c>
      <c r="S57" s="2" t="str">
        <f aca="false">IF($B57="","",COUNTIF(J57:Q57,"&lt;"&amp;Analisis_grupo!$B$7))</f>
        <v/>
      </c>
      <c r="T57" s="2" t="str">
        <f aca="false">IF($B57="","",COUNTIFS(Datos_items!$B:$B,$B57,Datos_items!$AA:$AA,T$4,Datos_items!$E:$E,Analisis_grupo!$C$4))</f>
        <v/>
      </c>
      <c r="U57" s="2" t="str">
        <f aca="false">IF($B57="","",COUNTIFS(Datos_items!$B:$B,$B57,Datos_items!$AA:$AA,U$4,Datos_items!$E:$E,Analisis_grupo!$C$4))</f>
        <v/>
      </c>
      <c r="V57" s="2" t="str">
        <f aca="false">IF($B57="","",COUNTIFS(Datos_items!$B:$B,$B57,Datos_items!$AA:$AA,V$4,Datos_items!$E:$E,Analisis_grupo!$C$4))</f>
        <v/>
      </c>
      <c r="W57" s="2" t="str">
        <f aca="false">IF($B57="","",COUNTIFS(Datos_items!$B:$B,$B57,Datos_items!$AA:$AA,W$4,Datos_items!$E:$E,Analisis_grupo!$C$4))</f>
        <v/>
      </c>
      <c r="X57" s="2" t="str">
        <f aca="false">IF($B57="","",COUNTIFS(Datos_items!$B:$B,$B57,Datos_items!$AA:$AA,X$4,Datos_items!$E:$E,Analisis_grupo!$C$4))</f>
        <v/>
      </c>
      <c r="Y57" s="2" t="str">
        <f aca="false">IF($B57="","",COUNTIFS(Datos_items!$B:$B,$B57,Datos_items!$AA:$AA,Y$4,Datos_items!$E:$E,Analisis_grupo!$C$4))</f>
        <v/>
      </c>
      <c r="Z57" s="2" t="str">
        <f aca="false">IF($B57="","",COUNTIFS(Datos_items!$B:$B,$B57,Datos_items!$AA:$AA,Z$4,Datos_items!$E:$E,Analisis_grupo!$C$4))</f>
        <v/>
      </c>
      <c r="AA57" s="2" t="str">
        <f aca="false">IF($B57="","",COUNTIFS(Datos_items!$B:$B,$B57,Datos_items!$AA:$AA,AA$4,Datos_items!$E:$E,Analisis_grupo!$C$4))</f>
        <v/>
      </c>
      <c r="AB57" s="2" t="str">
        <f aca="false">IF($B57="","",COUNTIFS(Datos_items!$B:$B,$B57,Datos_items!$AA:$AA,AB$4,Datos_items!$E:$E,Analisis_grupo!$C$4))</f>
        <v/>
      </c>
      <c r="AC57" s="2" t="str">
        <f aca="false">IF($B57="","",COUNTIFS(Datos_items!$B:$B,$B57,Datos_items!$AA:$AA,AC$4,Datos_items!$E:$E,Analisis_grupo!$C$4))</f>
        <v/>
      </c>
      <c r="AD57" s="2" t="str">
        <f aca="false">IF($B57="","",COUNTIFS(Datos_items!$B:$B,$B57,Datos_items!$AA:$AA,AD$4,Datos_items!$E:$E,Analisis_grupo!$C$4))</f>
        <v/>
      </c>
      <c r="AE57" s="2" t="str">
        <f aca="false">IF($B57="","",COUNTIFS(Datos_items!$B:$B,$B57,Datos_items!$AA:$AA,AE$4,Datos_items!$E:$E,Analisis_grupo!$C$4))</f>
        <v/>
      </c>
      <c r="AF57" s="2" t="str">
        <f aca="false">IF($B57="","",COUNTIFS(Datos_items!$B:$B,$B57,Datos_items!$AA:$AA,AF$4,Datos_items!$E:$E,Analisis_grupo!$C$4))</f>
        <v/>
      </c>
      <c r="AG57" s="2" t="str">
        <f aca="false">IF($B57="","",COUNTIFS(Datos_items!$B:$B,$B57,Datos_items!$AA:$AA,AG$4,Datos_items!$E:$E,Analisis_grupo!$C$4))</f>
        <v/>
      </c>
      <c r="AH57" s="2" t="str">
        <f aca="false">IF($B57="","",COUNTIFS(Datos_items!$B:$B,$B57,Datos_items!$AA:$AA,AH$4,Datos_items!$E:$E,Analisis_grupo!$C$4))</f>
        <v/>
      </c>
      <c r="AI57" s="2" t="str">
        <f aca="false">IF($B57="","",COUNTIFS(Datos_items!$B:$B,$B57,Datos_items!$AA:$AA,AI$4,Datos_items!$E:$E,Analisis_grupo!$C$4))</f>
        <v/>
      </c>
      <c r="AJ57" s="2" t="str">
        <f aca="false">IF($B57="","",COUNTIFS(Datos_items!$B:$B,$B57,Datos_items!$AA:$AA,AJ$4,Datos_items!$E:$E,Analisis_grupo!$C$4))</f>
        <v/>
      </c>
      <c r="AK57" s="2" t="str">
        <f aca="false">IF($B57="","",COUNTIFS(Datos_items!$B:$B,$B57,Datos_items!$AA:$AA,AK$4,Datos_items!$E:$E,Analisis_grupo!$C$4))</f>
        <v/>
      </c>
      <c r="AL57" s="2" t="str">
        <f aca="false">IF($B57="","",COUNTIFS(Datos_items!$B:$B,$B57,Datos_items!$AA:$AA,AL$4,Datos_items!$E:$E,Analisis_grupo!$C$4))</f>
        <v/>
      </c>
      <c r="AM57" s="2" t="str">
        <f aca="false">IF($B57="","",IF(MAX(Y57:AL57)=0,"",INDEX($Y$4:$AL$4,MATCH(MAX(Y57:AL57),Y57:AL57,0))))</f>
        <v/>
      </c>
      <c r="AN57" s="2" t="str">
        <f aca="false">IF($B57="","",COUNTIFS(Datos_problemas!$B:$B,$B57,Datos_problemas!$F:$F,"Práctica"))</f>
        <v/>
      </c>
      <c r="AO57" s="2" t="str">
        <f aca="false">IF($B57="","",SUMIFS(Datos_problemas!$AQ:$AQ,Datos_problemas!$B:$B,$B57,Datos_problemas!$F:$F,"Práctica"))</f>
        <v/>
      </c>
      <c r="AP57" s="2" t="str">
        <f aca="false">IF($B57="","",COUNTIFS(Datos_problemas!$B:$B,$B57,Datos_problemas!$F:$F,"Práctica",Datos_problemas!$AS:$AS,"Sí"))</f>
        <v/>
      </c>
    </row>
    <row r="58" customFormat="false" ht="15" hidden="false" customHeight="false" outlineLevel="0" collapsed="false">
      <c r="A58" s="2" t="n">
        <v>54</v>
      </c>
      <c r="B58" s="2" t="str">
        <f aca="false">IFERROR(INDEX(Datos_problemas!$B:$B,MATCH($A58,Datos_problemas!$AV:$AV,0)),"")</f>
        <v/>
      </c>
      <c r="C58" s="2" t="str">
        <f aca="false">IF($B58="","",INDEX(Datos_problemas!$C:$C,MATCH($A58,Datos_problemas!$AV:$AV,0)))</f>
        <v/>
      </c>
      <c r="D58" s="2" t="str">
        <f aca="false">IF($B58="","",INDEX(Datos_problemas!$D:$D,MATCH($A58,Datos_problemas!$AV:$AV,0)))</f>
        <v/>
      </c>
      <c r="E58" s="2" t="str">
        <f aca="false">IF($B58="","",COUNTIFS(Datos_problemas!$B:$B,$B58,Datos_problemas!$F:$F,"Evaluación"))</f>
        <v/>
      </c>
      <c r="F58" s="20" t="str">
        <f aca="false">IF($B58="","",IFERROR(AVERAGEIFS(Datos_problemas!$AE:$AE,Datos_problemas!$B:$B,$B58,Datos_problemas!$F:$F,"Evaluación"),""))</f>
        <v/>
      </c>
      <c r="G58" s="20" t="str">
        <f aca="false">IF($B58="","",IFERROR(AVERAGEIFS(Datos_problemas!$AE:$AE,Datos_problemas!$B:$B,$B58,Datos_problemas!$F:$F,"Evaluación",Datos_problemas!$E:$E,"Diagnóstico"),""))</f>
        <v/>
      </c>
      <c r="H58" s="20" t="str">
        <f aca="false">IF($B58="","",IFERROR(AVERAGEIFS(Datos_problemas!$AE:$AE,Datos_problemas!$B:$B,$B58,Datos_problemas!$F:$F,"Evaluación",Datos_problemas!$E:$E,"Final"),""))</f>
        <v/>
      </c>
      <c r="I58" s="21" t="str">
        <f aca="false">IF(OR(G58="",H58=""),"",IF(G58&gt;=10,"",(H58-G58)/(10-G58)))</f>
        <v/>
      </c>
      <c r="J58" s="18" t="str">
        <f aca="false">IF($B58="","",IFERROR(SUMIFS(Datos_items!$Z:$Z,Datos_items!$B:$B,$B58,Datos_items!$O:$O,J$4,Datos_items!$E:$E,Analisis_grupo!$C$4)/COUNTIFS(Datos_items!$B:$B,$B58,Datos_items!$O:$O,J$4,Datos_items!$E:$E,Analisis_grupo!$C$4),""))</f>
        <v/>
      </c>
      <c r="K58" s="18" t="str">
        <f aca="false">IF($B58="","",IFERROR(SUMIFS(Datos_items!$Z:$Z,Datos_items!$B:$B,$B58,Datos_items!$O:$O,K$4,Datos_items!$E:$E,Analisis_grupo!$C$4)/COUNTIFS(Datos_items!$B:$B,$B58,Datos_items!$O:$O,K$4,Datos_items!$E:$E,Analisis_grupo!$C$4),""))</f>
        <v/>
      </c>
      <c r="L58" s="18" t="str">
        <f aca="false">IF($B58="","",IFERROR(SUMIFS(Datos_items!$Z:$Z,Datos_items!$B:$B,$B58,Datos_items!$O:$O,L$4,Datos_items!$E:$E,Analisis_grupo!$C$4)/COUNTIFS(Datos_items!$B:$B,$B58,Datos_items!$O:$O,L$4,Datos_items!$E:$E,Analisis_grupo!$C$4),""))</f>
        <v/>
      </c>
      <c r="M58" s="18" t="str">
        <f aca="false">IF($B58="","",IFERROR(SUMIFS(Datos_items!$Z:$Z,Datos_items!$B:$B,$B58,Datos_items!$O:$O,M$4,Datos_items!$E:$E,Analisis_grupo!$C$4)/COUNTIFS(Datos_items!$B:$B,$B58,Datos_items!$O:$O,M$4,Datos_items!$E:$E,Analisis_grupo!$C$4),""))</f>
        <v/>
      </c>
      <c r="N58" s="18" t="str">
        <f aca="false">IF($B58="","",IFERROR(SUMIFS(Datos_items!$Z:$Z,Datos_items!$B:$B,$B58,Datos_items!$O:$O,N$4,Datos_items!$E:$E,Analisis_grupo!$C$4)/COUNTIFS(Datos_items!$B:$B,$B58,Datos_items!$O:$O,N$4,Datos_items!$E:$E,Analisis_grupo!$C$4),""))</f>
        <v/>
      </c>
      <c r="O58" s="18" t="str">
        <f aca="false">IF($B58="","",IFERROR(SUMIFS(Datos_items!$Z:$Z,Datos_items!$B:$B,$B58,Datos_items!$O:$O,O$4,Datos_items!$E:$E,Analisis_grupo!$C$4)/COUNTIFS(Datos_items!$B:$B,$B58,Datos_items!$O:$O,O$4,Datos_items!$E:$E,Analisis_grupo!$C$4),""))</f>
        <v/>
      </c>
      <c r="P58" s="18" t="str">
        <f aca="false">IF($B58="","",IFERROR(SUMIFS(Datos_items!$Z:$Z,Datos_items!$B:$B,$B58,Datos_items!$O:$O,P$4,Datos_items!$E:$E,Analisis_grupo!$C$4)/COUNTIFS(Datos_items!$B:$B,$B58,Datos_items!$O:$O,P$4,Datos_items!$E:$E,Analisis_grupo!$C$4),""))</f>
        <v/>
      </c>
      <c r="Q58" s="18" t="str">
        <f aca="false">IF($B58="","",IFERROR(SUMIFS(Datos_items!$Z:$Z,Datos_items!$B:$B,$B58,Datos_items!$O:$O,Q$4,Datos_items!$E:$E,Analisis_grupo!$C$4)/COUNTIFS(Datos_items!$B:$B,$B58,Datos_items!$O:$O,Q$4,Datos_items!$E:$E,Analisis_grupo!$C$4),""))</f>
        <v/>
      </c>
      <c r="R58" s="2" t="str">
        <f aca="false">IF(COUNT(J58:Q58)=0,"",IF(MIN(J58:Q58)&gt;=Analisis_grupo!$B$7,"(ninguna)",INDEX($J$4:$Q$4,MATCH(MIN(J58:Q58),J58:Q58,0))))</f>
        <v/>
      </c>
      <c r="S58" s="2" t="str">
        <f aca="false">IF($B58="","",COUNTIF(J58:Q58,"&lt;"&amp;Analisis_grupo!$B$7))</f>
        <v/>
      </c>
      <c r="T58" s="2" t="str">
        <f aca="false">IF($B58="","",COUNTIFS(Datos_items!$B:$B,$B58,Datos_items!$AA:$AA,T$4,Datos_items!$E:$E,Analisis_grupo!$C$4))</f>
        <v/>
      </c>
      <c r="U58" s="2" t="str">
        <f aca="false">IF($B58="","",COUNTIFS(Datos_items!$B:$B,$B58,Datos_items!$AA:$AA,U$4,Datos_items!$E:$E,Analisis_grupo!$C$4))</f>
        <v/>
      </c>
      <c r="V58" s="2" t="str">
        <f aca="false">IF($B58="","",COUNTIFS(Datos_items!$B:$B,$B58,Datos_items!$AA:$AA,V$4,Datos_items!$E:$E,Analisis_grupo!$C$4))</f>
        <v/>
      </c>
      <c r="W58" s="2" t="str">
        <f aca="false">IF($B58="","",COUNTIFS(Datos_items!$B:$B,$B58,Datos_items!$AA:$AA,W$4,Datos_items!$E:$E,Analisis_grupo!$C$4))</f>
        <v/>
      </c>
      <c r="X58" s="2" t="str">
        <f aca="false">IF($B58="","",COUNTIFS(Datos_items!$B:$B,$B58,Datos_items!$AA:$AA,X$4,Datos_items!$E:$E,Analisis_grupo!$C$4))</f>
        <v/>
      </c>
      <c r="Y58" s="2" t="str">
        <f aca="false">IF($B58="","",COUNTIFS(Datos_items!$B:$B,$B58,Datos_items!$AA:$AA,Y$4,Datos_items!$E:$E,Analisis_grupo!$C$4))</f>
        <v/>
      </c>
      <c r="Z58" s="2" t="str">
        <f aca="false">IF($B58="","",COUNTIFS(Datos_items!$B:$B,$B58,Datos_items!$AA:$AA,Z$4,Datos_items!$E:$E,Analisis_grupo!$C$4))</f>
        <v/>
      </c>
      <c r="AA58" s="2" t="str">
        <f aca="false">IF($B58="","",COUNTIFS(Datos_items!$B:$B,$B58,Datos_items!$AA:$AA,AA$4,Datos_items!$E:$E,Analisis_grupo!$C$4))</f>
        <v/>
      </c>
      <c r="AB58" s="2" t="str">
        <f aca="false">IF($B58="","",COUNTIFS(Datos_items!$B:$B,$B58,Datos_items!$AA:$AA,AB$4,Datos_items!$E:$E,Analisis_grupo!$C$4))</f>
        <v/>
      </c>
      <c r="AC58" s="2" t="str">
        <f aca="false">IF($B58="","",COUNTIFS(Datos_items!$B:$B,$B58,Datos_items!$AA:$AA,AC$4,Datos_items!$E:$E,Analisis_grupo!$C$4))</f>
        <v/>
      </c>
      <c r="AD58" s="2" t="str">
        <f aca="false">IF($B58="","",COUNTIFS(Datos_items!$B:$B,$B58,Datos_items!$AA:$AA,AD$4,Datos_items!$E:$E,Analisis_grupo!$C$4))</f>
        <v/>
      </c>
      <c r="AE58" s="2" t="str">
        <f aca="false">IF($B58="","",COUNTIFS(Datos_items!$B:$B,$B58,Datos_items!$AA:$AA,AE$4,Datos_items!$E:$E,Analisis_grupo!$C$4))</f>
        <v/>
      </c>
      <c r="AF58" s="2" t="str">
        <f aca="false">IF($B58="","",COUNTIFS(Datos_items!$B:$B,$B58,Datos_items!$AA:$AA,AF$4,Datos_items!$E:$E,Analisis_grupo!$C$4))</f>
        <v/>
      </c>
      <c r="AG58" s="2" t="str">
        <f aca="false">IF($B58="","",COUNTIFS(Datos_items!$B:$B,$B58,Datos_items!$AA:$AA,AG$4,Datos_items!$E:$E,Analisis_grupo!$C$4))</f>
        <v/>
      </c>
      <c r="AH58" s="2" t="str">
        <f aca="false">IF($B58="","",COUNTIFS(Datos_items!$B:$B,$B58,Datos_items!$AA:$AA,AH$4,Datos_items!$E:$E,Analisis_grupo!$C$4))</f>
        <v/>
      </c>
      <c r="AI58" s="2" t="str">
        <f aca="false">IF($B58="","",COUNTIFS(Datos_items!$B:$B,$B58,Datos_items!$AA:$AA,AI$4,Datos_items!$E:$E,Analisis_grupo!$C$4))</f>
        <v/>
      </c>
      <c r="AJ58" s="2" t="str">
        <f aca="false">IF($B58="","",COUNTIFS(Datos_items!$B:$B,$B58,Datos_items!$AA:$AA,AJ$4,Datos_items!$E:$E,Analisis_grupo!$C$4))</f>
        <v/>
      </c>
      <c r="AK58" s="2" t="str">
        <f aca="false">IF($B58="","",COUNTIFS(Datos_items!$B:$B,$B58,Datos_items!$AA:$AA,AK$4,Datos_items!$E:$E,Analisis_grupo!$C$4))</f>
        <v/>
      </c>
      <c r="AL58" s="2" t="str">
        <f aca="false">IF($B58="","",COUNTIFS(Datos_items!$B:$B,$B58,Datos_items!$AA:$AA,AL$4,Datos_items!$E:$E,Analisis_grupo!$C$4))</f>
        <v/>
      </c>
      <c r="AM58" s="2" t="str">
        <f aca="false">IF($B58="","",IF(MAX(Y58:AL58)=0,"",INDEX($Y$4:$AL$4,MATCH(MAX(Y58:AL58),Y58:AL58,0))))</f>
        <v/>
      </c>
      <c r="AN58" s="2" t="str">
        <f aca="false">IF($B58="","",COUNTIFS(Datos_problemas!$B:$B,$B58,Datos_problemas!$F:$F,"Práctica"))</f>
        <v/>
      </c>
      <c r="AO58" s="2" t="str">
        <f aca="false">IF($B58="","",SUMIFS(Datos_problemas!$AQ:$AQ,Datos_problemas!$B:$B,$B58,Datos_problemas!$F:$F,"Práctica"))</f>
        <v/>
      </c>
      <c r="AP58" s="2" t="str">
        <f aca="false">IF($B58="","",COUNTIFS(Datos_problemas!$B:$B,$B58,Datos_problemas!$F:$F,"Práctica",Datos_problemas!$AS:$AS,"Sí"))</f>
        <v/>
      </c>
    </row>
    <row r="59" customFormat="false" ht="15" hidden="false" customHeight="false" outlineLevel="0" collapsed="false">
      <c r="A59" s="2" t="n">
        <v>55</v>
      </c>
      <c r="B59" s="2" t="str">
        <f aca="false">IFERROR(INDEX(Datos_problemas!$B:$B,MATCH($A59,Datos_problemas!$AV:$AV,0)),"")</f>
        <v/>
      </c>
      <c r="C59" s="2" t="str">
        <f aca="false">IF($B59="","",INDEX(Datos_problemas!$C:$C,MATCH($A59,Datos_problemas!$AV:$AV,0)))</f>
        <v/>
      </c>
      <c r="D59" s="2" t="str">
        <f aca="false">IF($B59="","",INDEX(Datos_problemas!$D:$D,MATCH($A59,Datos_problemas!$AV:$AV,0)))</f>
        <v/>
      </c>
      <c r="E59" s="2" t="str">
        <f aca="false">IF($B59="","",COUNTIFS(Datos_problemas!$B:$B,$B59,Datos_problemas!$F:$F,"Evaluación"))</f>
        <v/>
      </c>
      <c r="F59" s="20" t="str">
        <f aca="false">IF($B59="","",IFERROR(AVERAGEIFS(Datos_problemas!$AE:$AE,Datos_problemas!$B:$B,$B59,Datos_problemas!$F:$F,"Evaluación"),""))</f>
        <v/>
      </c>
      <c r="G59" s="20" t="str">
        <f aca="false">IF($B59="","",IFERROR(AVERAGEIFS(Datos_problemas!$AE:$AE,Datos_problemas!$B:$B,$B59,Datos_problemas!$F:$F,"Evaluación",Datos_problemas!$E:$E,"Diagnóstico"),""))</f>
        <v/>
      </c>
      <c r="H59" s="20" t="str">
        <f aca="false">IF($B59="","",IFERROR(AVERAGEIFS(Datos_problemas!$AE:$AE,Datos_problemas!$B:$B,$B59,Datos_problemas!$F:$F,"Evaluación",Datos_problemas!$E:$E,"Final"),""))</f>
        <v/>
      </c>
      <c r="I59" s="21" t="str">
        <f aca="false">IF(OR(G59="",H59=""),"",IF(G59&gt;=10,"",(H59-G59)/(10-G59)))</f>
        <v/>
      </c>
      <c r="J59" s="18" t="str">
        <f aca="false">IF($B59="","",IFERROR(SUMIFS(Datos_items!$Z:$Z,Datos_items!$B:$B,$B59,Datos_items!$O:$O,J$4,Datos_items!$E:$E,Analisis_grupo!$C$4)/COUNTIFS(Datos_items!$B:$B,$B59,Datos_items!$O:$O,J$4,Datos_items!$E:$E,Analisis_grupo!$C$4),""))</f>
        <v/>
      </c>
      <c r="K59" s="18" t="str">
        <f aca="false">IF($B59="","",IFERROR(SUMIFS(Datos_items!$Z:$Z,Datos_items!$B:$B,$B59,Datos_items!$O:$O,K$4,Datos_items!$E:$E,Analisis_grupo!$C$4)/COUNTIFS(Datos_items!$B:$B,$B59,Datos_items!$O:$O,K$4,Datos_items!$E:$E,Analisis_grupo!$C$4),""))</f>
        <v/>
      </c>
      <c r="L59" s="18" t="str">
        <f aca="false">IF($B59="","",IFERROR(SUMIFS(Datos_items!$Z:$Z,Datos_items!$B:$B,$B59,Datos_items!$O:$O,L$4,Datos_items!$E:$E,Analisis_grupo!$C$4)/COUNTIFS(Datos_items!$B:$B,$B59,Datos_items!$O:$O,L$4,Datos_items!$E:$E,Analisis_grupo!$C$4),""))</f>
        <v/>
      </c>
      <c r="M59" s="18" t="str">
        <f aca="false">IF($B59="","",IFERROR(SUMIFS(Datos_items!$Z:$Z,Datos_items!$B:$B,$B59,Datos_items!$O:$O,M$4,Datos_items!$E:$E,Analisis_grupo!$C$4)/COUNTIFS(Datos_items!$B:$B,$B59,Datos_items!$O:$O,M$4,Datos_items!$E:$E,Analisis_grupo!$C$4),""))</f>
        <v/>
      </c>
      <c r="N59" s="18" t="str">
        <f aca="false">IF($B59="","",IFERROR(SUMIFS(Datos_items!$Z:$Z,Datos_items!$B:$B,$B59,Datos_items!$O:$O,N$4,Datos_items!$E:$E,Analisis_grupo!$C$4)/COUNTIFS(Datos_items!$B:$B,$B59,Datos_items!$O:$O,N$4,Datos_items!$E:$E,Analisis_grupo!$C$4),""))</f>
        <v/>
      </c>
      <c r="O59" s="18" t="str">
        <f aca="false">IF($B59="","",IFERROR(SUMIFS(Datos_items!$Z:$Z,Datos_items!$B:$B,$B59,Datos_items!$O:$O,O$4,Datos_items!$E:$E,Analisis_grupo!$C$4)/COUNTIFS(Datos_items!$B:$B,$B59,Datos_items!$O:$O,O$4,Datos_items!$E:$E,Analisis_grupo!$C$4),""))</f>
        <v/>
      </c>
      <c r="P59" s="18" t="str">
        <f aca="false">IF($B59="","",IFERROR(SUMIFS(Datos_items!$Z:$Z,Datos_items!$B:$B,$B59,Datos_items!$O:$O,P$4,Datos_items!$E:$E,Analisis_grupo!$C$4)/COUNTIFS(Datos_items!$B:$B,$B59,Datos_items!$O:$O,P$4,Datos_items!$E:$E,Analisis_grupo!$C$4),""))</f>
        <v/>
      </c>
      <c r="Q59" s="18" t="str">
        <f aca="false">IF($B59="","",IFERROR(SUMIFS(Datos_items!$Z:$Z,Datos_items!$B:$B,$B59,Datos_items!$O:$O,Q$4,Datos_items!$E:$E,Analisis_grupo!$C$4)/COUNTIFS(Datos_items!$B:$B,$B59,Datos_items!$O:$O,Q$4,Datos_items!$E:$E,Analisis_grupo!$C$4),""))</f>
        <v/>
      </c>
      <c r="R59" s="2" t="str">
        <f aca="false">IF(COUNT(J59:Q59)=0,"",IF(MIN(J59:Q59)&gt;=Analisis_grupo!$B$7,"(ninguna)",INDEX($J$4:$Q$4,MATCH(MIN(J59:Q59),J59:Q59,0))))</f>
        <v/>
      </c>
      <c r="S59" s="2" t="str">
        <f aca="false">IF($B59="","",COUNTIF(J59:Q59,"&lt;"&amp;Analisis_grupo!$B$7))</f>
        <v/>
      </c>
      <c r="T59" s="2" t="str">
        <f aca="false">IF($B59="","",COUNTIFS(Datos_items!$B:$B,$B59,Datos_items!$AA:$AA,T$4,Datos_items!$E:$E,Analisis_grupo!$C$4))</f>
        <v/>
      </c>
      <c r="U59" s="2" t="str">
        <f aca="false">IF($B59="","",COUNTIFS(Datos_items!$B:$B,$B59,Datos_items!$AA:$AA,U$4,Datos_items!$E:$E,Analisis_grupo!$C$4))</f>
        <v/>
      </c>
      <c r="V59" s="2" t="str">
        <f aca="false">IF($B59="","",COUNTIFS(Datos_items!$B:$B,$B59,Datos_items!$AA:$AA,V$4,Datos_items!$E:$E,Analisis_grupo!$C$4))</f>
        <v/>
      </c>
      <c r="W59" s="2" t="str">
        <f aca="false">IF($B59="","",COUNTIFS(Datos_items!$B:$B,$B59,Datos_items!$AA:$AA,W$4,Datos_items!$E:$E,Analisis_grupo!$C$4))</f>
        <v/>
      </c>
      <c r="X59" s="2" t="str">
        <f aca="false">IF($B59="","",COUNTIFS(Datos_items!$B:$B,$B59,Datos_items!$AA:$AA,X$4,Datos_items!$E:$E,Analisis_grupo!$C$4))</f>
        <v/>
      </c>
      <c r="Y59" s="2" t="str">
        <f aca="false">IF($B59="","",COUNTIFS(Datos_items!$B:$B,$B59,Datos_items!$AA:$AA,Y$4,Datos_items!$E:$E,Analisis_grupo!$C$4))</f>
        <v/>
      </c>
      <c r="Z59" s="2" t="str">
        <f aca="false">IF($B59="","",COUNTIFS(Datos_items!$B:$B,$B59,Datos_items!$AA:$AA,Z$4,Datos_items!$E:$E,Analisis_grupo!$C$4))</f>
        <v/>
      </c>
      <c r="AA59" s="2" t="str">
        <f aca="false">IF($B59="","",COUNTIFS(Datos_items!$B:$B,$B59,Datos_items!$AA:$AA,AA$4,Datos_items!$E:$E,Analisis_grupo!$C$4))</f>
        <v/>
      </c>
      <c r="AB59" s="2" t="str">
        <f aca="false">IF($B59="","",COUNTIFS(Datos_items!$B:$B,$B59,Datos_items!$AA:$AA,AB$4,Datos_items!$E:$E,Analisis_grupo!$C$4))</f>
        <v/>
      </c>
      <c r="AC59" s="2" t="str">
        <f aca="false">IF($B59="","",COUNTIFS(Datos_items!$B:$B,$B59,Datos_items!$AA:$AA,AC$4,Datos_items!$E:$E,Analisis_grupo!$C$4))</f>
        <v/>
      </c>
      <c r="AD59" s="2" t="str">
        <f aca="false">IF($B59="","",COUNTIFS(Datos_items!$B:$B,$B59,Datos_items!$AA:$AA,AD$4,Datos_items!$E:$E,Analisis_grupo!$C$4))</f>
        <v/>
      </c>
      <c r="AE59" s="2" t="str">
        <f aca="false">IF($B59="","",COUNTIFS(Datos_items!$B:$B,$B59,Datos_items!$AA:$AA,AE$4,Datos_items!$E:$E,Analisis_grupo!$C$4))</f>
        <v/>
      </c>
      <c r="AF59" s="2" t="str">
        <f aca="false">IF($B59="","",COUNTIFS(Datos_items!$B:$B,$B59,Datos_items!$AA:$AA,AF$4,Datos_items!$E:$E,Analisis_grupo!$C$4))</f>
        <v/>
      </c>
      <c r="AG59" s="2" t="str">
        <f aca="false">IF($B59="","",COUNTIFS(Datos_items!$B:$B,$B59,Datos_items!$AA:$AA,AG$4,Datos_items!$E:$E,Analisis_grupo!$C$4))</f>
        <v/>
      </c>
      <c r="AH59" s="2" t="str">
        <f aca="false">IF($B59="","",COUNTIFS(Datos_items!$B:$B,$B59,Datos_items!$AA:$AA,AH$4,Datos_items!$E:$E,Analisis_grupo!$C$4))</f>
        <v/>
      </c>
      <c r="AI59" s="2" t="str">
        <f aca="false">IF($B59="","",COUNTIFS(Datos_items!$B:$B,$B59,Datos_items!$AA:$AA,AI$4,Datos_items!$E:$E,Analisis_grupo!$C$4))</f>
        <v/>
      </c>
      <c r="AJ59" s="2" t="str">
        <f aca="false">IF($B59="","",COUNTIFS(Datos_items!$B:$B,$B59,Datos_items!$AA:$AA,AJ$4,Datos_items!$E:$E,Analisis_grupo!$C$4))</f>
        <v/>
      </c>
      <c r="AK59" s="2" t="str">
        <f aca="false">IF($B59="","",COUNTIFS(Datos_items!$B:$B,$B59,Datos_items!$AA:$AA,AK$4,Datos_items!$E:$E,Analisis_grupo!$C$4))</f>
        <v/>
      </c>
      <c r="AL59" s="2" t="str">
        <f aca="false">IF($B59="","",COUNTIFS(Datos_items!$B:$B,$B59,Datos_items!$AA:$AA,AL$4,Datos_items!$E:$E,Analisis_grupo!$C$4))</f>
        <v/>
      </c>
      <c r="AM59" s="2" t="str">
        <f aca="false">IF($B59="","",IF(MAX(Y59:AL59)=0,"",INDEX($Y$4:$AL$4,MATCH(MAX(Y59:AL59),Y59:AL59,0))))</f>
        <v/>
      </c>
      <c r="AN59" s="2" t="str">
        <f aca="false">IF($B59="","",COUNTIFS(Datos_problemas!$B:$B,$B59,Datos_problemas!$F:$F,"Práctica"))</f>
        <v/>
      </c>
      <c r="AO59" s="2" t="str">
        <f aca="false">IF($B59="","",SUMIFS(Datos_problemas!$AQ:$AQ,Datos_problemas!$B:$B,$B59,Datos_problemas!$F:$F,"Práctica"))</f>
        <v/>
      </c>
      <c r="AP59" s="2" t="str">
        <f aca="false">IF($B59="","",COUNTIFS(Datos_problemas!$B:$B,$B59,Datos_problemas!$F:$F,"Práctica",Datos_problemas!$AS:$AS,"Sí"))</f>
        <v/>
      </c>
    </row>
    <row r="60" customFormat="false" ht="15" hidden="false" customHeight="false" outlineLevel="0" collapsed="false">
      <c r="A60" s="2" t="n">
        <v>56</v>
      </c>
      <c r="B60" s="2" t="str">
        <f aca="false">IFERROR(INDEX(Datos_problemas!$B:$B,MATCH($A60,Datos_problemas!$AV:$AV,0)),"")</f>
        <v/>
      </c>
      <c r="C60" s="2" t="str">
        <f aca="false">IF($B60="","",INDEX(Datos_problemas!$C:$C,MATCH($A60,Datos_problemas!$AV:$AV,0)))</f>
        <v/>
      </c>
      <c r="D60" s="2" t="str">
        <f aca="false">IF($B60="","",INDEX(Datos_problemas!$D:$D,MATCH($A60,Datos_problemas!$AV:$AV,0)))</f>
        <v/>
      </c>
      <c r="E60" s="2" t="str">
        <f aca="false">IF($B60="","",COUNTIFS(Datos_problemas!$B:$B,$B60,Datos_problemas!$F:$F,"Evaluación"))</f>
        <v/>
      </c>
      <c r="F60" s="20" t="str">
        <f aca="false">IF($B60="","",IFERROR(AVERAGEIFS(Datos_problemas!$AE:$AE,Datos_problemas!$B:$B,$B60,Datos_problemas!$F:$F,"Evaluación"),""))</f>
        <v/>
      </c>
      <c r="G60" s="20" t="str">
        <f aca="false">IF($B60="","",IFERROR(AVERAGEIFS(Datos_problemas!$AE:$AE,Datos_problemas!$B:$B,$B60,Datos_problemas!$F:$F,"Evaluación",Datos_problemas!$E:$E,"Diagnóstico"),""))</f>
        <v/>
      </c>
      <c r="H60" s="20" t="str">
        <f aca="false">IF($B60="","",IFERROR(AVERAGEIFS(Datos_problemas!$AE:$AE,Datos_problemas!$B:$B,$B60,Datos_problemas!$F:$F,"Evaluación",Datos_problemas!$E:$E,"Final"),""))</f>
        <v/>
      </c>
      <c r="I60" s="21" t="str">
        <f aca="false">IF(OR(G60="",H60=""),"",IF(G60&gt;=10,"",(H60-G60)/(10-G60)))</f>
        <v/>
      </c>
      <c r="J60" s="18" t="str">
        <f aca="false">IF($B60="","",IFERROR(SUMIFS(Datos_items!$Z:$Z,Datos_items!$B:$B,$B60,Datos_items!$O:$O,J$4,Datos_items!$E:$E,Analisis_grupo!$C$4)/COUNTIFS(Datos_items!$B:$B,$B60,Datos_items!$O:$O,J$4,Datos_items!$E:$E,Analisis_grupo!$C$4),""))</f>
        <v/>
      </c>
      <c r="K60" s="18" t="str">
        <f aca="false">IF($B60="","",IFERROR(SUMIFS(Datos_items!$Z:$Z,Datos_items!$B:$B,$B60,Datos_items!$O:$O,K$4,Datos_items!$E:$E,Analisis_grupo!$C$4)/COUNTIFS(Datos_items!$B:$B,$B60,Datos_items!$O:$O,K$4,Datos_items!$E:$E,Analisis_grupo!$C$4),""))</f>
        <v/>
      </c>
      <c r="L60" s="18" t="str">
        <f aca="false">IF($B60="","",IFERROR(SUMIFS(Datos_items!$Z:$Z,Datos_items!$B:$B,$B60,Datos_items!$O:$O,L$4,Datos_items!$E:$E,Analisis_grupo!$C$4)/COUNTIFS(Datos_items!$B:$B,$B60,Datos_items!$O:$O,L$4,Datos_items!$E:$E,Analisis_grupo!$C$4),""))</f>
        <v/>
      </c>
      <c r="M60" s="18" t="str">
        <f aca="false">IF($B60="","",IFERROR(SUMIFS(Datos_items!$Z:$Z,Datos_items!$B:$B,$B60,Datos_items!$O:$O,M$4,Datos_items!$E:$E,Analisis_grupo!$C$4)/COUNTIFS(Datos_items!$B:$B,$B60,Datos_items!$O:$O,M$4,Datos_items!$E:$E,Analisis_grupo!$C$4),""))</f>
        <v/>
      </c>
      <c r="N60" s="18" t="str">
        <f aca="false">IF($B60="","",IFERROR(SUMIFS(Datos_items!$Z:$Z,Datos_items!$B:$B,$B60,Datos_items!$O:$O,N$4,Datos_items!$E:$E,Analisis_grupo!$C$4)/COUNTIFS(Datos_items!$B:$B,$B60,Datos_items!$O:$O,N$4,Datos_items!$E:$E,Analisis_grupo!$C$4),""))</f>
        <v/>
      </c>
      <c r="O60" s="18" t="str">
        <f aca="false">IF($B60="","",IFERROR(SUMIFS(Datos_items!$Z:$Z,Datos_items!$B:$B,$B60,Datos_items!$O:$O,O$4,Datos_items!$E:$E,Analisis_grupo!$C$4)/COUNTIFS(Datos_items!$B:$B,$B60,Datos_items!$O:$O,O$4,Datos_items!$E:$E,Analisis_grupo!$C$4),""))</f>
        <v/>
      </c>
      <c r="P60" s="18" t="str">
        <f aca="false">IF($B60="","",IFERROR(SUMIFS(Datos_items!$Z:$Z,Datos_items!$B:$B,$B60,Datos_items!$O:$O,P$4,Datos_items!$E:$E,Analisis_grupo!$C$4)/COUNTIFS(Datos_items!$B:$B,$B60,Datos_items!$O:$O,P$4,Datos_items!$E:$E,Analisis_grupo!$C$4),""))</f>
        <v/>
      </c>
      <c r="Q60" s="18" t="str">
        <f aca="false">IF($B60="","",IFERROR(SUMIFS(Datos_items!$Z:$Z,Datos_items!$B:$B,$B60,Datos_items!$O:$O,Q$4,Datos_items!$E:$E,Analisis_grupo!$C$4)/COUNTIFS(Datos_items!$B:$B,$B60,Datos_items!$O:$O,Q$4,Datos_items!$E:$E,Analisis_grupo!$C$4),""))</f>
        <v/>
      </c>
      <c r="R60" s="2" t="str">
        <f aca="false">IF(COUNT(J60:Q60)=0,"",IF(MIN(J60:Q60)&gt;=Analisis_grupo!$B$7,"(ninguna)",INDEX($J$4:$Q$4,MATCH(MIN(J60:Q60),J60:Q60,0))))</f>
        <v/>
      </c>
      <c r="S60" s="2" t="str">
        <f aca="false">IF($B60="","",COUNTIF(J60:Q60,"&lt;"&amp;Analisis_grupo!$B$7))</f>
        <v/>
      </c>
      <c r="T60" s="2" t="str">
        <f aca="false">IF($B60="","",COUNTIFS(Datos_items!$B:$B,$B60,Datos_items!$AA:$AA,T$4,Datos_items!$E:$E,Analisis_grupo!$C$4))</f>
        <v/>
      </c>
      <c r="U60" s="2" t="str">
        <f aca="false">IF($B60="","",COUNTIFS(Datos_items!$B:$B,$B60,Datos_items!$AA:$AA,U$4,Datos_items!$E:$E,Analisis_grupo!$C$4))</f>
        <v/>
      </c>
      <c r="V60" s="2" t="str">
        <f aca="false">IF($B60="","",COUNTIFS(Datos_items!$B:$B,$B60,Datos_items!$AA:$AA,V$4,Datos_items!$E:$E,Analisis_grupo!$C$4))</f>
        <v/>
      </c>
      <c r="W60" s="2" t="str">
        <f aca="false">IF($B60="","",COUNTIFS(Datos_items!$B:$B,$B60,Datos_items!$AA:$AA,W$4,Datos_items!$E:$E,Analisis_grupo!$C$4))</f>
        <v/>
      </c>
      <c r="X60" s="2" t="str">
        <f aca="false">IF($B60="","",COUNTIFS(Datos_items!$B:$B,$B60,Datos_items!$AA:$AA,X$4,Datos_items!$E:$E,Analisis_grupo!$C$4))</f>
        <v/>
      </c>
      <c r="Y60" s="2" t="str">
        <f aca="false">IF($B60="","",COUNTIFS(Datos_items!$B:$B,$B60,Datos_items!$AA:$AA,Y$4,Datos_items!$E:$E,Analisis_grupo!$C$4))</f>
        <v/>
      </c>
      <c r="Z60" s="2" t="str">
        <f aca="false">IF($B60="","",COUNTIFS(Datos_items!$B:$B,$B60,Datos_items!$AA:$AA,Z$4,Datos_items!$E:$E,Analisis_grupo!$C$4))</f>
        <v/>
      </c>
      <c r="AA60" s="2" t="str">
        <f aca="false">IF($B60="","",COUNTIFS(Datos_items!$B:$B,$B60,Datos_items!$AA:$AA,AA$4,Datos_items!$E:$E,Analisis_grupo!$C$4))</f>
        <v/>
      </c>
      <c r="AB60" s="2" t="str">
        <f aca="false">IF($B60="","",COUNTIFS(Datos_items!$B:$B,$B60,Datos_items!$AA:$AA,AB$4,Datos_items!$E:$E,Analisis_grupo!$C$4))</f>
        <v/>
      </c>
      <c r="AC60" s="2" t="str">
        <f aca="false">IF($B60="","",COUNTIFS(Datos_items!$B:$B,$B60,Datos_items!$AA:$AA,AC$4,Datos_items!$E:$E,Analisis_grupo!$C$4))</f>
        <v/>
      </c>
      <c r="AD60" s="2" t="str">
        <f aca="false">IF($B60="","",COUNTIFS(Datos_items!$B:$B,$B60,Datos_items!$AA:$AA,AD$4,Datos_items!$E:$E,Analisis_grupo!$C$4))</f>
        <v/>
      </c>
      <c r="AE60" s="2" t="str">
        <f aca="false">IF($B60="","",COUNTIFS(Datos_items!$B:$B,$B60,Datos_items!$AA:$AA,AE$4,Datos_items!$E:$E,Analisis_grupo!$C$4))</f>
        <v/>
      </c>
      <c r="AF60" s="2" t="str">
        <f aca="false">IF($B60="","",COUNTIFS(Datos_items!$B:$B,$B60,Datos_items!$AA:$AA,AF$4,Datos_items!$E:$E,Analisis_grupo!$C$4))</f>
        <v/>
      </c>
      <c r="AG60" s="2" t="str">
        <f aca="false">IF($B60="","",COUNTIFS(Datos_items!$B:$B,$B60,Datos_items!$AA:$AA,AG$4,Datos_items!$E:$E,Analisis_grupo!$C$4))</f>
        <v/>
      </c>
      <c r="AH60" s="2" t="str">
        <f aca="false">IF($B60="","",COUNTIFS(Datos_items!$B:$B,$B60,Datos_items!$AA:$AA,AH$4,Datos_items!$E:$E,Analisis_grupo!$C$4))</f>
        <v/>
      </c>
      <c r="AI60" s="2" t="str">
        <f aca="false">IF($B60="","",COUNTIFS(Datos_items!$B:$B,$B60,Datos_items!$AA:$AA,AI$4,Datos_items!$E:$E,Analisis_grupo!$C$4))</f>
        <v/>
      </c>
      <c r="AJ60" s="2" t="str">
        <f aca="false">IF($B60="","",COUNTIFS(Datos_items!$B:$B,$B60,Datos_items!$AA:$AA,AJ$4,Datos_items!$E:$E,Analisis_grupo!$C$4))</f>
        <v/>
      </c>
      <c r="AK60" s="2" t="str">
        <f aca="false">IF($B60="","",COUNTIFS(Datos_items!$B:$B,$B60,Datos_items!$AA:$AA,AK$4,Datos_items!$E:$E,Analisis_grupo!$C$4))</f>
        <v/>
      </c>
      <c r="AL60" s="2" t="str">
        <f aca="false">IF($B60="","",COUNTIFS(Datos_items!$B:$B,$B60,Datos_items!$AA:$AA,AL$4,Datos_items!$E:$E,Analisis_grupo!$C$4))</f>
        <v/>
      </c>
      <c r="AM60" s="2" t="str">
        <f aca="false">IF($B60="","",IF(MAX(Y60:AL60)=0,"",INDEX($Y$4:$AL$4,MATCH(MAX(Y60:AL60),Y60:AL60,0))))</f>
        <v/>
      </c>
      <c r="AN60" s="2" t="str">
        <f aca="false">IF($B60="","",COUNTIFS(Datos_problemas!$B:$B,$B60,Datos_problemas!$F:$F,"Práctica"))</f>
        <v/>
      </c>
      <c r="AO60" s="2" t="str">
        <f aca="false">IF($B60="","",SUMIFS(Datos_problemas!$AQ:$AQ,Datos_problemas!$B:$B,$B60,Datos_problemas!$F:$F,"Práctica"))</f>
        <v/>
      </c>
      <c r="AP60" s="2" t="str">
        <f aca="false">IF($B60="","",COUNTIFS(Datos_problemas!$B:$B,$B60,Datos_problemas!$F:$F,"Práctica",Datos_problemas!$AS:$AS,"Sí"))</f>
        <v/>
      </c>
    </row>
    <row r="61" customFormat="false" ht="15" hidden="false" customHeight="false" outlineLevel="0" collapsed="false">
      <c r="A61" s="2" t="n">
        <v>57</v>
      </c>
      <c r="B61" s="2" t="str">
        <f aca="false">IFERROR(INDEX(Datos_problemas!$B:$B,MATCH($A61,Datos_problemas!$AV:$AV,0)),"")</f>
        <v/>
      </c>
      <c r="C61" s="2" t="str">
        <f aca="false">IF($B61="","",INDEX(Datos_problemas!$C:$C,MATCH($A61,Datos_problemas!$AV:$AV,0)))</f>
        <v/>
      </c>
      <c r="D61" s="2" t="str">
        <f aca="false">IF($B61="","",INDEX(Datos_problemas!$D:$D,MATCH($A61,Datos_problemas!$AV:$AV,0)))</f>
        <v/>
      </c>
      <c r="E61" s="2" t="str">
        <f aca="false">IF($B61="","",COUNTIFS(Datos_problemas!$B:$B,$B61,Datos_problemas!$F:$F,"Evaluación"))</f>
        <v/>
      </c>
      <c r="F61" s="20" t="str">
        <f aca="false">IF($B61="","",IFERROR(AVERAGEIFS(Datos_problemas!$AE:$AE,Datos_problemas!$B:$B,$B61,Datos_problemas!$F:$F,"Evaluación"),""))</f>
        <v/>
      </c>
      <c r="G61" s="20" t="str">
        <f aca="false">IF($B61="","",IFERROR(AVERAGEIFS(Datos_problemas!$AE:$AE,Datos_problemas!$B:$B,$B61,Datos_problemas!$F:$F,"Evaluación",Datos_problemas!$E:$E,"Diagnóstico"),""))</f>
        <v/>
      </c>
      <c r="H61" s="20" t="str">
        <f aca="false">IF($B61="","",IFERROR(AVERAGEIFS(Datos_problemas!$AE:$AE,Datos_problemas!$B:$B,$B61,Datos_problemas!$F:$F,"Evaluación",Datos_problemas!$E:$E,"Final"),""))</f>
        <v/>
      </c>
      <c r="I61" s="21" t="str">
        <f aca="false">IF(OR(G61="",H61=""),"",IF(G61&gt;=10,"",(H61-G61)/(10-G61)))</f>
        <v/>
      </c>
      <c r="J61" s="18" t="str">
        <f aca="false">IF($B61="","",IFERROR(SUMIFS(Datos_items!$Z:$Z,Datos_items!$B:$B,$B61,Datos_items!$O:$O,J$4,Datos_items!$E:$E,Analisis_grupo!$C$4)/COUNTIFS(Datos_items!$B:$B,$B61,Datos_items!$O:$O,J$4,Datos_items!$E:$E,Analisis_grupo!$C$4),""))</f>
        <v/>
      </c>
      <c r="K61" s="18" t="str">
        <f aca="false">IF($B61="","",IFERROR(SUMIFS(Datos_items!$Z:$Z,Datos_items!$B:$B,$B61,Datos_items!$O:$O,K$4,Datos_items!$E:$E,Analisis_grupo!$C$4)/COUNTIFS(Datos_items!$B:$B,$B61,Datos_items!$O:$O,K$4,Datos_items!$E:$E,Analisis_grupo!$C$4),""))</f>
        <v/>
      </c>
      <c r="L61" s="18" t="str">
        <f aca="false">IF($B61="","",IFERROR(SUMIFS(Datos_items!$Z:$Z,Datos_items!$B:$B,$B61,Datos_items!$O:$O,L$4,Datos_items!$E:$E,Analisis_grupo!$C$4)/COUNTIFS(Datos_items!$B:$B,$B61,Datos_items!$O:$O,L$4,Datos_items!$E:$E,Analisis_grupo!$C$4),""))</f>
        <v/>
      </c>
      <c r="M61" s="18" t="str">
        <f aca="false">IF($B61="","",IFERROR(SUMIFS(Datos_items!$Z:$Z,Datos_items!$B:$B,$B61,Datos_items!$O:$O,M$4,Datos_items!$E:$E,Analisis_grupo!$C$4)/COUNTIFS(Datos_items!$B:$B,$B61,Datos_items!$O:$O,M$4,Datos_items!$E:$E,Analisis_grupo!$C$4),""))</f>
        <v/>
      </c>
      <c r="N61" s="18" t="str">
        <f aca="false">IF($B61="","",IFERROR(SUMIFS(Datos_items!$Z:$Z,Datos_items!$B:$B,$B61,Datos_items!$O:$O,N$4,Datos_items!$E:$E,Analisis_grupo!$C$4)/COUNTIFS(Datos_items!$B:$B,$B61,Datos_items!$O:$O,N$4,Datos_items!$E:$E,Analisis_grupo!$C$4),""))</f>
        <v/>
      </c>
      <c r="O61" s="18" t="str">
        <f aca="false">IF($B61="","",IFERROR(SUMIFS(Datos_items!$Z:$Z,Datos_items!$B:$B,$B61,Datos_items!$O:$O,O$4,Datos_items!$E:$E,Analisis_grupo!$C$4)/COUNTIFS(Datos_items!$B:$B,$B61,Datos_items!$O:$O,O$4,Datos_items!$E:$E,Analisis_grupo!$C$4),""))</f>
        <v/>
      </c>
      <c r="P61" s="18" t="str">
        <f aca="false">IF($B61="","",IFERROR(SUMIFS(Datos_items!$Z:$Z,Datos_items!$B:$B,$B61,Datos_items!$O:$O,P$4,Datos_items!$E:$E,Analisis_grupo!$C$4)/COUNTIFS(Datos_items!$B:$B,$B61,Datos_items!$O:$O,P$4,Datos_items!$E:$E,Analisis_grupo!$C$4),""))</f>
        <v/>
      </c>
      <c r="Q61" s="18" t="str">
        <f aca="false">IF($B61="","",IFERROR(SUMIFS(Datos_items!$Z:$Z,Datos_items!$B:$B,$B61,Datos_items!$O:$O,Q$4,Datos_items!$E:$E,Analisis_grupo!$C$4)/COUNTIFS(Datos_items!$B:$B,$B61,Datos_items!$O:$O,Q$4,Datos_items!$E:$E,Analisis_grupo!$C$4),""))</f>
        <v/>
      </c>
      <c r="R61" s="2" t="str">
        <f aca="false">IF(COUNT(J61:Q61)=0,"",IF(MIN(J61:Q61)&gt;=Analisis_grupo!$B$7,"(ninguna)",INDEX($J$4:$Q$4,MATCH(MIN(J61:Q61),J61:Q61,0))))</f>
        <v/>
      </c>
      <c r="S61" s="2" t="str">
        <f aca="false">IF($B61="","",COUNTIF(J61:Q61,"&lt;"&amp;Analisis_grupo!$B$7))</f>
        <v/>
      </c>
      <c r="T61" s="2" t="str">
        <f aca="false">IF($B61="","",COUNTIFS(Datos_items!$B:$B,$B61,Datos_items!$AA:$AA,T$4,Datos_items!$E:$E,Analisis_grupo!$C$4))</f>
        <v/>
      </c>
      <c r="U61" s="2" t="str">
        <f aca="false">IF($B61="","",COUNTIFS(Datos_items!$B:$B,$B61,Datos_items!$AA:$AA,U$4,Datos_items!$E:$E,Analisis_grupo!$C$4))</f>
        <v/>
      </c>
      <c r="V61" s="2" t="str">
        <f aca="false">IF($B61="","",COUNTIFS(Datos_items!$B:$B,$B61,Datos_items!$AA:$AA,V$4,Datos_items!$E:$E,Analisis_grupo!$C$4))</f>
        <v/>
      </c>
      <c r="W61" s="2" t="str">
        <f aca="false">IF($B61="","",COUNTIFS(Datos_items!$B:$B,$B61,Datos_items!$AA:$AA,W$4,Datos_items!$E:$E,Analisis_grupo!$C$4))</f>
        <v/>
      </c>
      <c r="X61" s="2" t="str">
        <f aca="false">IF($B61="","",COUNTIFS(Datos_items!$B:$B,$B61,Datos_items!$AA:$AA,X$4,Datos_items!$E:$E,Analisis_grupo!$C$4))</f>
        <v/>
      </c>
      <c r="Y61" s="2" t="str">
        <f aca="false">IF($B61="","",COUNTIFS(Datos_items!$B:$B,$B61,Datos_items!$AA:$AA,Y$4,Datos_items!$E:$E,Analisis_grupo!$C$4))</f>
        <v/>
      </c>
      <c r="Z61" s="2" t="str">
        <f aca="false">IF($B61="","",COUNTIFS(Datos_items!$B:$B,$B61,Datos_items!$AA:$AA,Z$4,Datos_items!$E:$E,Analisis_grupo!$C$4))</f>
        <v/>
      </c>
      <c r="AA61" s="2" t="str">
        <f aca="false">IF($B61="","",COUNTIFS(Datos_items!$B:$B,$B61,Datos_items!$AA:$AA,AA$4,Datos_items!$E:$E,Analisis_grupo!$C$4))</f>
        <v/>
      </c>
      <c r="AB61" s="2" t="str">
        <f aca="false">IF($B61="","",COUNTIFS(Datos_items!$B:$B,$B61,Datos_items!$AA:$AA,AB$4,Datos_items!$E:$E,Analisis_grupo!$C$4))</f>
        <v/>
      </c>
      <c r="AC61" s="2" t="str">
        <f aca="false">IF($B61="","",COUNTIFS(Datos_items!$B:$B,$B61,Datos_items!$AA:$AA,AC$4,Datos_items!$E:$E,Analisis_grupo!$C$4))</f>
        <v/>
      </c>
      <c r="AD61" s="2" t="str">
        <f aca="false">IF($B61="","",COUNTIFS(Datos_items!$B:$B,$B61,Datos_items!$AA:$AA,AD$4,Datos_items!$E:$E,Analisis_grupo!$C$4))</f>
        <v/>
      </c>
      <c r="AE61" s="2" t="str">
        <f aca="false">IF($B61="","",COUNTIFS(Datos_items!$B:$B,$B61,Datos_items!$AA:$AA,AE$4,Datos_items!$E:$E,Analisis_grupo!$C$4))</f>
        <v/>
      </c>
      <c r="AF61" s="2" t="str">
        <f aca="false">IF($B61="","",COUNTIFS(Datos_items!$B:$B,$B61,Datos_items!$AA:$AA,AF$4,Datos_items!$E:$E,Analisis_grupo!$C$4))</f>
        <v/>
      </c>
      <c r="AG61" s="2" t="str">
        <f aca="false">IF($B61="","",COUNTIFS(Datos_items!$B:$B,$B61,Datos_items!$AA:$AA,AG$4,Datos_items!$E:$E,Analisis_grupo!$C$4))</f>
        <v/>
      </c>
      <c r="AH61" s="2" t="str">
        <f aca="false">IF($B61="","",COUNTIFS(Datos_items!$B:$B,$B61,Datos_items!$AA:$AA,AH$4,Datos_items!$E:$E,Analisis_grupo!$C$4))</f>
        <v/>
      </c>
      <c r="AI61" s="2" t="str">
        <f aca="false">IF($B61="","",COUNTIFS(Datos_items!$B:$B,$B61,Datos_items!$AA:$AA,AI$4,Datos_items!$E:$E,Analisis_grupo!$C$4))</f>
        <v/>
      </c>
      <c r="AJ61" s="2" t="str">
        <f aca="false">IF($B61="","",COUNTIFS(Datos_items!$B:$B,$B61,Datos_items!$AA:$AA,AJ$4,Datos_items!$E:$E,Analisis_grupo!$C$4))</f>
        <v/>
      </c>
      <c r="AK61" s="2" t="str">
        <f aca="false">IF($B61="","",COUNTIFS(Datos_items!$B:$B,$B61,Datos_items!$AA:$AA,AK$4,Datos_items!$E:$E,Analisis_grupo!$C$4))</f>
        <v/>
      </c>
      <c r="AL61" s="2" t="str">
        <f aca="false">IF($B61="","",COUNTIFS(Datos_items!$B:$B,$B61,Datos_items!$AA:$AA,AL$4,Datos_items!$E:$E,Analisis_grupo!$C$4))</f>
        <v/>
      </c>
      <c r="AM61" s="2" t="str">
        <f aca="false">IF($B61="","",IF(MAX(Y61:AL61)=0,"",INDEX($Y$4:$AL$4,MATCH(MAX(Y61:AL61),Y61:AL61,0))))</f>
        <v/>
      </c>
      <c r="AN61" s="2" t="str">
        <f aca="false">IF($B61="","",COUNTIFS(Datos_problemas!$B:$B,$B61,Datos_problemas!$F:$F,"Práctica"))</f>
        <v/>
      </c>
      <c r="AO61" s="2" t="str">
        <f aca="false">IF($B61="","",SUMIFS(Datos_problemas!$AQ:$AQ,Datos_problemas!$B:$B,$B61,Datos_problemas!$F:$F,"Práctica"))</f>
        <v/>
      </c>
      <c r="AP61" s="2" t="str">
        <f aca="false">IF($B61="","",COUNTIFS(Datos_problemas!$B:$B,$B61,Datos_problemas!$F:$F,"Práctica",Datos_problemas!$AS:$AS,"Sí"))</f>
        <v/>
      </c>
    </row>
    <row r="62" customFormat="false" ht="15" hidden="false" customHeight="false" outlineLevel="0" collapsed="false">
      <c r="A62" s="2" t="n">
        <v>58</v>
      </c>
      <c r="B62" s="2" t="str">
        <f aca="false">IFERROR(INDEX(Datos_problemas!$B:$B,MATCH($A62,Datos_problemas!$AV:$AV,0)),"")</f>
        <v/>
      </c>
      <c r="C62" s="2" t="str">
        <f aca="false">IF($B62="","",INDEX(Datos_problemas!$C:$C,MATCH($A62,Datos_problemas!$AV:$AV,0)))</f>
        <v/>
      </c>
      <c r="D62" s="2" t="str">
        <f aca="false">IF($B62="","",INDEX(Datos_problemas!$D:$D,MATCH($A62,Datos_problemas!$AV:$AV,0)))</f>
        <v/>
      </c>
      <c r="E62" s="2" t="str">
        <f aca="false">IF($B62="","",COUNTIFS(Datos_problemas!$B:$B,$B62,Datos_problemas!$F:$F,"Evaluación"))</f>
        <v/>
      </c>
      <c r="F62" s="20" t="str">
        <f aca="false">IF($B62="","",IFERROR(AVERAGEIFS(Datos_problemas!$AE:$AE,Datos_problemas!$B:$B,$B62,Datos_problemas!$F:$F,"Evaluación"),""))</f>
        <v/>
      </c>
      <c r="G62" s="20" t="str">
        <f aca="false">IF($B62="","",IFERROR(AVERAGEIFS(Datos_problemas!$AE:$AE,Datos_problemas!$B:$B,$B62,Datos_problemas!$F:$F,"Evaluación",Datos_problemas!$E:$E,"Diagnóstico"),""))</f>
        <v/>
      </c>
      <c r="H62" s="20" t="str">
        <f aca="false">IF($B62="","",IFERROR(AVERAGEIFS(Datos_problemas!$AE:$AE,Datos_problemas!$B:$B,$B62,Datos_problemas!$F:$F,"Evaluación",Datos_problemas!$E:$E,"Final"),""))</f>
        <v/>
      </c>
      <c r="I62" s="21" t="str">
        <f aca="false">IF(OR(G62="",H62=""),"",IF(G62&gt;=10,"",(H62-G62)/(10-G62)))</f>
        <v/>
      </c>
      <c r="J62" s="18" t="str">
        <f aca="false">IF($B62="","",IFERROR(SUMIFS(Datos_items!$Z:$Z,Datos_items!$B:$B,$B62,Datos_items!$O:$O,J$4,Datos_items!$E:$E,Analisis_grupo!$C$4)/COUNTIFS(Datos_items!$B:$B,$B62,Datos_items!$O:$O,J$4,Datos_items!$E:$E,Analisis_grupo!$C$4),""))</f>
        <v/>
      </c>
      <c r="K62" s="18" t="str">
        <f aca="false">IF($B62="","",IFERROR(SUMIFS(Datos_items!$Z:$Z,Datos_items!$B:$B,$B62,Datos_items!$O:$O,K$4,Datos_items!$E:$E,Analisis_grupo!$C$4)/COUNTIFS(Datos_items!$B:$B,$B62,Datos_items!$O:$O,K$4,Datos_items!$E:$E,Analisis_grupo!$C$4),""))</f>
        <v/>
      </c>
      <c r="L62" s="18" t="str">
        <f aca="false">IF($B62="","",IFERROR(SUMIFS(Datos_items!$Z:$Z,Datos_items!$B:$B,$B62,Datos_items!$O:$O,L$4,Datos_items!$E:$E,Analisis_grupo!$C$4)/COUNTIFS(Datos_items!$B:$B,$B62,Datos_items!$O:$O,L$4,Datos_items!$E:$E,Analisis_grupo!$C$4),""))</f>
        <v/>
      </c>
      <c r="M62" s="18" t="str">
        <f aca="false">IF($B62="","",IFERROR(SUMIFS(Datos_items!$Z:$Z,Datos_items!$B:$B,$B62,Datos_items!$O:$O,M$4,Datos_items!$E:$E,Analisis_grupo!$C$4)/COUNTIFS(Datos_items!$B:$B,$B62,Datos_items!$O:$O,M$4,Datos_items!$E:$E,Analisis_grupo!$C$4),""))</f>
        <v/>
      </c>
      <c r="N62" s="18" t="str">
        <f aca="false">IF($B62="","",IFERROR(SUMIFS(Datos_items!$Z:$Z,Datos_items!$B:$B,$B62,Datos_items!$O:$O,N$4,Datos_items!$E:$E,Analisis_grupo!$C$4)/COUNTIFS(Datos_items!$B:$B,$B62,Datos_items!$O:$O,N$4,Datos_items!$E:$E,Analisis_grupo!$C$4),""))</f>
        <v/>
      </c>
      <c r="O62" s="18" t="str">
        <f aca="false">IF($B62="","",IFERROR(SUMIFS(Datos_items!$Z:$Z,Datos_items!$B:$B,$B62,Datos_items!$O:$O,O$4,Datos_items!$E:$E,Analisis_grupo!$C$4)/COUNTIFS(Datos_items!$B:$B,$B62,Datos_items!$O:$O,O$4,Datos_items!$E:$E,Analisis_grupo!$C$4),""))</f>
        <v/>
      </c>
      <c r="P62" s="18" t="str">
        <f aca="false">IF($B62="","",IFERROR(SUMIFS(Datos_items!$Z:$Z,Datos_items!$B:$B,$B62,Datos_items!$O:$O,P$4,Datos_items!$E:$E,Analisis_grupo!$C$4)/COUNTIFS(Datos_items!$B:$B,$B62,Datos_items!$O:$O,P$4,Datos_items!$E:$E,Analisis_grupo!$C$4),""))</f>
        <v/>
      </c>
      <c r="Q62" s="18" t="str">
        <f aca="false">IF($B62="","",IFERROR(SUMIFS(Datos_items!$Z:$Z,Datos_items!$B:$B,$B62,Datos_items!$O:$O,Q$4,Datos_items!$E:$E,Analisis_grupo!$C$4)/COUNTIFS(Datos_items!$B:$B,$B62,Datos_items!$O:$O,Q$4,Datos_items!$E:$E,Analisis_grupo!$C$4),""))</f>
        <v/>
      </c>
      <c r="R62" s="2" t="str">
        <f aca="false">IF(COUNT(J62:Q62)=0,"",IF(MIN(J62:Q62)&gt;=Analisis_grupo!$B$7,"(ninguna)",INDEX($J$4:$Q$4,MATCH(MIN(J62:Q62),J62:Q62,0))))</f>
        <v/>
      </c>
      <c r="S62" s="2" t="str">
        <f aca="false">IF($B62="","",COUNTIF(J62:Q62,"&lt;"&amp;Analisis_grupo!$B$7))</f>
        <v/>
      </c>
      <c r="T62" s="2" t="str">
        <f aca="false">IF($B62="","",COUNTIFS(Datos_items!$B:$B,$B62,Datos_items!$AA:$AA,T$4,Datos_items!$E:$E,Analisis_grupo!$C$4))</f>
        <v/>
      </c>
      <c r="U62" s="2" t="str">
        <f aca="false">IF($B62="","",COUNTIFS(Datos_items!$B:$B,$B62,Datos_items!$AA:$AA,U$4,Datos_items!$E:$E,Analisis_grupo!$C$4))</f>
        <v/>
      </c>
      <c r="V62" s="2" t="str">
        <f aca="false">IF($B62="","",COUNTIFS(Datos_items!$B:$B,$B62,Datos_items!$AA:$AA,V$4,Datos_items!$E:$E,Analisis_grupo!$C$4))</f>
        <v/>
      </c>
      <c r="W62" s="2" t="str">
        <f aca="false">IF($B62="","",COUNTIFS(Datos_items!$B:$B,$B62,Datos_items!$AA:$AA,W$4,Datos_items!$E:$E,Analisis_grupo!$C$4))</f>
        <v/>
      </c>
      <c r="X62" s="2" t="str">
        <f aca="false">IF($B62="","",COUNTIFS(Datos_items!$B:$B,$B62,Datos_items!$AA:$AA,X$4,Datos_items!$E:$E,Analisis_grupo!$C$4))</f>
        <v/>
      </c>
      <c r="Y62" s="2" t="str">
        <f aca="false">IF($B62="","",COUNTIFS(Datos_items!$B:$B,$B62,Datos_items!$AA:$AA,Y$4,Datos_items!$E:$E,Analisis_grupo!$C$4))</f>
        <v/>
      </c>
      <c r="Z62" s="2" t="str">
        <f aca="false">IF($B62="","",COUNTIFS(Datos_items!$B:$B,$B62,Datos_items!$AA:$AA,Z$4,Datos_items!$E:$E,Analisis_grupo!$C$4))</f>
        <v/>
      </c>
      <c r="AA62" s="2" t="str">
        <f aca="false">IF($B62="","",COUNTIFS(Datos_items!$B:$B,$B62,Datos_items!$AA:$AA,AA$4,Datos_items!$E:$E,Analisis_grupo!$C$4))</f>
        <v/>
      </c>
      <c r="AB62" s="2" t="str">
        <f aca="false">IF($B62="","",COUNTIFS(Datos_items!$B:$B,$B62,Datos_items!$AA:$AA,AB$4,Datos_items!$E:$E,Analisis_grupo!$C$4))</f>
        <v/>
      </c>
      <c r="AC62" s="2" t="str">
        <f aca="false">IF($B62="","",COUNTIFS(Datos_items!$B:$B,$B62,Datos_items!$AA:$AA,AC$4,Datos_items!$E:$E,Analisis_grupo!$C$4))</f>
        <v/>
      </c>
      <c r="AD62" s="2" t="str">
        <f aca="false">IF($B62="","",COUNTIFS(Datos_items!$B:$B,$B62,Datos_items!$AA:$AA,AD$4,Datos_items!$E:$E,Analisis_grupo!$C$4))</f>
        <v/>
      </c>
      <c r="AE62" s="2" t="str">
        <f aca="false">IF($B62="","",COUNTIFS(Datos_items!$B:$B,$B62,Datos_items!$AA:$AA,AE$4,Datos_items!$E:$E,Analisis_grupo!$C$4))</f>
        <v/>
      </c>
      <c r="AF62" s="2" t="str">
        <f aca="false">IF($B62="","",COUNTIFS(Datos_items!$B:$B,$B62,Datos_items!$AA:$AA,AF$4,Datos_items!$E:$E,Analisis_grupo!$C$4))</f>
        <v/>
      </c>
      <c r="AG62" s="2" t="str">
        <f aca="false">IF($B62="","",COUNTIFS(Datos_items!$B:$B,$B62,Datos_items!$AA:$AA,AG$4,Datos_items!$E:$E,Analisis_grupo!$C$4))</f>
        <v/>
      </c>
      <c r="AH62" s="2" t="str">
        <f aca="false">IF($B62="","",COUNTIFS(Datos_items!$B:$B,$B62,Datos_items!$AA:$AA,AH$4,Datos_items!$E:$E,Analisis_grupo!$C$4))</f>
        <v/>
      </c>
      <c r="AI62" s="2" t="str">
        <f aca="false">IF($B62="","",COUNTIFS(Datos_items!$B:$B,$B62,Datos_items!$AA:$AA,AI$4,Datos_items!$E:$E,Analisis_grupo!$C$4))</f>
        <v/>
      </c>
      <c r="AJ62" s="2" t="str">
        <f aca="false">IF($B62="","",COUNTIFS(Datos_items!$B:$B,$B62,Datos_items!$AA:$AA,AJ$4,Datos_items!$E:$E,Analisis_grupo!$C$4))</f>
        <v/>
      </c>
      <c r="AK62" s="2" t="str">
        <f aca="false">IF($B62="","",COUNTIFS(Datos_items!$B:$B,$B62,Datos_items!$AA:$AA,AK$4,Datos_items!$E:$E,Analisis_grupo!$C$4))</f>
        <v/>
      </c>
      <c r="AL62" s="2" t="str">
        <f aca="false">IF($B62="","",COUNTIFS(Datos_items!$B:$B,$B62,Datos_items!$AA:$AA,AL$4,Datos_items!$E:$E,Analisis_grupo!$C$4))</f>
        <v/>
      </c>
      <c r="AM62" s="2" t="str">
        <f aca="false">IF($B62="","",IF(MAX(Y62:AL62)=0,"",INDEX($Y$4:$AL$4,MATCH(MAX(Y62:AL62),Y62:AL62,0))))</f>
        <v/>
      </c>
      <c r="AN62" s="2" t="str">
        <f aca="false">IF($B62="","",COUNTIFS(Datos_problemas!$B:$B,$B62,Datos_problemas!$F:$F,"Práctica"))</f>
        <v/>
      </c>
      <c r="AO62" s="2" t="str">
        <f aca="false">IF($B62="","",SUMIFS(Datos_problemas!$AQ:$AQ,Datos_problemas!$B:$B,$B62,Datos_problemas!$F:$F,"Práctica"))</f>
        <v/>
      </c>
      <c r="AP62" s="2" t="str">
        <f aca="false">IF($B62="","",COUNTIFS(Datos_problemas!$B:$B,$B62,Datos_problemas!$F:$F,"Práctica",Datos_problemas!$AS:$AS,"Sí"))</f>
        <v/>
      </c>
    </row>
    <row r="63" customFormat="false" ht="15" hidden="false" customHeight="false" outlineLevel="0" collapsed="false">
      <c r="A63" s="2" t="n">
        <v>59</v>
      </c>
      <c r="B63" s="2" t="str">
        <f aca="false">IFERROR(INDEX(Datos_problemas!$B:$B,MATCH($A63,Datos_problemas!$AV:$AV,0)),"")</f>
        <v/>
      </c>
      <c r="C63" s="2" t="str">
        <f aca="false">IF($B63="","",INDEX(Datos_problemas!$C:$C,MATCH($A63,Datos_problemas!$AV:$AV,0)))</f>
        <v/>
      </c>
      <c r="D63" s="2" t="str">
        <f aca="false">IF($B63="","",INDEX(Datos_problemas!$D:$D,MATCH($A63,Datos_problemas!$AV:$AV,0)))</f>
        <v/>
      </c>
      <c r="E63" s="2" t="str">
        <f aca="false">IF($B63="","",COUNTIFS(Datos_problemas!$B:$B,$B63,Datos_problemas!$F:$F,"Evaluación"))</f>
        <v/>
      </c>
      <c r="F63" s="20" t="str">
        <f aca="false">IF($B63="","",IFERROR(AVERAGEIFS(Datos_problemas!$AE:$AE,Datos_problemas!$B:$B,$B63,Datos_problemas!$F:$F,"Evaluación"),""))</f>
        <v/>
      </c>
      <c r="G63" s="20" t="str">
        <f aca="false">IF($B63="","",IFERROR(AVERAGEIFS(Datos_problemas!$AE:$AE,Datos_problemas!$B:$B,$B63,Datos_problemas!$F:$F,"Evaluación",Datos_problemas!$E:$E,"Diagnóstico"),""))</f>
        <v/>
      </c>
      <c r="H63" s="20" t="str">
        <f aca="false">IF($B63="","",IFERROR(AVERAGEIFS(Datos_problemas!$AE:$AE,Datos_problemas!$B:$B,$B63,Datos_problemas!$F:$F,"Evaluación",Datos_problemas!$E:$E,"Final"),""))</f>
        <v/>
      </c>
      <c r="I63" s="21" t="str">
        <f aca="false">IF(OR(G63="",H63=""),"",IF(G63&gt;=10,"",(H63-G63)/(10-G63)))</f>
        <v/>
      </c>
      <c r="J63" s="18" t="str">
        <f aca="false">IF($B63="","",IFERROR(SUMIFS(Datos_items!$Z:$Z,Datos_items!$B:$B,$B63,Datos_items!$O:$O,J$4,Datos_items!$E:$E,Analisis_grupo!$C$4)/COUNTIFS(Datos_items!$B:$B,$B63,Datos_items!$O:$O,J$4,Datos_items!$E:$E,Analisis_grupo!$C$4),""))</f>
        <v/>
      </c>
      <c r="K63" s="18" t="str">
        <f aca="false">IF($B63="","",IFERROR(SUMIFS(Datos_items!$Z:$Z,Datos_items!$B:$B,$B63,Datos_items!$O:$O,K$4,Datos_items!$E:$E,Analisis_grupo!$C$4)/COUNTIFS(Datos_items!$B:$B,$B63,Datos_items!$O:$O,K$4,Datos_items!$E:$E,Analisis_grupo!$C$4),""))</f>
        <v/>
      </c>
      <c r="L63" s="18" t="str">
        <f aca="false">IF($B63="","",IFERROR(SUMIFS(Datos_items!$Z:$Z,Datos_items!$B:$B,$B63,Datos_items!$O:$O,L$4,Datos_items!$E:$E,Analisis_grupo!$C$4)/COUNTIFS(Datos_items!$B:$B,$B63,Datos_items!$O:$O,L$4,Datos_items!$E:$E,Analisis_grupo!$C$4),""))</f>
        <v/>
      </c>
      <c r="M63" s="18" t="str">
        <f aca="false">IF($B63="","",IFERROR(SUMIFS(Datos_items!$Z:$Z,Datos_items!$B:$B,$B63,Datos_items!$O:$O,M$4,Datos_items!$E:$E,Analisis_grupo!$C$4)/COUNTIFS(Datos_items!$B:$B,$B63,Datos_items!$O:$O,M$4,Datos_items!$E:$E,Analisis_grupo!$C$4),""))</f>
        <v/>
      </c>
      <c r="N63" s="18" t="str">
        <f aca="false">IF($B63="","",IFERROR(SUMIFS(Datos_items!$Z:$Z,Datos_items!$B:$B,$B63,Datos_items!$O:$O,N$4,Datos_items!$E:$E,Analisis_grupo!$C$4)/COUNTIFS(Datos_items!$B:$B,$B63,Datos_items!$O:$O,N$4,Datos_items!$E:$E,Analisis_grupo!$C$4),""))</f>
        <v/>
      </c>
      <c r="O63" s="18" t="str">
        <f aca="false">IF($B63="","",IFERROR(SUMIFS(Datos_items!$Z:$Z,Datos_items!$B:$B,$B63,Datos_items!$O:$O,O$4,Datos_items!$E:$E,Analisis_grupo!$C$4)/COUNTIFS(Datos_items!$B:$B,$B63,Datos_items!$O:$O,O$4,Datos_items!$E:$E,Analisis_grupo!$C$4),""))</f>
        <v/>
      </c>
      <c r="P63" s="18" t="str">
        <f aca="false">IF($B63="","",IFERROR(SUMIFS(Datos_items!$Z:$Z,Datos_items!$B:$B,$B63,Datos_items!$O:$O,P$4,Datos_items!$E:$E,Analisis_grupo!$C$4)/COUNTIFS(Datos_items!$B:$B,$B63,Datos_items!$O:$O,P$4,Datos_items!$E:$E,Analisis_grupo!$C$4),""))</f>
        <v/>
      </c>
      <c r="Q63" s="18" t="str">
        <f aca="false">IF($B63="","",IFERROR(SUMIFS(Datos_items!$Z:$Z,Datos_items!$B:$B,$B63,Datos_items!$O:$O,Q$4,Datos_items!$E:$E,Analisis_grupo!$C$4)/COUNTIFS(Datos_items!$B:$B,$B63,Datos_items!$O:$O,Q$4,Datos_items!$E:$E,Analisis_grupo!$C$4),""))</f>
        <v/>
      </c>
      <c r="R63" s="2" t="str">
        <f aca="false">IF(COUNT(J63:Q63)=0,"",IF(MIN(J63:Q63)&gt;=Analisis_grupo!$B$7,"(ninguna)",INDEX($J$4:$Q$4,MATCH(MIN(J63:Q63),J63:Q63,0))))</f>
        <v/>
      </c>
      <c r="S63" s="2" t="str">
        <f aca="false">IF($B63="","",COUNTIF(J63:Q63,"&lt;"&amp;Analisis_grupo!$B$7))</f>
        <v/>
      </c>
      <c r="T63" s="2" t="str">
        <f aca="false">IF($B63="","",COUNTIFS(Datos_items!$B:$B,$B63,Datos_items!$AA:$AA,T$4,Datos_items!$E:$E,Analisis_grupo!$C$4))</f>
        <v/>
      </c>
      <c r="U63" s="2" t="str">
        <f aca="false">IF($B63="","",COUNTIFS(Datos_items!$B:$B,$B63,Datos_items!$AA:$AA,U$4,Datos_items!$E:$E,Analisis_grupo!$C$4))</f>
        <v/>
      </c>
      <c r="V63" s="2" t="str">
        <f aca="false">IF($B63="","",COUNTIFS(Datos_items!$B:$B,$B63,Datos_items!$AA:$AA,V$4,Datos_items!$E:$E,Analisis_grupo!$C$4))</f>
        <v/>
      </c>
      <c r="W63" s="2" t="str">
        <f aca="false">IF($B63="","",COUNTIFS(Datos_items!$B:$B,$B63,Datos_items!$AA:$AA,W$4,Datos_items!$E:$E,Analisis_grupo!$C$4))</f>
        <v/>
      </c>
      <c r="X63" s="2" t="str">
        <f aca="false">IF($B63="","",COUNTIFS(Datos_items!$B:$B,$B63,Datos_items!$AA:$AA,X$4,Datos_items!$E:$E,Analisis_grupo!$C$4))</f>
        <v/>
      </c>
      <c r="Y63" s="2" t="str">
        <f aca="false">IF($B63="","",COUNTIFS(Datos_items!$B:$B,$B63,Datos_items!$AA:$AA,Y$4,Datos_items!$E:$E,Analisis_grupo!$C$4))</f>
        <v/>
      </c>
      <c r="Z63" s="2" t="str">
        <f aca="false">IF($B63="","",COUNTIFS(Datos_items!$B:$B,$B63,Datos_items!$AA:$AA,Z$4,Datos_items!$E:$E,Analisis_grupo!$C$4))</f>
        <v/>
      </c>
      <c r="AA63" s="2" t="str">
        <f aca="false">IF($B63="","",COUNTIFS(Datos_items!$B:$B,$B63,Datos_items!$AA:$AA,AA$4,Datos_items!$E:$E,Analisis_grupo!$C$4))</f>
        <v/>
      </c>
      <c r="AB63" s="2" t="str">
        <f aca="false">IF($B63="","",COUNTIFS(Datos_items!$B:$B,$B63,Datos_items!$AA:$AA,AB$4,Datos_items!$E:$E,Analisis_grupo!$C$4))</f>
        <v/>
      </c>
      <c r="AC63" s="2" t="str">
        <f aca="false">IF($B63="","",COUNTIFS(Datos_items!$B:$B,$B63,Datos_items!$AA:$AA,AC$4,Datos_items!$E:$E,Analisis_grupo!$C$4))</f>
        <v/>
      </c>
      <c r="AD63" s="2" t="str">
        <f aca="false">IF($B63="","",COUNTIFS(Datos_items!$B:$B,$B63,Datos_items!$AA:$AA,AD$4,Datos_items!$E:$E,Analisis_grupo!$C$4))</f>
        <v/>
      </c>
      <c r="AE63" s="2" t="str">
        <f aca="false">IF($B63="","",COUNTIFS(Datos_items!$B:$B,$B63,Datos_items!$AA:$AA,AE$4,Datos_items!$E:$E,Analisis_grupo!$C$4))</f>
        <v/>
      </c>
      <c r="AF63" s="2" t="str">
        <f aca="false">IF($B63="","",COUNTIFS(Datos_items!$B:$B,$B63,Datos_items!$AA:$AA,AF$4,Datos_items!$E:$E,Analisis_grupo!$C$4))</f>
        <v/>
      </c>
      <c r="AG63" s="2" t="str">
        <f aca="false">IF($B63="","",COUNTIFS(Datos_items!$B:$B,$B63,Datos_items!$AA:$AA,AG$4,Datos_items!$E:$E,Analisis_grupo!$C$4))</f>
        <v/>
      </c>
      <c r="AH63" s="2" t="str">
        <f aca="false">IF($B63="","",COUNTIFS(Datos_items!$B:$B,$B63,Datos_items!$AA:$AA,AH$4,Datos_items!$E:$E,Analisis_grupo!$C$4))</f>
        <v/>
      </c>
      <c r="AI63" s="2" t="str">
        <f aca="false">IF($B63="","",COUNTIFS(Datos_items!$B:$B,$B63,Datos_items!$AA:$AA,AI$4,Datos_items!$E:$E,Analisis_grupo!$C$4))</f>
        <v/>
      </c>
      <c r="AJ63" s="2" t="str">
        <f aca="false">IF($B63="","",COUNTIFS(Datos_items!$B:$B,$B63,Datos_items!$AA:$AA,AJ$4,Datos_items!$E:$E,Analisis_grupo!$C$4))</f>
        <v/>
      </c>
      <c r="AK63" s="2" t="str">
        <f aca="false">IF($B63="","",COUNTIFS(Datos_items!$B:$B,$B63,Datos_items!$AA:$AA,AK$4,Datos_items!$E:$E,Analisis_grupo!$C$4))</f>
        <v/>
      </c>
      <c r="AL63" s="2" t="str">
        <f aca="false">IF($B63="","",COUNTIFS(Datos_items!$B:$B,$B63,Datos_items!$AA:$AA,AL$4,Datos_items!$E:$E,Analisis_grupo!$C$4))</f>
        <v/>
      </c>
      <c r="AM63" s="2" t="str">
        <f aca="false">IF($B63="","",IF(MAX(Y63:AL63)=0,"",INDEX($Y$4:$AL$4,MATCH(MAX(Y63:AL63),Y63:AL63,0))))</f>
        <v/>
      </c>
      <c r="AN63" s="2" t="str">
        <f aca="false">IF($B63="","",COUNTIFS(Datos_problemas!$B:$B,$B63,Datos_problemas!$F:$F,"Práctica"))</f>
        <v/>
      </c>
      <c r="AO63" s="2" t="str">
        <f aca="false">IF($B63="","",SUMIFS(Datos_problemas!$AQ:$AQ,Datos_problemas!$B:$B,$B63,Datos_problemas!$F:$F,"Práctica"))</f>
        <v/>
      </c>
      <c r="AP63" s="2" t="str">
        <f aca="false">IF($B63="","",COUNTIFS(Datos_problemas!$B:$B,$B63,Datos_problemas!$F:$F,"Práctica",Datos_problemas!$AS:$AS,"Sí"))</f>
        <v/>
      </c>
    </row>
    <row r="64" customFormat="false" ht="15" hidden="false" customHeight="false" outlineLevel="0" collapsed="false">
      <c r="A64" s="2" t="n">
        <v>60</v>
      </c>
      <c r="B64" s="2" t="str">
        <f aca="false">IFERROR(INDEX(Datos_problemas!$B:$B,MATCH($A64,Datos_problemas!$AV:$AV,0)),"")</f>
        <v/>
      </c>
      <c r="C64" s="2" t="str">
        <f aca="false">IF($B64="","",INDEX(Datos_problemas!$C:$C,MATCH($A64,Datos_problemas!$AV:$AV,0)))</f>
        <v/>
      </c>
      <c r="D64" s="2" t="str">
        <f aca="false">IF($B64="","",INDEX(Datos_problemas!$D:$D,MATCH($A64,Datos_problemas!$AV:$AV,0)))</f>
        <v/>
      </c>
      <c r="E64" s="2" t="str">
        <f aca="false">IF($B64="","",COUNTIFS(Datos_problemas!$B:$B,$B64,Datos_problemas!$F:$F,"Evaluación"))</f>
        <v/>
      </c>
      <c r="F64" s="20" t="str">
        <f aca="false">IF($B64="","",IFERROR(AVERAGEIFS(Datos_problemas!$AE:$AE,Datos_problemas!$B:$B,$B64,Datos_problemas!$F:$F,"Evaluación"),""))</f>
        <v/>
      </c>
      <c r="G64" s="20" t="str">
        <f aca="false">IF($B64="","",IFERROR(AVERAGEIFS(Datos_problemas!$AE:$AE,Datos_problemas!$B:$B,$B64,Datos_problemas!$F:$F,"Evaluación",Datos_problemas!$E:$E,"Diagnóstico"),""))</f>
        <v/>
      </c>
      <c r="H64" s="20" t="str">
        <f aca="false">IF($B64="","",IFERROR(AVERAGEIFS(Datos_problemas!$AE:$AE,Datos_problemas!$B:$B,$B64,Datos_problemas!$F:$F,"Evaluación",Datos_problemas!$E:$E,"Final"),""))</f>
        <v/>
      </c>
      <c r="I64" s="21" t="str">
        <f aca="false">IF(OR(G64="",H64=""),"",IF(G64&gt;=10,"",(H64-G64)/(10-G64)))</f>
        <v/>
      </c>
      <c r="J64" s="18" t="str">
        <f aca="false">IF($B64="","",IFERROR(SUMIFS(Datos_items!$Z:$Z,Datos_items!$B:$B,$B64,Datos_items!$O:$O,J$4,Datos_items!$E:$E,Analisis_grupo!$C$4)/COUNTIFS(Datos_items!$B:$B,$B64,Datos_items!$O:$O,J$4,Datos_items!$E:$E,Analisis_grupo!$C$4),""))</f>
        <v/>
      </c>
      <c r="K64" s="18" t="str">
        <f aca="false">IF($B64="","",IFERROR(SUMIFS(Datos_items!$Z:$Z,Datos_items!$B:$B,$B64,Datos_items!$O:$O,K$4,Datos_items!$E:$E,Analisis_grupo!$C$4)/COUNTIFS(Datos_items!$B:$B,$B64,Datos_items!$O:$O,K$4,Datos_items!$E:$E,Analisis_grupo!$C$4),""))</f>
        <v/>
      </c>
      <c r="L64" s="18" t="str">
        <f aca="false">IF($B64="","",IFERROR(SUMIFS(Datos_items!$Z:$Z,Datos_items!$B:$B,$B64,Datos_items!$O:$O,L$4,Datos_items!$E:$E,Analisis_grupo!$C$4)/COUNTIFS(Datos_items!$B:$B,$B64,Datos_items!$O:$O,L$4,Datos_items!$E:$E,Analisis_grupo!$C$4),""))</f>
        <v/>
      </c>
      <c r="M64" s="18" t="str">
        <f aca="false">IF($B64="","",IFERROR(SUMIFS(Datos_items!$Z:$Z,Datos_items!$B:$B,$B64,Datos_items!$O:$O,M$4,Datos_items!$E:$E,Analisis_grupo!$C$4)/COUNTIFS(Datos_items!$B:$B,$B64,Datos_items!$O:$O,M$4,Datos_items!$E:$E,Analisis_grupo!$C$4),""))</f>
        <v/>
      </c>
      <c r="N64" s="18" t="str">
        <f aca="false">IF($B64="","",IFERROR(SUMIFS(Datos_items!$Z:$Z,Datos_items!$B:$B,$B64,Datos_items!$O:$O,N$4,Datos_items!$E:$E,Analisis_grupo!$C$4)/COUNTIFS(Datos_items!$B:$B,$B64,Datos_items!$O:$O,N$4,Datos_items!$E:$E,Analisis_grupo!$C$4),""))</f>
        <v/>
      </c>
      <c r="O64" s="18" t="str">
        <f aca="false">IF($B64="","",IFERROR(SUMIFS(Datos_items!$Z:$Z,Datos_items!$B:$B,$B64,Datos_items!$O:$O,O$4,Datos_items!$E:$E,Analisis_grupo!$C$4)/COUNTIFS(Datos_items!$B:$B,$B64,Datos_items!$O:$O,O$4,Datos_items!$E:$E,Analisis_grupo!$C$4),""))</f>
        <v/>
      </c>
      <c r="P64" s="18" t="str">
        <f aca="false">IF($B64="","",IFERROR(SUMIFS(Datos_items!$Z:$Z,Datos_items!$B:$B,$B64,Datos_items!$O:$O,P$4,Datos_items!$E:$E,Analisis_grupo!$C$4)/COUNTIFS(Datos_items!$B:$B,$B64,Datos_items!$O:$O,P$4,Datos_items!$E:$E,Analisis_grupo!$C$4),""))</f>
        <v/>
      </c>
      <c r="Q64" s="18" t="str">
        <f aca="false">IF($B64="","",IFERROR(SUMIFS(Datos_items!$Z:$Z,Datos_items!$B:$B,$B64,Datos_items!$O:$O,Q$4,Datos_items!$E:$E,Analisis_grupo!$C$4)/COUNTIFS(Datos_items!$B:$B,$B64,Datos_items!$O:$O,Q$4,Datos_items!$E:$E,Analisis_grupo!$C$4),""))</f>
        <v/>
      </c>
      <c r="R64" s="2" t="str">
        <f aca="false">IF(COUNT(J64:Q64)=0,"",IF(MIN(J64:Q64)&gt;=Analisis_grupo!$B$7,"(ninguna)",INDEX($J$4:$Q$4,MATCH(MIN(J64:Q64),J64:Q64,0))))</f>
        <v/>
      </c>
      <c r="S64" s="2" t="str">
        <f aca="false">IF($B64="","",COUNTIF(J64:Q64,"&lt;"&amp;Analisis_grupo!$B$7))</f>
        <v/>
      </c>
      <c r="T64" s="2" t="str">
        <f aca="false">IF($B64="","",COUNTIFS(Datos_items!$B:$B,$B64,Datos_items!$AA:$AA,T$4,Datos_items!$E:$E,Analisis_grupo!$C$4))</f>
        <v/>
      </c>
      <c r="U64" s="2" t="str">
        <f aca="false">IF($B64="","",COUNTIFS(Datos_items!$B:$B,$B64,Datos_items!$AA:$AA,U$4,Datos_items!$E:$E,Analisis_grupo!$C$4))</f>
        <v/>
      </c>
      <c r="V64" s="2" t="str">
        <f aca="false">IF($B64="","",COUNTIFS(Datos_items!$B:$B,$B64,Datos_items!$AA:$AA,V$4,Datos_items!$E:$E,Analisis_grupo!$C$4))</f>
        <v/>
      </c>
      <c r="W64" s="2" t="str">
        <f aca="false">IF($B64="","",COUNTIFS(Datos_items!$B:$B,$B64,Datos_items!$AA:$AA,W$4,Datos_items!$E:$E,Analisis_grupo!$C$4))</f>
        <v/>
      </c>
      <c r="X64" s="2" t="str">
        <f aca="false">IF($B64="","",COUNTIFS(Datos_items!$B:$B,$B64,Datos_items!$AA:$AA,X$4,Datos_items!$E:$E,Analisis_grupo!$C$4))</f>
        <v/>
      </c>
      <c r="Y64" s="2" t="str">
        <f aca="false">IF($B64="","",COUNTIFS(Datos_items!$B:$B,$B64,Datos_items!$AA:$AA,Y$4,Datos_items!$E:$E,Analisis_grupo!$C$4))</f>
        <v/>
      </c>
      <c r="Z64" s="2" t="str">
        <f aca="false">IF($B64="","",COUNTIFS(Datos_items!$B:$B,$B64,Datos_items!$AA:$AA,Z$4,Datos_items!$E:$E,Analisis_grupo!$C$4))</f>
        <v/>
      </c>
      <c r="AA64" s="2" t="str">
        <f aca="false">IF($B64="","",COUNTIFS(Datos_items!$B:$B,$B64,Datos_items!$AA:$AA,AA$4,Datos_items!$E:$E,Analisis_grupo!$C$4))</f>
        <v/>
      </c>
      <c r="AB64" s="2" t="str">
        <f aca="false">IF($B64="","",COUNTIFS(Datos_items!$B:$B,$B64,Datos_items!$AA:$AA,AB$4,Datos_items!$E:$E,Analisis_grupo!$C$4))</f>
        <v/>
      </c>
      <c r="AC64" s="2" t="str">
        <f aca="false">IF($B64="","",COUNTIFS(Datos_items!$B:$B,$B64,Datos_items!$AA:$AA,AC$4,Datos_items!$E:$E,Analisis_grupo!$C$4))</f>
        <v/>
      </c>
      <c r="AD64" s="2" t="str">
        <f aca="false">IF($B64="","",COUNTIFS(Datos_items!$B:$B,$B64,Datos_items!$AA:$AA,AD$4,Datos_items!$E:$E,Analisis_grupo!$C$4))</f>
        <v/>
      </c>
      <c r="AE64" s="2" t="str">
        <f aca="false">IF($B64="","",COUNTIFS(Datos_items!$B:$B,$B64,Datos_items!$AA:$AA,AE$4,Datos_items!$E:$E,Analisis_grupo!$C$4))</f>
        <v/>
      </c>
      <c r="AF64" s="2" t="str">
        <f aca="false">IF($B64="","",COUNTIFS(Datos_items!$B:$B,$B64,Datos_items!$AA:$AA,AF$4,Datos_items!$E:$E,Analisis_grupo!$C$4))</f>
        <v/>
      </c>
      <c r="AG64" s="2" t="str">
        <f aca="false">IF($B64="","",COUNTIFS(Datos_items!$B:$B,$B64,Datos_items!$AA:$AA,AG$4,Datos_items!$E:$E,Analisis_grupo!$C$4))</f>
        <v/>
      </c>
      <c r="AH64" s="2" t="str">
        <f aca="false">IF($B64="","",COUNTIFS(Datos_items!$B:$B,$B64,Datos_items!$AA:$AA,AH$4,Datos_items!$E:$E,Analisis_grupo!$C$4))</f>
        <v/>
      </c>
      <c r="AI64" s="2" t="str">
        <f aca="false">IF($B64="","",COUNTIFS(Datos_items!$B:$B,$B64,Datos_items!$AA:$AA,AI$4,Datos_items!$E:$E,Analisis_grupo!$C$4))</f>
        <v/>
      </c>
      <c r="AJ64" s="2" t="str">
        <f aca="false">IF($B64="","",COUNTIFS(Datos_items!$B:$B,$B64,Datos_items!$AA:$AA,AJ$4,Datos_items!$E:$E,Analisis_grupo!$C$4))</f>
        <v/>
      </c>
      <c r="AK64" s="2" t="str">
        <f aca="false">IF($B64="","",COUNTIFS(Datos_items!$B:$B,$B64,Datos_items!$AA:$AA,AK$4,Datos_items!$E:$E,Analisis_grupo!$C$4))</f>
        <v/>
      </c>
      <c r="AL64" s="2" t="str">
        <f aca="false">IF($B64="","",COUNTIFS(Datos_items!$B:$B,$B64,Datos_items!$AA:$AA,AL$4,Datos_items!$E:$E,Analisis_grupo!$C$4))</f>
        <v/>
      </c>
      <c r="AM64" s="2" t="str">
        <f aca="false">IF($B64="","",IF(MAX(Y64:AL64)=0,"",INDEX($Y$4:$AL$4,MATCH(MAX(Y64:AL64),Y64:AL64,0))))</f>
        <v/>
      </c>
      <c r="AN64" s="2" t="str">
        <f aca="false">IF($B64="","",COUNTIFS(Datos_problemas!$B:$B,$B64,Datos_problemas!$F:$F,"Práctica"))</f>
        <v/>
      </c>
      <c r="AO64" s="2" t="str">
        <f aca="false">IF($B64="","",SUMIFS(Datos_problemas!$AQ:$AQ,Datos_problemas!$B:$B,$B64,Datos_problemas!$F:$F,"Práctica"))</f>
        <v/>
      </c>
      <c r="AP64" s="2" t="str">
        <f aca="false">IF($B64="","",COUNTIFS(Datos_problemas!$B:$B,$B64,Datos_problemas!$F:$F,"Práctica",Datos_problemas!$AS:$AS,"Sí"))</f>
        <v/>
      </c>
    </row>
    <row r="65" customFormat="false" ht="15" hidden="false" customHeight="false" outlineLevel="0" collapsed="false">
      <c r="A65" s="2" t="n">
        <v>61</v>
      </c>
      <c r="B65" s="2" t="str">
        <f aca="false">IFERROR(INDEX(Datos_problemas!$B:$B,MATCH($A65,Datos_problemas!$AV:$AV,0)),"")</f>
        <v/>
      </c>
      <c r="C65" s="2" t="str">
        <f aca="false">IF($B65="","",INDEX(Datos_problemas!$C:$C,MATCH($A65,Datos_problemas!$AV:$AV,0)))</f>
        <v/>
      </c>
      <c r="D65" s="2" t="str">
        <f aca="false">IF($B65="","",INDEX(Datos_problemas!$D:$D,MATCH($A65,Datos_problemas!$AV:$AV,0)))</f>
        <v/>
      </c>
      <c r="E65" s="2" t="str">
        <f aca="false">IF($B65="","",COUNTIFS(Datos_problemas!$B:$B,$B65,Datos_problemas!$F:$F,"Evaluación"))</f>
        <v/>
      </c>
      <c r="F65" s="20" t="str">
        <f aca="false">IF($B65="","",IFERROR(AVERAGEIFS(Datos_problemas!$AE:$AE,Datos_problemas!$B:$B,$B65,Datos_problemas!$F:$F,"Evaluación"),""))</f>
        <v/>
      </c>
      <c r="G65" s="20" t="str">
        <f aca="false">IF($B65="","",IFERROR(AVERAGEIFS(Datos_problemas!$AE:$AE,Datos_problemas!$B:$B,$B65,Datos_problemas!$F:$F,"Evaluación",Datos_problemas!$E:$E,"Diagnóstico"),""))</f>
        <v/>
      </c>
      <c r="H65" s="20" t="str">
        <f aca="false">IF($B65="","",IFERROR(AVERAGEIFS(Datos_problemas!$AE:$AE,Datos_problemas!$B:$B,$B65,Datos_problemas!$F:$F,"Evaluación",Datos_problemas!$E:$E,"Final"),""))</f>
        <v/>
      </c>
      <c r="I65" s="21" t="str">
        <f aca="false">IF(OR(G65="",H65=""),"",IF(G65&gt;=10,"",(H65-G65)/(10-G65)))</f>
        <v/>
      </c>
      <c r="J65" s="18" t="str">
        <f aca="false">IF($B65="","",IFERROR(SUMIFS(Datos_items!$Z:$Z,Datos_items!$B:$B,$B65,Datos_items!$O:$O,J$4,Datos_items!$E:$E,Analisis_grupo!$C$4)/COUNTIFS(Datos_items!$B:$B,$B65,Datos_items!$O:$O,J$4,Datos_items!$E:$E,Analisis_grupo!$C$4),""))</f>
        <v/>
      </c>
      <c r="K65" s="18" t="str">
        <f aca="false">IF($B65="","",IFERROR(SUMIFS(Datos_items!$Z:$Z,Datos_items!$B:$B,$B65,Datos_items!$O:$O,K$4,Datos_items!$E:$E,Analisis_grupo!$C$4)/COUNTIFS(Datos_items!$B:$B,$B65,Datos_items!$O:$O,K$4,Datos_items!$E:$E,Analisis_grupo!$C$4),""))</f>
        <v/>
      </c>
      <c r="L65" s="18" t="str">
        <f aca="false">IF($B65="","",IFERROR(SUMIFS(Datos_items!$Z:$Z,Datos_items!$B:$B,$B65,Datos_items!$O:$O,L$4,Datos_items!$E:$E,Analisis_grupo!$C$4)/COUNTIFS(Datos_items!$B:$B,$B65,Datos_items!$O:$O,L$4,Datos_items!$E:$E,Analisis_grupo!$C$4),""))</f>
        <v/>
      </c>
      <c r="M65" s="18" t="str">
        <f aca="false">IF($B65="","",IFERROR(SUMIFS(Datos_items!$Z:$Z,Datos_items!$B:$B,$B65,Datos_items!$O:$O,M$4,Datos_items!$E:$E,Analisis_grupo!$C$4)/COUNTIFS(Datos_items!$B:$B,$B65,Datos_items!$O:$O,M$4,Datos_items!$E:$E,Analisis_grupo!$C$4),""))</f>
        <v/>
      </c>
      <c r="N65" s="18" t="str">
        <f aca="false">IF($B65="","",IFERROR(SUMIFS(Datos_items!$Z:$Z,Datos_items!$B:$B,$B65,Datos_items!$O:$O,N$4,Datos_items!$E:$E,Analisis_grupo!$C$4)/COUNTIFS(Datos_items!$B:$B,$B65,Datos_items!$O:$O,N$4,Datos_items!$E:$E,Analisis_grupo!$C$4),""))</f>
        <v/>
      </c>
      <c r="O65" s="18" t="str">
        <f aca="false">IF($B65="","",IFERROR(SUMIFS(Datos_items!$Z:$Z,Datos_items!$B:$B,$B65,Datos_items!$O:$O,O$4,Datos_items!$E:$E,Analisis_grupo!$C$4)/COUNTIFS(Datos_items!$B:$B,$B65,Datos_items!$O:$O,O$4,Datos_items!$E:$E,Analisis_grupo!$C$4),""))</f>
        <v/>
      </c>
      <c r="P65" s="18" t="str">
        <f aca="false">IF($B65="","",IFERROR(SUMIFS(Datos_items!$Z:$Z,Datos_items!$B:$B,$B65,Datos_items!$O:$O,P$4,Datos_items!$E:$E,Analisis_grupo!$C$4)/COUNTIFS(Datos_items!$B:$B,$B65,Datos_items!$O:$O,P$4,Datos_items!$E:$E,Analisis_grupo!$C$4),""))</f>
        <v/>
      </c>
      <c r="Q65" s="18" t="str">
        <f aca="false">IF($B65="","",IFERROR(SUMIFS(Datos_items!$Z:$Z,Datos_items!$B:$B,$B65,Datos_items!$O:$O,Q$4,Datos_items!$E:$E,Analisis_grupo!$C$4)/COUNTIFS(Datos_items!$B:$B,$B65,Datos_items!$O:$O,Q$4,Datos_items!$E:$E,Analisis_grupo!$C$4),""))</f>
        <v/>
      </c>
      <c r="R65" s="2" t="str">
        <f aca="false">IF(COUNT(J65:Q65)=0,"",IF(MIN(J65:Q65)&gt;=Analisis_grupo!$B$7,"(ninguna)",INDEX($J$4:$Q$4,MATCH(MIN(J65:Q65),J65:Q65,0))))</f>
        <v/>
      </c>
      <c r="S65" s="2" t="str">
        <f aca="false">IF($B65="","",COUNTIF(J65:Q65,"&lt;"&amp;Analisis_grupo!$B$7))</f>
        <v/>
      </c>
      <c r="T65" s="2" t="str">
        <f aca="false">IF($B65="","",COUNTIFS(Datos_items!$B:$B,$B65,Datos_items!$AA:$AA,T$4,Datos_items!$E:$E,Analisis_grupo!$C$4))</f>
        <v/>
      </c>
      <c r="U65" s="2" t="str">
        <f aca="false">IF($B65="","",COUNTIFS(Datos_items!$B:$B,$B65,Datos_items!$AA:$AA,U$4,Datos_items!$E:$E,Analisis_grupo!$C$4))</f>
        <v/>
      </c>
      <c r="V65" s="2" t="str">
        <f aca="false">IF($B65="","",COUNTIFS(Datos_items!$B:$B,$B65,Datos_items!$AA:$AA,V$4,Datos_items!$E:$E,Analisis_grupo!$C$4))</f>
        <v/>
      </c>
      <c r="W65" s="2" t="str">
        <f aca="false">IF($B65="","",COUNTIFS(Datos_items!$B:$B,$B65,Datos_items!$AA:$AA,W$4,Datos_items!$E:$E,Analisis_grupo!$C$4))</f>
        <v/>
      </c>
      <c r="X65" s="2" t="str">
        <f aca="false">IF($B65="","",COUNTIFS(Datos_items!$B:$B,$B65,Datos_items!$AA:$AA,X$4,Datos_items!$E:$E,Analisis_grupo!$C$4))</f>
        <v/>
      </c>
      <c r="Y65" s="2" t="str">
        <f aca="false">IF($B65="","",COUNTIFS(Datos_items!$B:$B,$B65,Datos_items!$AA:$AA,Y$4,Datos_items!$E:$E,Analisis_grupo!$C$4))</f>
        <v/>
      </c>
      <c r="Z65" s="2" t="str">
        <f aca="false">IF($B65="","",COUNTIFS(Datos_items!$B:$B,$B65,Datos_items!$AA:$AA,Z$4,Datos_items!$E:$E,Analisis_grupo!$C$4))</f>
        <v/>
      </c>
      <c r="AA65" s="2" t="str">
        <f aca="false">IF($B65="","",COUNTIFS(Datos_items!$B:$B,$B65,Datos_items!$AA:$AA,AA$4,Datos_items!$E:$E,Analisis_grupo!$C$4))</f>
        <v/>
      </c>
      <c r="AB65" s="2" t="str">
        <f aca="false">IF($B65="","",COUNTIFS(Datos_items!$B:$B,$B65,Datos_items!$AA:$AA,AB$4,Datos_items!$E:$E,Analisis_grupo!$C$4))</f>
        <v/>
      </c>
      <c r="AC65" s="2" t="str">
        <f aca="false">IF($B65="","",COUNTIFS(Datos_items!$B:$B,$B65,Datos_items!$AA:$AA,AC$4,Datos_items!$E:$E,Analisis_grupo!$C$4))</f>
        <v/>
      </c>
      <c r="AD65" s="2" t="str">
        <f aca="false">IF($B65="","",COUNTIFS(Datos_items!$B:$B,$B65,Datos_items!$AA:$AA,AD$4,Datos_items!$E:$E,Analisis_grupo!$C$4))</f>
        <v/>
      </c>
      <c r="AE65" s="2" t="str">
        <f aca="false">IF($B65="","",COUNTIFS(Datos_items!$B:$B,$B65,Datos_items!$AA:$AA,AE$4,Datos_items!$E:$E,Analisis_grupo!$C$4))</f>
        <v/>
      </c>
      <c r="AF65" s="2" t="str">
        <f aca="false">IF($B65="","",COUNTIFS(Datos_items!$B:$B,$B65,Datos_items!$AA:$AA,AF$4,Datos_items!$E:$E,Analisis_grupo!$C$4))</f>
        <v/>
      </c>
      <c r="AG65" s="2" t="str">
        <f aca="false">IF($B65="","",COUNTIFS(Datos_items!$B:$B,$B65,Datos_items!$AA:$AA,AG$4,Datos_items!$E:$E,Analisis_grupo!$C$4))</f>
        <v/>
      </c>
      <c r="AH65" s="2" t="str">
        <f aca="false">IF($B65="","",COUNTIFS(Datos_items!$B:$B,$B65,Datos_items!$AA:$AA,AH$4,Datos_items!$E:$E,Analisis_grupo!$C$4))</f>
        <v/>
      </c>
      <c r="AI65" s="2" t="str">
        <f aca="false">IF($B65="","",COUNTIFS(Datos_items!$B:$B,$B65,Datos_items!$AA:$AA,AI$4,Datos_items!$E:$E,Analisis_grupo!$C$4))</f>
        <v/>
      </c>
      <c r="AJ65" s="2" t="str">
        <f aca="false">IF($B65="","",COUNTIFS(Datos_items!$B:$B,$B65,Datos_items!$AA:$AA,AJ$4,Datos_items!$E:$E,Analisis_grupo!$C$4))</f>
        <v/>
      </c>
      <c r="AK65" s="2" t="str">
        <f aca="false">IF($B65="","",COUNTIFS(Datos_items!$B:$B,$B65,Datos_items!$AA:$AA,AK$4,Datos_items!$E:$E,Analisis_grupo!$C$4))</f>
        <v/>
      </c>
      <c r="AL65" s="2" t="str">
        <f aca="false">IF($B65="","",COUNTIFS(Datos_items!$B:$B,$B65,Datos_items!$AA:$AA,AL$4,Datos_items!$E:$E,Analisis_grupo!$C$4))</f>
        <v/>
      </c>
      <c r="AM65" s="2" t="str">
        <f aca="false">IF($B65="","",IF(MAX(Y65:AL65)=0,"",INDEX($Y$4:$AL$4,MATCH(MAX(Y65:AL65),Y65:AL65,0))))</f>
        <v/>
      </c>
      <c r="AN65" s="2" t="str">
        <f aca="false">IF($B65="","",COUNTIFS(Datos_problemas!$B:$B,$B65,Datos_problemas!$F:$F,"Práctica"))</f>
        <v/>
      </c>
      <c r="AO65" s="2" t="str">
        <f aca="false">IF($B65="","",SUMIFS(Datos_problemas!$AQ:$AQ,Datos_problemas!$B:$B,$B65,Datos_problemas!$F:$F,"Práctica"))</f>
        <v/>
      </c>
      <c r="AP65" s="2" t="str">
        <f aca="false">IF($B65="","",COUNTIFS(Datos_problemas!$B:$B,$B65,Datos_problemas!$F:$F,"Práctica",Datos_problemas!$AS:$AS,"Sí"))</f>
        <v/>
      </c>
    </row>
    <row r="66" customFormat="false" ht="15" hidden="false" customHeight="false" outlineLevel="0" collapsed="false">
      <c r="A66" s="2" t="n">
        <v>62</v>
      </c>
      <c r="B66" s="2" t="str">
        <f aca="false">IFERROR(INDEX(Datos_problemas!$B:$B,MATCH($A66,Datos_problemas!$AV:$AV,0)),"")</f>
        <v/>
      </c>
      <c r="C66" s="2" t="str">
        <f aca="false">IF($B66="","",INDEX(Datos_problemas!$C:$C,MATCH($A66,Datos_problemas!$AV:$AV,0)))</f>
        <v/>
      </c>
      <c r="D66" s="2" t="str">
        <f aca="false">IF($B66="","",INDEX(Datos_problemas!$D:$D,MATCH($A66,Datos_problemas!$AV:$AV,0)))</f>
        <v/>
      </c>
      <c r="E66" s="2" t="str">
        <f aca="false">IF($B66="","",COUNTIFS(Datos_problemas!$B:$B,$B66,Datos_problemas!$F:$F,"Evaluación"))</f>
        <v/>
      </c>
      <c r="F66" s="20" t="str">
        <f aca="false">IF($B66="","",IFERROR(AVERAGEIFS(Datos_problemas!$AE:$AE,Datos_problemas!$B:$B,$B66,Datos_problemas!$F:$F,"Evaluación"),""))</f>
        <v/>
      </c>
      <c r="G66" s="20" t="str">
        <f aca="false">IF($B66="","",IFERROR(AVERAGEIFS(Datos_problemas!$AE:$AE,Datos_problemas!$B:$B,$B66,Datos_problemas!$F:$F,"Evaluación",Datos_problemas!$E:$E,"Diagnóstico"),""))</f>
        <v/>
      </c>
      <c r="H66" s="20" t="str">
        <f aca="false">IF($B66="","",IFERROR(AVERAGEIFS(Datos_problemas!$AE:$AE,Datos_problemas!$B:$B,$B66,Datos_problemas!$F:$F,"Evaluación",Datos_problemas!$E:$E,"Final"),""))</f>
        <v/>
      </c>
      <c r="I66" s="21" t="str">
        <f aca="false">IF(OR(G66="",H66=""),"",IF(G66&gt;=10,"",(H66-G66)/(10-G66)))</f>
        <v/>
      </c>
      <c r="J66" s="18" t="str">
        <f aca="false">IF($B66="","",IFERROR(SUMIFS(Datos_items!$Z:$Z,Datos_items!$B:$B,$B66,Datos_items!$O:$O,J$4,Datos_items!$E:$E,Analisis_grupo!$C$4)/COUNTIFS(Datos_items!$B:$B,$B66,Datos_items!$O:$O,J$4,Datos_items!$E:$E,Analisis_grupo!$C$4),""))</f>
        <v/>
      </c>
      <c r="K66" s="18" t="str">
        <f aca="false">IF($B66="","",IFERROR(SUMIFS(Datos_items!$Z:$Z,Datos_items!$B:$B,$B66,Datos_items!$O:$O,K$4,Datos_items!$E:$E,Analisis_grupo!$C$4)/COUNTIFS(Datos_items!$B:$B,$B66,Datos_items!$O:$O,K$4,Datos_items!$E:$E,Analisis_grupo!$C$4),""))</f>
        <v/>
      </c>
      <c r="L66" s="18" t="str">
        <f aca="false">IF($B66="","",IFERROR(SUMIFS(Datos_items!$Z:$Z,Datos_items!$B:$B,$B66,Datos_items!$O:$O,L$4,Datos_items!$E:$E,Analisis_grupo!$C$4)/COUNTIFS(Datos_items!$B:$B,$B66,Datos_items!$O:$O,L$4,Datos_items!$E:$E,Analisis_grupo!$C$4),""))</f>
        <v/>
      </c>
      <c r="M66" s="18" t="str">
        <f aca="false">IF($B66="","",IFERROR(SUMIFS(Datos_items!$Z:$Z,Datos_items!$B:$B,$B66,Datos_items!$O:$O,M$4,Datos_items!$E:$E,Analisis_grupo!$C$4)/COUNTIFS(Datos_items!$B:$B,$B66,Datos_items!$O:$O,M$4,Datos_items!$E:$E,Analisis_grupo!$C$4),""))</f>
        <v/>
      </c>
      <c r="N66" s="18" t="str">
        <f aca="false">IF($B66="","",IFERROR(SUMIFS(Datos_items!$Z:$Z,Datos_items!$B:$B,$B66,Datos_items!$O:$O,N$4,Datos_items!$E:$E,Analisis_grupo!$C$4)/COUNTIFS(Datos_items!$B:$B,$B66,Datos_items!$O:$O,N$4,Datos_items!$E:$E,Analisis_grupo!$C$4),""))</f>
        <v/>
      </c>
      <c r="O66" s="18" t="str">
        <f aca="false">IF($B66="","",IFERROR(SUMIFS(Datos_items!$Z:$Z,Datos_items!$B:$B,$B66,Datos_items!$O:$O,O$4,Datos_items!$E:$E,Analisis_grupo!$C$4)/COUNTIFS(Datos_items!$B:$B,$B66,Datos_items!$O:$O,O$4,Datos_items!$E:$E,Analisis_grupo!$C$4),""))</f>
        <v/>
      </c>
      <c r="P66" s="18" t="str">
        <f aca="false">IF($B66="","",IFERROR(SUMIFS(Datos_items!$Z:$Z,Datos_items!$B:$B,$B66,Datos_items!$O:$O,P$4,Datos_items!$E:$E,Analisis_grupo!$C$4)/COUNTIFS(Datos_items!$B:$B,$B66,Datos_items!$O:$O,P$4,Datos_items!$E:$E,Analisis_grupo!$C$4),""))</f>
        <v/>
      </c>
      <c r="Q66" s="18" t="str">
        <f aca="false">IF($B66="","",IFERROR(SUMIFS(Datos_items!$Z:$Z,Datos_items!$B:$B,$B66,Datos_items!$O:$O,Q$4,Datos_items!$E:$E,Analisis_grupo!$C$4)/COUNTIFS(Datos_items!$B:$B,$B66,Datos_items!$O:$O,Q$4,Datos_items!$E:$E,Analisis_grupo!$C$4),""))</f>
        <v/>
      </c>
      <c r="R66" s="2" t="str">
        <f aca="false">IF(COUNT(J66:Q66)=0,"",IF(MIN(J66:Q66)&gt;=Analisis_grupo!$B$7,"(ninguna)",INDEX($J$4:$Q$4,MATCH(MIN(J66:Q66),J66:Q66,0))))</f>
        <v/>
      </c>
      <c r="S66" s="2" t="str">
        <f aca="false">IF($B66="","",COUNTIF(J66:Q66,"&lt;"&amp;Analisis_grupo!$B$7))</f>
        <v/>
      </c>
      <c r="T66" s="2" t="str">
        <f aca="false">IF($B66="","",COUNTIFS(Datos_items!$B:$B,$B66,Datos_items!$AA:$AA,T$4,Datos_items!$E:$E,Analisis_grupo!$C$4))</f>
        <v/>
      </c>
      <c r="U66" s="2" t="str">
        <f aca="false">IF($B66="","",COUNTIFS(Datos_items!$B:$B,$B66,Datos_items!$AA:$AA,U$4,Datos_items!$E:$E,Analisis_grupo!$C$4))</f>
        <v/>
      </c>
      <c r="V66" s="2" t="str">
        <f aca="false">IF($B66="","",COUNTIFS(Datos_items!$B:$B,$B66,Datos_items!$AA:$AA,V$4,Datos_items!$E:$E,Analisis_grupo!$C$4))</f>
        <v/>
      </c>
      <c r="W66" s="2" t="str">
        <f aca="false">IF($B66="","",COUNTIFS(Datos_items!$B:$B,$B66,Datos_items!$AA:$AA,W$4,Datos_items!$E:$E,Analisis_grupo!$C$4))</f>
        <v/>
      </c>
      <c r="X66" s="2" t="str">
        <f aca="false">IF($B66="","",COUNTIFS(Datos_items!$B:$B,$B66,Datos_items!$AA:$AA,X$4,Datos_items!$E:$E,Analisis_grupo!$C$4))</f>
        <v/>
      </c>
      <c r="Y66" s="2" t="str">
        <f aca="false">IF($B66="","",COUNTIFS(Datos_items!$B:$B,$B66,Datos_items!$AA:$AA,Y$4,Datos_items!$E:$E,Analisis_grupo!$C$4))</f>
        <v/>
      </c>
      <c r="Z66" s="2" t="str">
        <f aca="false">IF($B66="","",COUNTIFS(Datos_items!$B:$B,$B66,Datos_items!$AA:$AA,Z$4,Datos_items!$E:$E,Analisis_grupo!$C$4))</f>
        <v/>
      </c>
      <c r="AA66" s="2" t="str">
        <f aca="false">IF($B66="","",COUNTIFS(Datos_items!$B:$B,$B66,Datos_items!$AA:$AA,AA$4,Datos_items!$E:$E,Analisis_grupo!$C$4))</f>
        <v/>
      </c>
      <c r="AB66" s="2" t="str">
        <f aca="false">IF($B66="","",COUNTIFS(Datos_items!$B:$B,$B66,Datos_items!$AA:$AA,AB$4,Datos_items!$E:$E,Analisis_grupo!$C$4))</f>
        <v/>
      </c>
      <c r="AC66" s="2" t="str">
        <f aca="false">IF($B66="","",COUNTIFS(Datos_items!$B:$B,$B66,Datos_items!$AA:$AA,AC$4,Datos_items!$E:$E,Analisis_grupo!$C$4))</f>
        <v/>
      </c>
      <c r="AD66" s="2" t="str">
        <f aca="false">IF($B66="","",COUNTIFS(Datos_items!$B:$B,$B66,Datos_items!$AA:$AA,AD$4,Datos_items!$E:$E,Analisis_grupo!$C$4))</f>
        <v/>
      </c>
      <c r="AE66" s="2" t="str">
        <f aca="false">IF($B66="","",COUNTIFS(Datos_items!$B:$B,$B66,Datos_items!$AA:$AA,AE$4,Datos_items!$E:$E,Analisis_grupo!$C$4))</f>
        <v/>
      </c>
      <c r="AF66" s="2" t="str">
        <f aca="false">IF($B66="","",COUNTIFS(Datos_items!$B:$B,$B66,Datos_items!$AA:$AA,AF$4,Datos_items!$E:$E,Analisis_grupo!$C$4))</f>
        <v/>
      </c>
      <c r="AG66" s="2" t="str">
        <f aca="false">IF($B66="","",COUNTIFS(Datos_items!$B:$B,$B66,Datos_items!$AA:$AA,AG$4,Datos_items!$E:$E,Analisis_grupo!$C$4))</f>
        <v/>
      </c>
      <c r="AH66" s="2" t="str">
        <f aca="false">IF($B66="","",COUNTIFS(Datos_items!$B:$B,$B66,Datos_items!$AA:$AA,AH$4,Datos_items!$E:$E,Analisis_grupo!$C$4))</f>
        <v/>
      </c>
      <c r="AI66" s="2" t="str">
        <f aca="false">IF($B66="","",COUNTIFS(Datos_items!$B:$B,$B66,Datos_items!$AA:$AA,AI$4,Datos_items!$E:$E,Analisis_grupo!$C$4))</f>
        <v/>
      </c>
      <c r="AJ66" s="2" t="str">
        <f aca="false">IF($B66="","",COUNTIFS(Datos_items!$B:$B,$B66,Datos_items!$AA:$AA,AJ$4,Datos_items!$E:$E,Analisis_grupo!$C$4))</f>
        <v/>
      </c>
      <c r="AK66" s="2" t="str">
        <f aca="false">IF($B66="","",COUNTIFS(Datos_items!$B:$B,$B66,Datos_items!$AA:$AA,AK$4,Datos_items!$E:$E,Analisis_grupo!$C$4))</f>
        <v/>
      </c>
      <c r="AL66" s="2" t="str">
        <f aca="false">IF($B66="","",COUNTIFS(Datos_items!$B:$B,$B66,Datos_items!$AA:$AA,AL$4,Datos_items!$E:$E,Analisis_grupo!$C$4))</f>
        <v/>
      </c>
      <c r="AM66" s="2" t="str">
        <f aca="false">IF($B66="","",IF(MAX(Y66:AL66)=0,"",INDEX($Y$4:$AL$4,MATCH(MAX(Y66:AL66),Y66:AL66,0))))</f>
        <v/>
      </c>
      <c r="AN66" s="2" t="str">
        <f aca="false">IF($B66="","",COUNTIFS(Datos_problemas!$B:$B,$B66,Datos_problemas!$F:$F,"Práctica"))</f>
        <v/>
      </c>
      <c r="AO66" s="2" t="str">
        <f aca="false">IF($B66="","",SUMIFS(Datos_problemas!$AQ:$AQ,Datos_problemas!$B:$B,$B66,Datos_problemas!$F:$F,"Práctica"))</f>
        <v/>
      </c>
      <c r="AP66" s="2" t="str">
        <f aca="false">IF($B66="","",COUNTIFS(Datos_problemas!$B:$B,$B66,Datos_problemas!$F:$F,"Práctica",Datos_problemas!$AS:$AS,"Sí"))</f>
        <v/>
      </c>
    </row>
    <row r="67" customFormat="false" ht="15" hidden="false" customHeight="false" outlineLevel="0" collapsed="false">
      <c r="A67" s="2" t="n">
        <v>63</v>
      </c>
      <c r="B67" s="2" t="str">
        <f aca="false">IFERROR(INDEX(Datos_problemas!$B:$B,MATCH($A67,Datos_problemas!$AV:$AV,0)),"")</f>
        <v/>
      </c>
      <c r="C67" s="2" t="str">
        <f aca="false">IF($B67="","",INDEX(Datos_problemas!$C:$C,MATCH($A67,Datos_problemas!$AV:$AV,0)))</f>
        <v/>
      </c>
      <c r="D67" s="2" t="str">
        <f aca="false">IF($B67="","",INDEX(Datos_problemas!$D:$D,MATCH($A67,Datos_problemas!$AV:$AV,0)))</f>
        <v/>
      </c>
      <c r="E67" s="2" t="str">
        <f aca="false">IF($B67="","",COUNTIFS(Datos_problemas!$B:$B,$B67,Datos_problemas!$F:$F,"Evaluación"))</f>
        <v/>
      </c>
      <c r="F67" s="20" t="str">
        <f aca="false">IF($B67="","",IFERROR(AVERAGEIFS(Datos_problemas!$AE:$AE,Datos_problemas!$B:$B,$B67,Datos_problemas!$F:$F,"Evaluación"),""))</f>
        <v/>
      </c>
      <c r="G67" s="20" t="str">
        <f aca="false">IF($B67="","",IFERROR(AVERAGEIFS(Datos_problemas!$AE:$AE,Datos_problemas!$B:$B,$B67,Datos_problemas!$F:$F,"Evaluación",Datos_problemas!$E:$E,"Diagnóstico"),""))</f>
        <v/>
      </c>
      <c r="H67" s="20" t="str">
        <f aca="false">IF($B67="","",IFERROR(AVERAGEIFS(Datos_problemas!$AE:$AE,Datos_problemas!$B:$B,$B67,Datos_problemas!$F:$F,"Evaluación",Datos_problemas!$E:$E,"Final"),""))</f>
        <v/>
      </c>
      <c r="I67" s="21" t="str">
        <f aca="false">IF(OR(G67="",H67=""),"",IF(G67&gt;=10,"",(H67-G67)/(10-G67)))</f>
        <v/>
      </c>
      <c r="J67" s="18" t="str">
        <f aca="false">IF($B67="","",IFERROR(SUMIFS(Datos_items!$Z:$Z,Datos_items!$B:$B,$B67,Datos_items!$O:$O,J$4,Datos_items!$E:$E,Analisis_grupo!$C$4)/COUNTIFS(Datos_items!$B:$B,$B67,Datos_items!$O:$O,J$4,Datos_items!$E:$E,Analisis_grupo!$C$4),""))</f>
        <v/>
      </c>
      <c r="K67" s="18" t="str">
        <f aca="false">IF($B67="","",IFERROR(SUMIFS(Datos_items!$Z:$Z,Datos_items!$B:$B,$B67,Datos_items!$O:$O,K$4,Datos_items!$E:$E,Analisis_grupo!$C$4)/COUNTIFS(Datos_items!$B:$B,$B67,Datos_items!$O:$O,K$4,Datos_items!$E:$E,Analisis_grupo!$C$4),""))</f>
        <v/>
      </c>
      <c r="L67" s="18" t="str">
        <f aca="false">IF($B67="","",IFERROR(SUMIFS(Datos_items!$Z:$Z,Datos_items!$B:$B,$B67,Datos_items!$O:$O,L$4,Datos_items!$E:$E,Analisis_grupo!$C$4)/COUNTIFS(Datos_items!$B:$B,$B67,Datos_items!$O:$O,L$4,Datos_items!$E:$E,Analisis_grupo!$C$4),""))</f>
        <v/>
      </c>
      <c r="M67" s="18" t="str">
        <f aca="false">IF($B67="","",IFERROR(SUMIFS(Datos_items!$Z:$Z,Datos_items!$B:$B,$B67,Datos_items!$O:$O,M$4,Datos_items!$E:$E,Analisis_grupo!$C$4)/COUNTIFS(Datos_items!$B:$B,$B67,Datos_items!$O:$O,M$4,Datos_items!$E:$E,Analisis_grupo!$C$4),""))</f>
        <v/>
      </c>
      <c r="N67" s="18" t="str">
        <f aca="false">IF($B67="","",IFERROR(SUMIFS(Datos_items!$Z:$Z,Datos_items!$B:$B,$B67,Datos_items!$O:$O,N$4,Datos_items!$E:$E,Analisis_grupo!$C$4)/COUNTIFS(Datos_items!$B:$B,$B67,Datos_items!$O:$O,N$4,Datos_items!$E:$E,Analisis_grupo!$C$4),""))</f>
        <v/>
      </c>
      <c r="O67" s="18" t="str">
        <f aca="false">IF($B67="","",IFERROR(SUMIFS(Datos_items!$Z:$Z,Datos_items!$B:$B,$B67,Datos_items!$O:$O,O$4,Datos_items!$E:$E,Analisis_grupo!$C$4)/COUNTIFS(Datos_items!$B:$B,$B67,Datos_items!$O:$O,O$4,Datos_items!$E:$E,Analisis_grupo!$C$4),""))</f>
        <v/>
      </c>
      <c r="P67" s="18" t="str">
        <f aca="false">IF($B67="","",IFERROR(SUMIFS(Datos_items!$Z:$Z,Datos_items!$B:$B,$B67,Datos_items!$O:$O,P$4,Datos_items!$E:$E,Analisis_grupo!$C$4)/COUNTIFS(Datos_items!$B:$B,$B67,Datos_items!$O:$O,P$4,Datos_items!$E:$E,Analisis_grupo!$C$4),""))</f>
        <v/>
      </c>
      <c r="Q67" s="18" t="str">
        <f aca="false">IF($B67="","",IFERROR(SUMIFS(Datos_items!$Z:$Z,Datos_items!$B:$B,$B67,Datos_items!$O:$O,Q$4,Datos_items!$E:$E,Analisis_grupo!$C$4)/COUNTIFS(Datos_items!$B:$B,$B67,Datos_items!$O:$O,Q$4,Datos_items!$E:$E,Analisis_grupo!$C$4),""))</f>
        <v/>
      </c>
      <c r="R67" s="2" t="str">
        <f aca="false">IF(COUNT(J67:Q67)=0,"",IF(MIN(J67:Q67)&gt;=Analisis_grupo!$B$7,"(ninguna)",INDEX($J$4:$Q$4,MATCH(MIN(J67:Q67),J67:Q67,0))))</f>
        <v/>
      </c>
      <c r="S67" s="2" t="str">
        <f aca="false">IF($B67="","",COUNTIF(J67:Q67,"&lt;"&amp;Analisis_grupo!$B$7))</f>
        <v/>
      </c>
      <c r="T67" s="2" t="str">
        <f aca="false">IF($B67="","",COUNTIFS(Datos_items!$B:$B,$B67,Datos_items!$AA:$AA,T$4,Datos_items!$E:$E,Analisis_grupo!$C$4))</f>
        <v/>
      </c>
      <c r="U67" s="2" t="str">
        <f aca="false">IF($B67="","",COUNTIFS(Datos_items!$B:$B,$B67,Datos_items!$AA:$AA,U$4,Datos_items!$E:$E,Analisis_grupo!$C$4))</f>
        <v/>
      </c>
      <c r="V67" s="2" t="str">
        <f aca="false">IF($B67="","",COUNTIFS(Datos_items!$B:$B,$B67,Datos_items!$AA:$AA,V$4,Datos_items!$E:$E,Analisis_grupo!$C$4))</f>
        <v/>
      </c>
      <c r="W67" s="2" t="str">
        <f aca="false">IF($B67="","",COUNTIFS(Datos_items!$B:$B,$B67,Datos_items!$AA:$AA,W$4,Datos_items!$E:$E,Analisis_grupo!$C$4))</f>
        <v/>
      </c>
      <c r="X67" s="2" t="str">
        <f aca="false">IF($B67="","",COUNTIFS(Datos_items!$B:$B,$B67,Datos_items!$AA:$AA,X$4,Datos_items!$E:$E,Analisis_grupo!$C$4))</f>
        <v/>
      </c>
      <c r="Y67" s="2" t="str">
        <f aca="false">IF($B67="","",COUNTIFS(Datos_items!$B:$B,$B67,Datos_items!$AA:$AA,Y$4,Datos_items!$E:$E,Analisis_grupo!$C$4))</f>
        <v/>
      </c>
      <c r="Z67" s="2" t="str">
        <f aca="false">IF($B67="","",COUNTIFS(Datos_items!$B:$B,$B67,Datos_items!$AA:$AA,Z$4,Datos_items!$E:$E,Analisis_grupo!$C$4))</f>
        <v/>
      </c>
      <c r="AA67" s="2" t="str">
        <f aca="false">IF($B67="","",COUNTIFS(Datos_items!$B:$B,$B67,Datos_items!$AA:$AA,AA$4,Datos_items!$E:$E,Analisis_grupo!$C$4))</f>
        <v/>
      </c>
      <c r="AB67" s="2" t="str">
        <f aca="false">IF($B67="","",COUNTIFS(Datos_items!$B:$B,$B67,Datos_items!$AA:$AA,AB$4,Datos_items!$E:$E,Analisis_grupo!$C$4))</f>
        <v/>
      </c>
      <c r="AC67" s="2" t="str">
        <f aca="false">IF($B67="","",COUNTIFS(Datos_items!$B:$B,$B67,Datos_items!$AA:$AA,AC$4,Datos_items!$E:$E,Analisis_grupo!$C$4))</f>
        <v/>
      </c>
      <c r="AD67" s="2" t="str">
        <f aca="false">IF($B67="","",COUNTIFS(Datos_items!$B:$B,$B67,Datos_items!$AA:$AA,AD$4,Datos_items!$E:$E,Analisis_grupo!$C$4))</f>
        <v/>
      </c>
      <c r="AE67" s="2" t="str">
        <f aca="false">IF($B67="","",COUNTIFS(Datos_items!$B:$B,$B67,Datos_items!$AA:$AA,AE$4,Datos_items!$E:$E,Analisis_grupo!$C$4))</f>
        <v/>
      </c>
      <c r="AF67" s="2" t="str">
        <f aca="false">IF($B67="","",COUNTIFS(Datos_items!$B:$B,$B67,Datos_items!$AA:$AA,AF$4,Datos_items!$E:$E,Analisis_grupo!$C$4))</f>
        <v/>
      </c>
      <c r="AG67" s="2" t="str">
        <f aca="false">IF($B67="","",COUNTIFS(Datos_items!$B:$B,$B67,Datos_items!$AA:$AA,AG$4,Datos_items!$E:$E,Analisis_grupo!$C$4))</f>
        <v/>
      </c>
      <c r="AH67" s="2" t="str">
        <f aca="false">IF($B67="","",COUNTIFS(Datos_items!$B:$B,$B67,Datos_items!$AA:$AA,AH$4,Datos_items!$E:$E,Analisis_grupo!$C$4))</f>
        <v/>
      </c>
      <c r="AI67" s="2" t="str">
        <f aca="false">IF($B67="","",COUNTIFS(Datos_items!$B:$B,$B67,Datos_items!$AA:$AA,AI$4,Datos_items!$E:$E,Analisis_grupo!$C$4))</f>
        <v/>
      </c>
      <c r="AJ67" s="2" t="str">
        <f aca="false">IF($B67="","",COUNTIFS(Datos_items!$B:$B,$B67,Datos_items!$AA:$AA,AJ$4,Datos_items!$E:$E,Analisis_grupo!$C$4))</f>
        <v/>
      </c>
      <c r="AK67" s="2" t="str">
        <f aca="false">IF($B67="","",COUNTIFS(Datos_items!$B:$B,$B67,Datos_items!$AA:$AA,AK$4,Datos_items!$E:$E,Analisis_grupo!$C$4))</f>
        <v/>
      </c>
      <c r="AL67" s="2" t="str">
        <f aca="false">IF($B67="","",COUNTIFS(Datos_items!$B:$B,$B67,Datos_items!$AA:$AA,AL$4,Datos_items!$E:$E,Analisis_grupo!$C$4))</f>
        <v/>
      </c>
      <c r="AM67" s="2" t="str">
        <f aca="false">IF($B67="","",IF(MAX(Y67:AL67)=0,"",INDEX($Y$4:$AL$4,MATCH(MAX(Y67:AL67),Y67:AL67,0))))</f>
        <v/>
      </c>
      <c r="AN67" s="2" t="str">
        <f aca="false">IF($B67="","",COUNTIFS(Datos_problemas!$B:$B,$B67,Datos_problemas!$F:$F,"Práctica"))</f>
        <v/>
      </c>
      <c r="AO67" s="2" t="str">
        <f aca="false">IF($B67="","",SUMIFS(Datos_problemas!$AQ:$AQ,Datos_problemas!$B:$B,$B67,Datos_problemas!$F:$F,"Práctica"))</f>
        <v/>
      </c>
      <c r="AP67" s="2" t="str">
        <f aca="false">IF($B67="","",COUNTIFS(Datos_problemas!$B:$B,$B67,Datos_problemas!$F:$F,"Práctica",Datos_problemas!$AS:$AS,"Sí"))</f>
        <v/>
      </c>
    </row>
    <row r="68" customFormat="false" ht="15" hidden="false" customHeight="false" outlineLevel="0" collapsed="false">
      <c r="A68" s="2" t="n">
        <v>64</v>
      </c>
      <c r="B68" s="2" t="str">
        <f aca="false">IFERROR(INDEX(Datos_problemas!$B:$B,MATCH($A68,Datos_problemas!$AV:$AV,0)),"")</f>
        <v/>
      </c>
      <c r="C68" s="2" t="str">
        <f aca="false">IF($B68="","",INDEX(Datos_problemas!$C:$C,MATCH($A68,Datos_problemas!$AV:$AV,0)))</f>
        <v/>
      </c>
      <c r="D68" s="2" t="str">
        <f aca="false">IF($B68="","",INDEX(Datos_problemas!$D:$D,MATCH($A68,Datos_problemas!$AV:$AV,0)))</f>
        <v/>
      </c>
      <c r="E68" s="2" t="str">
        <f aca="false">IF($B68="","",COUNTIFS(Datos_problemas!$B:$B,$B68,Datos_problemas!$F:$F,"Evaluación"))</f>
        <v/>
      </c>
      <c r="F68" s="20" t="str">
        <f aca="false">IF($B68="","",IFERROR(AVERAGEIFS(Datos_problemas!$AE:$AE,Datos_problemas!$B:$B,$B68,Datos_problemas!$F:$F,"Evaluación"),""))</f>
        <v/>
      </c>
      <c r="G68" s="20" t="str">
        <f aca="false">IF($B68="","",IFERROR(AVERAGEIFS(Datos_problemas!$AE:$AE,Datos_problemas!$B:$B,$B68,Datos_problemas!$F:$F,"Evaluación",Datos_problemas!$E:$E,"Diagnóstico"),""))</f>
        <v/>
      </c>
      <c r="H68" s="20" t="str">
        <f aca="false">IF($B68="","",IFERROR(AVERAGEIFS(Datos_problemas!$AE:$AE,Datos_problemas!$B:$B,$B68,Datos_problemas!$F:$F,"Evaluación",Datos_problemas!$E:$E,"Final"),""))</f>
        <v/>
      </c>
      <c r="I68" s="21" t="str">
        <f aca="false">IF(OR(G68="",H68=""),"",IF(G68&gt;=10,"",(H68-G68)/(10-G68)))</f>
        <v/>
      </c>
      <c r="J68" s="18" t="str">
        <f aca="false">IF($B68="","",IFERROR(SUMIFS(Datos_items!$Z:$Z,Datos_items!$B:$B,$B68,Datos_items!$O:$O,J$4,Datos_items!$E:$E,Analisis_grupo!$C$4)/COUNTIFS(Datos_items!$B:$B,$B68,Datos_items!$O:$O,J$4,Datos_items!$E:$E,Analisis_grupo!$C$4),""))</f>
        <v/>
      </c>
      <c r="K68" s="18" t="str">
        <f aca="false">IF($B68="","",IFERROR(SUMIFS(Datos_items!$Z:$Z,Datos_items!$B:$B,$B68,Datos_items!$O:$O,K$4,Datos_items!$E:$E,Analisis_grupo!$C$4)/COUNTIFS(Datos_items!$B:$B,$B68,Datos_items!$O:$O,K$4,Datos_items!$E:$E,Analisis_grupo!$C$4),""))</f>
        <v/>
      </c>
      <c r="L68" s="18" t="str">
        <f aca="false">IF($B68="","",IFERROR(SUMIFS(Datos_items!$Z:$Z,Datos_items!$B:$B,$B68,Datos_items!$O:$O,L$4,Datos_items!$E:$E,Analisis_grupo!$C$4)/COUNTIFS(Datos_items!$B:$B,$B68,Datos_items!$O:$O,L$4,Datos_items!$E:$E,Analisis_grupo!$C$4),""))</f>
        <v/>
      </c>
      <c r="M68" s="18" t="str">
        <f aca="false">IF($B68="","",IFERROR(SUMIFS(Datos_items!$Z:$Z,Datos_items!$B:$B,$B68,Datos_items!$O:$O,M$4,Datos_items!$E:$E,Analisis_grupo!$C$4)/COUNTIFS(Datos_items!$B:$B,$B68,Datos_items!$O:$O,M$4,Datos_items!$E:$E,Analisis_grupo!$C$4),""))</f>
        <v/>
      </c>
      <c r="N68" s="18" t="str">
        <f aca="false">IF($B68="","",IFERROR(SUMIFS(Datos_items!$Z:$Z,Datos_items!$B:$B,$B68,Datos_items!$O:$O,N$4,Datos_items!$E:$E,Analisis_grupo!$C$4)/COUNTIFS(Datos_items!$B:$B,$B68,Datos_items!$O:$O,N$4,Datos_items!$E:$E,Analisis_grupo!$C$4),""))</f>
        <v/>
      </c>
      <c r="O68" s="18" t="str">
        <f aca="false">IF($B68="","",IFERROR(SUMIFS(Datos_items!$Z:$Z,Datos_items!$B:$B,$B68,Datos_items!$O:$O,O$4,Datos_items!$E:$E,Analisis_grupo!$C$4)/COUNTIFS(Datos_items!$B:$B,$B68,Datos_items!$O:$O,O$4,Datos_items!$E:$E,Analisis_grupo!$C$4),""))</f>
        <v/>
      </c>
      <c r="P68" s="18" t="str">
        <f aca="false">IF($B68="","",IFERROR(SUMIFS(Datos_items!$Z:$Z,Datos_items!$B:$B,$B68,Datos_items!$O:$O,P$4,Datos_items!$E:$E,Analisis_grupo!$C$4)/COUNTIFS(Datos_items!$B:$B,$B68,Datos_items!$O:$O,P$4,Datos_items!$E:$E,Analisis_grupo!$C$4),""))</f>
        <v/>
      </c>
      <c r="Q68" s="18" t="str">
        <f aca="false">IF($B68="","",IFERROR(SUMIFS(Datos_items!$Z:$Z,Datos_items!$B:$B,$B68,Datos_items!$O:$O,Q$4,Datos_items!$E:$E,Analisis_grupo!$C$4)/COUNTIFS(Datos_items!$B:$B,$B68,Datos_items!$O:$O,Q$4,Datos_items!$E:$E,Analisis_grupo!$C$4),""))</f>
        <v/>
      </c>
      <c r="R68" s="2" t="str">
        <f aca="false">IF(COUNT(J68:Q68)=0,"",IF(MIN(J68:Q68)&gt;=Analisis_grupo!$B$7,"(ninguna)",INDEX($J$4:$Q$4,MATCH(MIN(J68:Q68),J68:Q68,0))))</f>
        <v/>
      </c>
      <c r="S68" s="2" t="str">
        <f aca="false">IF($B68="","",COUNTIF(J68:Q68,"&lt;"&amp;Analisis_grupo!$B$7))</f>
        <v/>
      </c>
      <c r="T68" s="2" t="str">
        <f aca="false">IF($B68="","",COUNTIFS(Datos_items!$B:$B,$B68,Datos_items!$AA:$AA,T$4,Datos_items!$E:$E,Analisis_grupo!$C$4))</f>
        <v/>
      </c>
      <c r="U68" s="2" t="str">
        <f aca="false">IF($B68="","",COUNTIFS(Datos_items!$B:$B,$B68,Datos_items!$AA:$AA,U$4,Datos_items!$E:$E,Analisis_grupo!$C$4))</f>
        <v/>
      </c>
      <c r="V68" s="2" t="str">
        <f aca="false">IF($B68="","",COUNTIFS(Datos_items!$B:$B,$B68,Datos_items!$AA:$AA,V$4,Datos_items!$E:$E,Analisis_grupo!$C$4))</f>
        <v/>
      </c>
      <c r="W68" s="2" t="str">
        <f aca="false">IF($B68="","",COUNTIFS(Datos_items!$B:$B,$B68,Datos_items!$AA:$AA,W$4,Datos_items!$E:$E,Analisis_grupo!$C$4))</f>
        <v/>
      </c>
      <c r="X68" s="2" t="str">
        <f aca="false">IF($B68="","",COUNTIFS(Datos_items!$B:$B,$B68,Datos_items!$AA:$AA,X$4,Datos_items!$E:$E,Analisis_grupo!$C$4))</f>
        <v/>
      </c>
      <c r="Y68" s="2" t="str">
        <f aca="false">IF($B68="","",COUNTIFS(Datos_items!$B:$B,$B68,Datos_items!$AA:$AA,Y$4,Datos_items!$E:$E,Analisis_grupo!$C$4))</f>
        <v/>
      </c>
      <c r="Z68" s="2" t="str">
        <f aca="false">IF($B68="","",COUNTIFS(Datos_items!$B:$B,$B68,Datos_items!$AA:$AA,Z$4,Datos_items!$E:$E,Analisis_grupo!$C$4))</f>
        <v/>
      </c>
      <c r="AA68" s="2" t="str">
        <f aca="false">IF($B68="","",COUNTIFS(Datos_items!$B:$B,$B68,Datos_items!$AA:$AA,AA$4,Datos_items!$E:$E,Analisis_grupo!$C$4))</f>
        <v/>
      </c>
      <c r="AB68" s="2" t="str">
        <f aca="false">IF($B68="","",COUNTIFS(Datos_items!$B:$B,$B68,Datos_items!$AA:$AA,AB$4,Datos_items!$E:$E,Analisis_grupo!$C$4))</f>
        <v/>
      </c>
      <c r="AC68" s="2" t="str">
        <f aca="false">IF($B68="","",COUNTIFS(Datos_items!$B:$B,$B68,Datos_items!$AA:$AA,AC$4,Datos_items!$E:$E,Analisis_grupo!$C$4))</f>
        <v/>
      </c>
      <c r="AD68" s="2" t="str">
        <f aca="false">IF($B68="","",COUNTIFS(Datos_items!$B:$B,$B68,Datos_items!$AA:$AA,AD$4,Datos_items!$E:$E,Analisis_grupo!$C$4))</f>
        <v/>
      </c>
      <c r="AE68" s="2" t="str">
        <f aca="false">IF($B68="","",COUNTIFS(Datos_items!$B:$B,$B68,Datos_items!$AA:$AA,AE$4,Datos_items!$E:$E,Analisis_grupo!$C$4))</f>
        <v/>
      </c>
      <c r="AF68" s="2" t="str">
        <f aca="false">IF($B68="","",COUNTIFS(Datos_items!$B:$B,$B68,Datos_items!$AA:$AA,AF$4,Datos_items!$E:$E,Analisis_grupo!$C$4))</f>
        <v/>
      </c>
      <c r="AG68" s="2" t="str">
        <f aca="false">IF($B68="","",COUNTIFS(Datos_items!$B:$B,$B68,Datos_items!$AA:$AA,AG$4,Datos_items!$E:$E,Analisis_grupo!$C$4))</f>
        <v/>
      </c>
      <c r="AH68" s="2" t="str">
        <f aca="false">IF($B68="","",COUNTIFS(Datos_items!$B:$B,$B68,Datos_items!$AA:$AA,AH$4,Datos_items!$E:$E,Analisis_grupo!$C$4))</f>
        <v/>
      </c>
      <c r="AI68" s="2" t="str">
        <f aca="false">IF($B68="","",COUNTIFS(Datos_items!$B:$B,$B68,Datos_items!$AA:$AA,AI$4,Datos_items!$E:$E,Analisis_grupo!$C$4))</f>
        <v/>
      </c>
      <c r="AJ68" s="2" t="str">
        <f aca="false">IF($B68="","",COUNTIFS(Datos_items!$B:$B,$B68,Datos_items!$AA:$AA,AJ$4,Datos_items!$E:$E,Analisis_grupo!$C$4))</f>
        <v/>
      </c>
      <c r="AK68" s="2" t="str">
        <f aca="false">IF($B68="","",COUNTIFS(Datos_items!$B:$B,$B68,Datos_items!$AA:$AA,AK$4,Datos_items!$E:$E,Analisis_grupo!$C$4))</f>
        <v/>
      </c>
      <c r="AL68" s="2" t="str">
        <f aca="false">IF($B68="","",COUNTIFS(Datos_items!$B:$B,$B68,Datos_items!$AA:$AA,AL$4,Datos_items!$E:$E,Analisis_grupo!$C$4))</f>
        <v/>
      </c>
      <c r="AM68" s="2" t="str">
        <f aca="false">IF($B68="","",IF(MAX(Y68:AL68)=0,"",INDEX($Y$4:$AL$4,MATCH(MAX(Y68:AL68),Y68:AL68,0))))</f>
        <v/>
      </c>
      <c r="AN68" s="2" t="str">
        <f aca="false">IF($B68="","",COUNTIFS(Datos_problemas!$B:$B,$B68,Datos_problemas!$F:$F,"Práctica"))</f>
        <v/>
      </c>
      <c r="AO68" s="2" t="str">
        <f aca="false">IF($B68="","",SUMIFS(Datos_problemas!$AQ:$AQ,Datos_problemas!$B:$B,$B68,Datos_problemas!$F:$F,"Práctica"))</f>
        <v/>
      </c>
      <c r="AP68" s="2" t="str">
        <f aca="false">IF($B68="","",COUNTIFS(Datos_problemas!$B:$B,$B68,Datos_problemas!$F:$F,"Práctica",Datos_problemas!$AS:$AS,"Sí"))</f>
        <v/>
      </c>
    </row>
    <row r="69" customFormat="false" ht="15" hidden="false" customHeight="false" outlineLevel="0" collapsed="false">
      <c r="A69" s="2" t="n">
        <v>65</v>
      </c>
      <c r="B69" s="2" t="str">
        <f aca="false">IFERROR(INDEX(Datos_problemas!$B:$B,MATCH($A69,Datos_problemas!$AV:$AV,0)),"")</f>
        <v/>
      </c>
      <c r="C69" s="2" t="str">
        <f aca="false">IF($B69="","",INDEX(Datos_problemas!$C:$C,MATCH($A69,Datos_problemas!$AV:$AV,0)))</f>
        <v/>
      </c>
      <c r="D69" s="2" t="str">
        <f aca="false">IF($B69="","",INDEX(Datos_problemas!$D:$D,MATCH($A69,Datos_problemas!$AV:$AV,0)))</f>
        <v/>
      </c>
      <c r="E69" s="2" t="str">
        <f aca="false">IF($B69="","",COUNTIFS(Datos_problemas!$B:$B,$B69,Datos_problemas!$F:$F,"Evaluación"))</f>
        <v/>
      </c>
      <c r="F69" s="20" t="str">
        <f aca="false">IF($B69="","",IFERROR(AVERAGEIFS(Datos_problemas!$AE:$AE,Datos_problemas!$B:$B,$B69,Datos_problemas!$F:$F,"Evaluación"),""))</f>
        <v/>
      </c>
      <c r="G69" s="20" t="str">
        <f aca="false">IF($B69="","",IFERROR(AVERAGEIFS(Datos_problemas!$AE:$AE,Datos_problemas!$B:$B,$B69,Datos_problemas!$F:$F,"Evaluación",Datos_problemas!$E:$E,"Diagnóstico"),""))</f>
        <v/>
      </c>
      <c r="H69" s="20" t="str">
        <f aca="false">IF($B69="","",IFERROR(AVERAGEIFS(Datos_problemas!$AE:$AE,Datos_problemas!$B:$B,$B69,Datos_problemas!$F:$F,"Evaluación",Datos_problemas!$E:$E,"Final"),""))</f>
        <v/>
      </c>
      <c r="I69" s="21" t="str">
        <f aca="false">IF(OR(G69="",H69=""),"",IF(G69&gt;=10,"",(H69-G69)/(10-G69)))</f>
        <v/>
      </c>
      <c r="J69" s="18" t="str">
        <f aca="false">IF($B69="","",IFERROR(SUMIFS(Datos_items!$Z:$Z,Datos_items!$B:$B,$B69,Datos_items!$O:$O,J$4,Datos_items!$E:$E,Analisis_grupo!$C$4)/COUNTIFS(Datos_items!$B:$B,$B69,Datos_items!$O:$O,J$4,Datos_items!$E:$E,Analisis_grupo!$C$4),""))</f>
        <v/>
      </c>
      <c r="K69" s="18" t="str">
        <f aca="false">IF($B69="","",IFERROR(SUMIFS(Datos_items!$Z:$Z,Datos_items!$B:$B,$B69,Datos_items!$O:$O,K$4,Datos_items!$E:$E,Analisis_grupo!$C$4)/COUNTIFS(Datos_items!$B:$B,$B69,Datos_items!$O:$O,K$4,Datos_items!$E:$E,Analisis_grupo!$C$4),""))</f>
        <v/>
      </c>
      <c r="L69" s="18" t="str">
        <f aca="false">IF($B69="","",IFERROR(SUMIFS(Datos_items!$Z:$Z,Datos_items!$B:$B,$B69,Datos_items!$O:$O,L$4,Datos_items!$E:$E,Analisis_grupo!$C$4)/COUNTIFS(Datos_items!$B:$B,$B69,Datos_items!$O:$O,L$4,Datos_items!$E:$E,Analisis_grupo!$C$4),""))</f>
        <v/>
      </c>
      <c r="M69" s="18" t="str">
        <f aca="false">IF($B69="","",IFERROR(SUMIFS(Datos_items!$Z:$Z,Datos_items!$B:$B,$B69,Datos_items!$O:$O,M$4,Datos_items!$E:$E,Analisis_grupo!$C$4)/COUNTIFS(Datos_items!$B:$B,$B69,Datos_items!$O:$O,M$4,Datos_items!$E:$E,Analisis_grupo!$C$4),""))</f>
        <v/>
      </c>
      <c r="N69" s="18" t="str">
        <f aca="false">IF($B69="","",IFERROR(SUMIFS(Datos_items!$Z:$Z,Datos_items!$B:$B,$B69,Datos_items!$O:$O,N$4,Datos_items!$E:$E,Analisis_grupo!$C$4)/COUNTIFS(Datos_items!$B:$B,$B69,Datos_items!$O:$O,N$4,Datos_items!$E:$E,Analisis_grupo!$C$4),""))</f>
        <v/>
      </c>
      <c r="O69" s="18" t="str">
        <f aca="false">IF($B69="","",IFERROR(SUMIFS(Datos_items!$Z:$Z,Datos_items!$B:$B,$B69,Datos_items!$O:$O,O$4,Datos_items!$E:$E,Analisis_grupo!$C$4)/COUNTIFS(Datos_items!$B:$B,$B69,Datos_items!$O:$O,O$4,Datos_items!$E:$E,Analisis_grupo!$C$4),""))</f>
        <v/>
      </c>
      <c r="P69" s="18" t="str">
        <f aca="false">IF($B69="","",IFERROR(SUMIFS(Datos_items!$Z:$Z,Datos_items!$B:$B,$B69,Datos_items!$O:$O,P$4,Datos_items!$E:$E,Analisis_grupo!$C$4)/COUNTIFS(Datos_items!$B:$B,$B69,Datos_items!$O:$O,P$4,Datos_items!$E:$E,Analisis_grupo!$C$4),""))</f>
        <v/>
      </c>
      <c r="Q69" s="18" t="str">
        <f aca="false">IF($B69="","",IFERROR(SUMIFS(Datos_items!$Z:$Z,Datos_items!$B:$B,$B69,Datos_items!$O:$O,Q$4,Datos_items!$E:$E,Analisis_grupo!$C$4)/COUNTIFS(Datos_items!$B:$B,$B69,Datos_items!$O:$O,Q$4,Datos_items!$E:$E,Analisis_grupo!$C$4),""))</f>
        <v/>
      </c>
      <c r="R69" s="2" t="str">
        <f aca="false">IF(COUNT(J69:Q69)=0,"",IF(MIN(J69:Q69)&gt;=Analisis_grupo!$B$7,"(ninguna)",INDEX($J$4:$Q$4,MATCH(MIN(J69:Q69),J69:Q69,0))))</f>
        <v/>
      </c>
      <c r="S69" s="2" t="str">
        <f aca="false">IF($B69="","",COUNTIF(J69:Q69,"&lt;"&amp;Analisis_grupo!$B$7))</f>
        <v/>
      </c>
      <c r="T69" s="2" t="str">
        <f aca="false">IF($B69="","",COUNTIFS(Datos_items!$B:$B,$B69,Datos_items!$AA:$AA,T$4,Datos_items!$E:$E,Analisis_grupo!$C$4))</f>
        <v/>
      </c>
      <c r="U69" s="2" t="str">
        <f aca="false">IF($B69="","",COUNTIFS(Datos_items!$B:$B,$B69,Datos_items!$AA:$AA,U$4,Datos_items!$E:$E,Analisis_grupo!$C$4))</f>
        <v/>
      </c>
      <c r="V69" s="2" t="str">
        <f aca="false">IF($B69="","",COUNTIFS(Datos_items!$B:$B,$B69,Datos_items!$AA:$AA,V$4,Datos_items!$E:$E,Analisis_grupo!$C$4))</f>
        <v/>
      </c>
      <c r="W69" s="2" t="str">
        <f aca="false">IF($B69="","",COUNTIFS(Datos_items!$B:$B,$B69,Datos_items!$AA:$AA,W$4,Datos_items!$E:$E,Analisis_grupo!$C$4))</f>
        <v/>
      </c>
      <c r="X69" s="2" t="str">
        <f aca="false">IF($B69="","",COUNTIFS(Datos_items!$B:$B,$B69,Datos_items!$AA:$AA,X$4,Datos_items!$E:$E,Analisis_grupo!$C$4))</f>
        <v/>
      </c>
      <c r="Y69" s="2" t="str">
        <f aca="false">IF($B69="","",COUNTIFS(Datos_items!$B:$B,$B69,Datos_items!$AA:$AA,Y$4,Datos_items!$E:$E,Analisis_grupo!$C$4))</f>
        <v/>
      </c>
      <c r="Z69" s="2" t="str">
        <f aca="false">IF($B69="","",COUNTIFS(Datos_items!$B:$B,$B69,Datos_items!$AA:$AA,Z$4,Datos_items!$E:$E,Analisis_grupo!$C$4))</f>
        <v/>
      </c>
      <c r="AA69" s="2" t="str">
        <f aca="false">IF($B69="","",COUNTIFS(Datos_items!$B:$B,$B69,Datos_items!$AA:$AA,AA$4,Datos_items!$E:$E,Analisis_grupo!$C$4))</f>
        <v/>
      </c>
      <c r="AB69" s="2" t="str">
        <f aca="false">IF($B69="","",COUNTIFS(Datos_items!$B:$B,$B69,Datos_items!$AA:$AA,AB$4,Datos_items!$E:$E,Analisis_grupo!$C$4))</f>
        <v/>
      </c>
      <c r="AC69" s="2" t="str">
        <f aca="false">IF($B69="","",COUNTIFS(Datos_items!$B:$B,$B69,Datos_items!$AA:$AA,AC$4,Datos_items!$E:$E,Analisis_grupo!$C$4))</f>
        <v/>
      </c>
      <c r="AD69" s="2" t="str">
        <f aca="false">IF($B69="","",COUNTIFS(Datos_items!$B:$B,$B69,Datos_items!$AA:$AA,AD$4,Datos_items!$E:$E,Analisis_grupo!$C$4))</f>
        <v/>
      </c>
      <c r="AE69" s="2" t="str">
        <f aca="false">IF($B69="","",COUNTIFS(Datos_items!$B:$B,$B69,Datos_items!$AA:$AA,AE$4,Datos_items!$E:$E,Analisis_grupo!$C$4))</f>
        <v/>
      </c>
      <c r="AF69" s="2" t="str">
        <f aca="false">IF($B69="","",COUNTIFS(Datos_items!$B:$B,$B69,Datos_items!$AA:$AA,AF$4,Datos_items!$E:$E,Analisis_grupo!$C$4))</f>
        <v/>
      </c>
      <c r="AG69" s="2" t="str">
        <f aca="false">IF($B69="","",COUNTIFS(Datos_items!$B:$B,$B69,Datos_items!$AA:$AA,AG$4,Datos_items!$E:$E,Analisis_grupo!$C$4))</f>
        <v/>
      </c>
      <c r="AH69" s="2" t="str">
        <f aca="false">IF($B69="","",COUNTIFS(Datos_items!$B:$B,$B69,Datos_items!$AA:$AA,AH$4,Datos_items!$E:$E,Analisis_grupo!$C$4))</f>
        <v/>
      </c>
      <c r="AI69" s="2" t="str">
        <f aca="false">IF($B69="","",COUNTIFS(Datos_items!$B:$B,$B69,Datos_items!$AA:$AA,AI$4,Datos_items!$E:$E,Analisis_grupo!$C$4))</f>
        <v/>
      </c>
      <c r="AJ69" s="2" t="str">
        <f aca="false">IF($B69="","",COUNTIFS(Datos_items!$B:$B,$B69,Datos_items!$AA:$AA,AJ$4,Datos_items!$E:$E,Analisis_grupo!$C$4))</f>
        <v/>
      </c>
      <c r="AK69" s="2" t="str">
        <f aca="false">IF($B69="","",COUNTIFS(Datos_items!$B:$B,$B69,Datos_items!$AA:$AA,AK$4,Datos_items!$E:$E,Analisis_grupo!$C$4))</f>
        <v/>
      </c>
      <c r="AL69" s="2" t="str">
        <f aca="false">IF($B69="","",COUNTIFS(Datos_items!$B:$B,$B69,Datos_items!$AA:$AA,AL$4,Datos_items!$E:$E,Analisis_grupo!$C$4))</f>
        <v/>
      </c>
      <c r="AM69" s="2" t="str">
        <f aca="false">IF($B69="","",IF(MAX(Y69:AL69)=0,"",INDEX($Y$4:$AL$4,MATCH(MAX(Y69:AL69),Y69:AL69,0))))</f>
        <v/>
      </c>
      <c r="AN69" s="2" t="str">
        <f aca="false">IF($B69="","",COUNTIFS(Datos_problemas!$B:$B,$B69,Datos_problemas!$F:$F,"Práctica"))</f>
        <v/>
      </c>
      <c r="AO69" s="2" t="str">
        <f aca="false">IF($B69="","",SUMIFS(Datos_problemas!$AQ:$AQ,Datos_problemas!$B:$B,$B69,Datos_problemas!$F:$F,"Práctica"))</f>
        <v/>
      </c>
      <c r="AP69" s="2" t="str">
        <f aca="false">IF($B69="","",COUNTIFS(Datos_problemas!$B:$B,$B69,Datos_problemas!$F:$F,"Práctica",Datos_problemas!$AS:$AS,"Sí"))</f>
        <v/>
      </c>
    </row>
    <row r="70" customFormat="false" ht="15" hidden="false" customHeight="false" outlineLevel="0" collapsed="false">
      <c r="A70" s="2" t="n">
        <v>66</v>
      </c>
      <c r="B70" s="2" t="str">
        <f aca="false">IFERROR(INDEX(Datos_problemas!$B:$B,MATCH($A70,Datos_problemas!$AV:$AV,0)),"")</f>
        <v/>
      </c>
      <c r="C70" s="2" t="str">
        <f aca="false">IF($B70="","",INDEX(Datos_problemas!$C:$C,MATCH($A70,Datos_problemas!$AV:$AV,0)))</f>
        <v/>
      </c>
      <c r="D70" s="2" t="str">
        <f aca="false">IF($B70="","",INDEX(Datos_problemas!$D:$D,MATCH($A70,Datos_problemas!$AV:$AV,0)))</f>
        <v/>
      </c>
      <c r="E70" s="2" t="str">
        <f aca="false">IF($B70="","",COUNTIFS(Datos_problemas!$B:$B,$B70,Datos_problemas!$F:$F,"Evaluación"))</f>
        <v/>
      </c>
      <c r="F70" s="20" t="str">
        <f aca="false">IF($B70="","",IFERROR(AVERAGEIFS(Datos_problemas!$AE:$AE,Datos_problemas!$B:$B,$B70,Datos_problemas!$F:$F,"Evaluación"),""))</f>
        <v/>
      </c>
      <c r="G70" s="20" t="str">
        <f aca="false">IF($B70="","",IFERROR(AVERAGEIFS(Datos_problemas!$AE:$AE,Datos_problemas!$B:$B,$B70,Datos_problemas!$F:$F,"Evaluación",Datos_problemas!$E:$E,"Diagnóstico"),""))</f>
        <v/>
      </c>
      <c r="H70" s="20" t="str">
        <f aca="false">IF($B70="","",IFERROR(AVERAGEIFS(Datos_problemas!$AE:$AE,Datos_problemas!$B:$B,$B70,Datos_problemas!$F:$F,"Evaluación",Datos_problemas!$E:$E,"Final"),""))</f>
        <v/>
      </c>
      <c r="I70" s="21" t="str">
        <f aca="false">IF(OR(G70="",H70=""),"",IF(G70&gt;=10,"",(H70-G70)/(10-G70)))</f>
        <v/>
      </c>
      <c r="J70" s="18" t="str">
        <f aca="false">IF($B70="","",IFERROR(SUMIFS(Datos_items!$Z:$Z,Datos_items!$B:$B,$B70,Datos_items!$O:$O,J$4,Datos_items!$E:$E,Analisis_grupo!$C$4)/COUNTIFS(Datos_items!$B:$B,$B70,Datos_items!$O:$O,J$4,Datos_items!$E:$E,Analisis_grupo!$C$4),""))</f>
        <v/>
      </c>
      <c r="K70" s="18" t="str">
        <f aca="false">IF($B70="","",IFERROR(SUMIFS(Datos_items!$Z:$Z,Datos_items!$B:$B,$B70,Datos_items!$O:$O,K$4,Datos_items!$E:$E,Analisis_grupo!$C$4)/COUNTIFS(Datos_items!$B:$B,$B70,Datos_items!$O:$O,K$4,Datos_items!$E:$E,Analisis_grupo!$C$4),""))</f>
        <v/>
      </c>
      <c r="L70" s="18" t="str">
        <f aca="false">IF($B70="","",IFERROR(SUMIFS(Datos_items!$Z:$Z,Datos_items!$B:$B,$B70,Datos_items!$O:$O,L$4,Datos_items!$E:$E,Analisis_grupo!$C$4)/COUNTIFS(Datos_items!$B:$B,$B70,Datos_items!$O:$O,L$4,Datos_items!$E:$E,Analisis_grupo!$C$4),""))</f>
        <v/>
      </c>
      <c r="M70" s="18" t="str">
        <f aca="false">IF($B70="","",IFERROR(SUMIFS(Datos_items!$Z:$Z,Datos_items!$B:$B,$B70,Datos_items!$O:$O,M$4,Datos_items!$E:$E,Analisis_grupo!$C$4)/COUNTIFS(Datos_items!$B:$B,$B70,Datos_items!$O:$O,M$4,Datos_items!$E:$E,Analisis_grupo!$C$4),""))</f>
        <v/>
      </c>
      <c r="N70" s="18" t="str">
        <f aca="false">IF($B70="","",IFERROR(SUMIFS(Datos_items!$Z:$Z,Datos_items!$B:$B,$B70,Datos_items!$O:$O,N$4,Datos_items!$E:$E,Analisis_grupo!$C$4)/COUNTIFS(Datos_items!$B:$B,$B70,Datos_items!$O:$O,N$4,Datos_items!$E:$E,Analisis_grupo!$C$4),""))</f>
        <v/>
      </c>
      <c r="O70" s="18" t="str">
        <f aca="false">IF($B70="","",IFERROR(SUMIFS(Datos_items!$Z:$Z,Datos_items!$B:$B,$B70,Datos_items!$O:$O,O$4,Datos_items!$E:$E,Analisis_grupo!$C$4)/COUNTIFS(Datos_items!$B:$B,$B70,Datos_items!$O:$O,O$4,Datos_items!$E:$E,Analisis_grupo!$C$4),""))</f>
        <v/>
      </c>
      <c r="P70" s="18" t="str">
        <f aca="false">IF($B70="","",IFERROR(SUMIFS(Datos_items!$Z:$Z,Datos_items!$B:$B,$B70,Datos_items!$O:$O,P$4,Datos_items!$E:$E,Analisis_grupo!$C$4)/COUNTIFS(Datos_items!$B:$B,$B70,Datos_items!$O:$O,P$4,Datos_items!$E:$E,Analisis_grupo!$C$4),""))</f>
        <v/>
      </c>
      <c r="Q70" s="18" t="str">
        <f aca="false">IF($B70="","",IFERROR(SUMIFS(Datos_items!$Z:$Z,Datos_items!$B:$B,$B70,Datos_items!$O:$O,Q$4,Datos_items!$E:$E,Analisis_grupo!$C$4)/COUNTIFS(Datos_items!$B:$B,$B70,Datos_items!$O:$O,Q$4,Datos_items!$E:$E,Analisis_grupo!$C$4),""))</f>
        <v/>
      </c>
      <c r="R70" s="2" t="str">
        <f aca="false">IF(COUNT(J70:Q70)=0,"",IF(MIN(J70:Q70)&gt;=Analisis_grupo!$B$7,"(ninguna)",INDEX($J$4:$Q$4,MATCH(MIN(J70:Q70),J70:Q70,0))))</f>
        <v/>
      </c>
      <c r="S70" s="2" t="str">
        <f aca="false">IF($B70="","",COUNTIF(J70:Q70,"&lt;"&amp;Analisis_grupo!$B$7))</f>
        <v/>
      </c>
      <c r="T70" s="2" t="str">
        <f aca="false">IF($B70="","",COUNTIFS(Datos_items!$B:$B,$B70,Datos_items!$AA:$AA,T$4,Datos_items!$E:$E,Analisis_grupo!$C$4))</f>
        <v/>
      </c>
      <c r="U70" s="2" t="str">
        <f aca="false">IF($B70="","",COUNTIFS(Datos_items!$B:$B,$B70,Datos_items!$AA:$AA,U$4,Datos_items!$E:$E,Analisis_grupo!$C$4))</f>
        <v/>
      </c>
      <c r="V70" s="2" t="str">
        <f aca="false">IF($B70="","",COUNTIFS(Datos_items!$B:$B,$B70,Datos_items!$AA:$AA,V$4,Datos_items!$E:$E,Analisis_grupo!$C$4))</f>
        <v/>
      </c>
      <c r="W70" s="2" t="str">
        <f aca="false">IF($B70="","",COUNTIFS(Datos_items!$B:$B,$B70,Datos_items!$AA:$AA,W$4,Datos_items!$E:$E,Analisis_grupo!$C$4))</f>
        <v/>
      </c>
      <c r="X70" s="2" t="str">
        <f aca="false">IF($B70="","",COUNTIFS(Datos_items!$B:$B,$B70,Datos_items!$AA:$AA,X$4,Datos_items!$E:$E,Analisis_grupo!$C$4))</f>
        <v/>
      </c>
      <c r="Y70" s="2" t="str">
        <f aca="false">IF($B70="","",COUNTIFS(Datos_items!$B:$B,$B70,Datos_items!$AA:$AA,Y$4,Datos_items!$E:$E,Analisis_grupo!$C$4))</f>
        <v/>
      </c>
      <c r="Z70" s="2" t="str">
        <f aca="false">IF($B70="","",COUNTIFS(Datos_items!$B:$B,$B70,Datos_items!$AA:$AA,Z$4,Datos_items!$E:$E,Analisis_grupo!$C$4))</f>
        <v/>
      </c>
      <c r="AA70" s="2" t="str">
        <f aca="false">IF($B70="","",COUNTIFS(Datos_items!$B:$B,$B70,Datos_items!$AA:$AA,AA$4,Datos_items!$E:$E,Analisis_grupo!$C$4))</f>
        <v/>
      </c>
      <c r="AB70" s="2" t="str">
        <f aca="false">IF($B70="","",COUNTIFS(Datos_items!$B:$B,$B70,Datos_items!$AA:$AA,AB$4,Datos_items!$E:$E,Analisis_grupo!$C$4))</f>
        <v/>
      </c>
      <c r="AC70" s="2" t="str">
        <f aca="false">IF($B70="","",COUNTIFS(Datos_items!$B:$B,$B70,Datos_items!$AA:$AA,AC$4,Datos_items!$E:$E,Analisis_grupo!$C$4))</f>
        <v/>
      </c>
      <c r="AD70" s="2" t="str">
        <f aca="false">IF($B70="","",COUNTIFS(Datos_items!$B:$B,$B70,Datos_items!$AA:$AA,AD$4,Datos_items!$E:$E,Analisis_grupo!$C$4))</f>
        <v/>
      </c>
      <c r="AE70" s="2" t="str">
        <f aca="false">IF($B70="","",COUNTIFS(Datos_items!$B:$B,$B70,Datos_items!$AA:$AA,AE$4,Datos_items!$E:$E,Analisis_grupo!$C$4))</f>
        <v/>
      </c>
      <c r="AF70" s="2" t="str">
        <f aca="false">IF($B70="","",COUNTIFS(Datos_items!$B:$B,$B70,Datos_items!$AA:$AA,AF$4,Datos_items!$E:$E,Analisis_grupo!$C$4))</f>
        <v/>
      </c>
      <c r="AG70" s="2" t="str">
        <f aca="false">IF($B70="","",COUNTIFS(Datos_items!$B:$B,$B70,Datos_items!$AA:$AA,AG$4,Datos_items!$E:$E,Analisis_grupo!$C$4))</f>
        <v/>
      </c>
      <c r="AH70" s="2" t="str">
        <f aca="false">IF($B70="","",COUNTIFS(Datos_items!$B:$B,$B70,Datos_items!$AA:$AA,AH$4,Datos_items!$E:$E,Analisis_grupo!$C$4))</f>
        <v/>
      </c>
      <c r="AI70" s="2" t="str">
        <f aca="false">IF($B70="","",COUNTIFS(Datos_items!$B:$B,$B70,Datos_items!$AA:$AA,AI$4,Datos_items!$E:$E,Analisis_grupo!$C$4))</f>
        <v/>
      </c>
      <c r="AJ70" s="2" t="str">
        <f aca="false">IF($B70="","",COUNTIFS(Datos_items!$B:$B,$B70,Datos_items!$AA:$AA,AJ$4,Datos_items!$E:$E,Analisis_grupo!$C$4))</f>
        <v/>
      </c>
      <c r="AK70" s="2" t="str">
        <f aca="false">IF($B70="","",COUNTIFS(Datos_items!$B:$B,$B70,Datos_items!$AA:$AA,AK$4,Datos_items!$E:$E,Analisis_grupo!$C$4))</f>
        <v/>
      </c>
      <c r="AL70" s="2" t="str">
        <f aca="false">IF($B70="","",COUNTIFS(Datos_items!$B:$B,$B70,Datos_items!$AA:$AA,AL$4,Datos_items!$E:$E,Analisis_grupo!$C$4))</f>
        <v/>
      </c>
      <c r="AM70" s="2" t="str">
        <f aca="false">IF($B70="","",IF(MAX(Y70:AL70)=0,"",INDEX($Y$4:$AL$4,MATCH(MAX(Y70:AL70),Y70:AL70,0))))</f>
        <v/>
      </c>
      <c r="AN70" s="2" t="str">
        <f aca="false">IF($B70="","",COUNTIFS(Datos_problemas!$B:$B,$B70,Datos_problemas!$F:$F,"Práctica"))</f>
        <v/>
      </c>
      <c r="AO70" s="2" t="str">
        <f aca="false">IF($B70="","",SUMIFS(Datos_problemas!$AQ:$AQ,Datos_problemas!$B:$B,$B70,Datos_problemas!$F:$F,"Práctica"))</f>
        <v/>
      </c>
      <c r="AP70" s="2" t="str">
        <f aca="false">IF($B70="","",COUNTIFS(Datos_problemas!$B:$B,$B70,Datos_problemas!$F:$F,"Práctica",Datos_problemas!$AS:$AS,"Sí"))</f>
        <v/>
      </c>
    </row>
    <row r="71" customFormat="false" ht="15" hidden="false" customHeight="false" outlineLevel="0" collapsed="false">
      <c r="A71" s="2" t="n">
        <v>67</v>
      </c>
      <c r="B71" s="2" t="str">
        <f aca="false">IFERROR(INDEX(Datos_problemas!$B:$B,MATCH($A71,Datos_problemas!$AV:$AV,0)),"")</f>
        <v/>
      </c>
      <c r="C71" s="2" t="str">
        <f aca="false">IF($B71="","",INDEX(Datos_problemas!$C:$C,MATCH($A71,Datos_problemas!$AV:$AV,0)))</f>
        <v/>
      </c>
      <c r="D71" s="2" t="str">
        <f aca="false">IF($B71="","",INDEX(Datos_problemas!$D:$D,MATCH($A71,Datos_problemas!$AV:$AV,0)))</f>
        <v/>
      </c>
      <c r="E71" s="2" t="str">
        <f aca="false">IF($B71="","",COUNTIFS(Datos_problemas!$B:$B,$B71,Datos_problemas!$F:$F,"Evaluación"))</f>
        <v/>
      </c>
      <c r="F71" s="20" t="str">
        <f aca="false">IF($B71="","",IFERROR(AVERAGEIFS(Datos_problemas!$AE:$AE,Datos_problemas!$B:$B,$B71,Datos_problemas!$F:$F,"Evaluación"),""))</f>
        <v/>
      </c>
      <c r="G71" s="20" t="str">
        <f aca="false">IF($B71="","",IFERROR(AVERAGEIFS(Datos_problemas!$AE:$AE,Datos_problemas!$B:$B,$B71,Datos_problemas!$F:$F,"Evaluación",Datos_problemas!$E:$E,"Diagnóstico"),""))</f>
        <v/>
      </c>
      <c r="H71" s="20" t="str">
        <f aca="false">IF($B71="","",IFERROR(AVERAGEIFS(Datos_problemas!$AE:$AE,Datos_problemas!$B:$B,$B71,Datos_problemas!$F:$F,"Evaluación",Datos_problemas!$E:$E,"Final"),""))</f>
        <v/>
      </c>
      <c r="I71" s="21" t="str">
        <f aca="false">IF(OR(G71="",H71=""),"",IF(G71&gt;=10,"",(H71-G71)/(10-G71)))</f>
        <v/>
      </c>
      <c r="J71" s="18" t="str">
        <f aca="false">IF($B71="","",IFERROR(SUMIFS(Datos_items!$Z:$Z,Datos_items!$B:$B,$B71,Datos_items!$O:$O,J$4,Datos_items!$E:$E,Analisis_grupo!$C$4)/COUNTIFS(Datos_items!$B:$B,$B71,Datos_items!$O:$O,J$4,Datos_items!$E:$E,Analisis_grupo!$C$4),""))</f>
        <v/>
      </c>
      <c r="K71" s="18" t="str">
        <f aca="false">IF($B71="","",IFERROR(SUMIFS(Datos_items!$Z:$Z,Datos_items!$B:$B,$B71,Datos_items!$O:$O,K$4,Datos_items!$E:$E,Analisis_grupo!$C$4)/COUNTIFS(Datos_items!$B:$B,$B71,Datos_items!$O:$O,K$4,Datos_items!$E:$E,Analisis_grupo!$C$4),""))</f>
        <v/>
      </c>
      <c r="L71" s="18" t="str">
        <f aca="false">IF($B71="","",IFERROR(SUMIFS(Datos_items!$Z:$Z,Datos_items!$B:$B,$B71,Datos_items!$O:$O,L$4,Datos_items!$E:$E,Analisis_grupo!$C$4)/COUNTIFS(Datos_items!$B:$B,$B71,Datos_items!$O:$O,L$4,Datos_items!$E:$E,Analisis_grupo!$C$4),""))</f>
        <v/>
      </c>
      <c r="M71" s="18" t="str">
        <f aca="false">IF($B71="","",IFERROR(SUMIFS(Datos_items!$Z:$Z,Datos_items!$B:$B,$B71,Datos_items!$O:$O,M$4,Datos_items!$E:$E,Analisis_grupo!$C$4)/COUNTIFS(Datos_items!$B:$B,$B71,Datos_items!$O:$O,M$4,Datos_items!$E:$E,Analisis_grupo!$C$4),""))</f>
        <v/>
      </c>
      <c r="N71" s="18" t="str">
        <f aca="false">IF($B71="","",IFERROR(SUMIFS(Datos_items!$Z:$Z,Datos_items!$B:$B,$B71,Datos_items!$O:$O,N$4,Datos_items!$E:$E,Analisis_grupo!$C$4)/COUNTIFS(Datos_items!$B:$B,$B71,Datos_items!$O:$O,N$4,Datos_items!$E:$E,Analisis_grupo!$C$4),""))</f>
        <v/>
      </c>
      <c r="O71" s="18" t="str">
        <f aca="false">IF($B71="","",IFERROR(SUMIFS(Datos_items!$Z:$Z,Datos_items!$B:$B,$B71,Datos_items!$O:$O,O$4,Datos_items!$E:$E,Analisis_grupo!$C$4)/COUNTIFS(Datos_items!$B:$B,$B71,Datos_items!$O:$O,O$4,Datos_items!$E:$E,Analisis_grupo!$C$4),""))</f>
        <v/>
      </c>
      <c r="P71" s="18" t="str">
        <f aca="false">IF($B71="","",IFERROR(SUMIFS(Datos_items!$Z:$Z,Datos_items!$B:$B,$B71,Datos_items!$O:$O,P$4,Datos_items!$E:$E,Analisis_grupo!$C$4)/COUNTIFS(Datos_items!$B:$B,$B71,Datos_items!$O:$O,P$4,Datos_items!$E:$E,Analisis_grupo!$C$4),""))</f>
        <v/>
      </c>
      <c r="Q71" s="18" t="str">
        <f aca="false">IF($B71="","",IFERROR(SUMIFS(Datos_items!$Z:$Z,Datos_items!$B:$B,$B71,Datos_items!$O:$O,Q$4,Datos_items!$E:$E,Analisis_grupo!$C$4)/COUNTIFS(Datos_items!$B:$B,$B71,Datos_items!$O:$O,Q$4,Datos_items!$E:$E,Analisis_grupo!$C$4),""))</f>
        <v/>
      </c>
      <c r="R71" s="2" t="str">
        <f aca="false">IF(COUNT(J71:Q71)=0,"",IF(MIN(J71:Q71)&gt;=Analisis_grupo!$B$7,"(ninguna)",INDEX($J$4:$Q$4,MATCH(MIN(J71:Q71),J71:Q71,0))))</f>
        <v/>
      </c>
      <c r="S71" s="2" t="str">
        <f aca="false">IF($B71="","",COUNTIF(J71:Q71,"&lt;"&amp;Analisis_grupo!$B$7))</f>
        <v/>
      </c>
      <c r="T71" s="2" t="str">
        <f aca="false">IF($B71="","",COUNTIFS(Datos_items!$B:$B,$B71,Datos_items!$AA:$AA,T$4,Datos_items!$E:$E,Analisis_grupo!$C$4))</f>
        <v/>
      </c>
      <c r="U71" s="2" t="str">
        <f aca="false">IF($B71="","",COUNTIFS(Datos_items!$B:$B,$B71,Datos_items!$AA:$AA,U$4,Datos_items!$E:$E,Analisis_grupo!$C$4))</f>
        <v/>
      </c>
      <c r="V71" s="2" t="str">
        <f aca="false">IF($B71="","",COUNTIFS(Datos_items!$B:$B,$B71,Datos_items!$AA:$AA,V$4,Datos_items!$E:$E,Analisis_grupo!$C$4))</f>
        <v/>
      </c>
      <c r="W71" s="2" t="str">
        <f aca="false">IF($B71="","",COUNTIFS(Datos_items!$B:$B,$B71,Datos_items!$AA:$AA,W$4,Datos_items!$E:$E,Analisis_grupo!$C$4))</f>
        <v/>
      </c>
      <c r="X71" s="2" t="str">
        <f aca="false">IF($B71="","",COUNTIFS(Datos_items!$B:$B,$B71,Datos_items!$AA:$AA,X$4,Datos_items!$E:$E,Analisis_grupo!$C$4))</f>
        <v/>
      </c>
      <c r="Y71" s="2" t="str">
        <f aca="false">IF($B71="","",COUNTIFS(Datos_items!$B:$B,$B71,Datos_items!$AA:$AA,Y$4,Datos_items!$E:$E,Analisis_grupo!$C$4))</f>
        <v/>
      </c>
      <c r="Z71" s="2" t="str">
        <f aca="false">IF($B71="","",COUNTIFS(Datos_items!$B:$B,$B71,Datos_items!$AA:$AA,Z$4,Datos_items!$E:$E,Analisis_grupo!$C$4))</f>
        <v/>
      </c>
      <c r="AA71" s="2" t="str">
        <f aca="false">IF($B71="","",COUNTIFS(Datos_items!$B:$B,$B71,Datos_items!$AA:$AA,AA$4,Datos_items!$E:$E,Analisis_grupo!$C$4))</f>
        <v/>
      </c>
      <c r="AB71" s="2" t="str">
        <f aca="false">IF($B71="","",COUNTIFS(Datos_items!$B:$B,$B71,Datos_items!$AA:$AA,AB$4,Datos_items!$E:$E,Analisis_grupo!$C$4))</f>
        <v/>
      </c>
      <c r="AC71" s="2" t="str">
        <f aca="false">IF($B71="","",COUNTIFS(Datos_items!$B:$B,$B71,Datos_items!$AA:$AA,AC$4,Datos_items!$E:$E,Analisis_grupo!$C$4))</f>
        <v/>
      </c>
      <c r="AD71" s="2" t="str">
        <f aca="false">IF($B71="","",COUNTIFS(Datos_items!$B:$B,$B71,Datos_items!$AA:$AA,AD$4,Datos_items!$E:$E,Analisis_grupo!$C$4))</f>
        <v/>
      </c>
      <c r="AE71" s="2" t="str">
        <f aca="false">IF($B71="","",COUNTIFS(Datos_items!$B:$B,$B71,Datos_items!$AA:$AA,AE$4,Datos_items!$E:$E,Analisis_grupo!$C$4))</f>
        <v/>
      </c>
      <c r="AF71" s="2" t="str">
        <f aca="false">IF($B71="","",COUNTIFS(Datos_items!$B:$B,$B71,Datos_items!$AA:$AA,AF$4,Datos_items!$E:$E,Analisis_grupo!$C$4))</f>
        <v/>
      </c>
      <c r="AG71" s="2" t="str">
        <f aca="false">IF($B71="","",COUNTIFS(Datos_items!$B:$B,$B71,Datos_items!$AA:$AA,AG$4,Datos_items!$E:$E,Analisis_grupo!$C$4))</f>
        <v/>
      </c>
      <c r="AH71" s="2" t="str">
        <f aca="false">IF($B71="","",COUNTIFS(Datos_items!$B:$B,$B71,Datos_items!$AA:$AA,AH$4,Datos_items!$E:$E,Analisis_grupo!$C$4))</f>
        <v/>
      </c>
      <c r="AI71" s="2" t="str">
        <f aca="false">IF($B71="","",COUNTIFS(Datos_items!$B:$B,$B71,Datos_items!$AA:$AA,AI$4,Datos_items!$E:$E,Analisis_grupo!$C$4))</f>
        <v/>
      </c>
      <c r="AJ71" s="2" t="str">
        <f aca="false">IF($B71="","",COUNTIFS(Datos_items!$B:$B,$B71,Datos_items!$AA:$AA,AJ$4,Datos_items!$E:$E,Analisis_grupo!$C$4))</f>
        <v/>
      </c>
      <c r="AK71" s="2" t="str">
        <f aca="false">IF($B71="","",COUNTIFS(Datos_items!$B:$B,$B71,Datos_items!$AA:$AA,AK$4,Datos_items!$E:$E,Analisis_grupo!$C$4))</f>
        <v/>
      </c>
      <c r="AL71" s="2" t="str">
        <f aca="false">IF($B71="","",COUNTIFS(Datos_items!$B:$B,$B71,Datos_items!$AA:$AA,AL$4,Datos_items!$E:$E,Analisis_grupo!$C$4))</f>
        <v/>
      </c>
      <c r="AM71" s="2" t="str">
        <f aca="false">IF($B71="","",IF(MAX(Y71:AL71)=0,"",INDEX($Y$4:$AL$4,MATCH(MAX(Y71:AL71),Y71:AL71,0))))</f>
        <v/>
      </c>
      <c r="AN71" s="2" t="str">
        <f aca="false">IF($B71="","",COUNTIFS(Datos_problemas!$B:$B,$B71,Datos_problemas!$F:$F,"Práctica"))</f>
        <v/>
      </c>
      <c r="AO71" s="2" t="str">
        <f aca="false">IF($B71="","",SUMIFS(Datos_problemas!$AQ:$AQ,Datos_problemas!$B:$B,$B71,Datos_problemas!$F:$F,"Práctica"))</f>
        <v/>
      </c>
      <c r="AP71" s="2" t="str">
        <f aca="false">IF($B71="","",COUNTIFS(Datos_problemas!$B:$B,$B71,Datos_problemas!$F:$F,"Práctica",Datos_problemas!$AS:$AS,"Sí"))</f>
        <v/>
      </c>
    </row>
    <row r="72" customFormat="false" ht="15" hidden="false" customHeight="false" outlineLevel="0" collapsed="false">
      <c r="A72" s="2" t="n">
        <v>68</v>
      </c>
      <c r="B72" s="2" t="str">
        <f aca="false">IFERROR(INDEX(Datos_problemas!$B:$B,MATCH($A72,Datos_problemas!$AV:$AV,0)),"")</f>
        <v/>
      </c>
      <c r="C72" s="2" t="str">
        <f aca="false">IF($B72="","",INDEX(Datos_problemas!$C:$C,MATCH($A72,Datos_problemas!$AV:$AV,0)))</f>
        <v/>
      </c>
      <c r="D72" s="2" t="str">
        <f aca="false">IF($B72="","",INDEX(Datos_problemas!$D:$D,MATCH($A72,Datos_problemas!$AV:$AV,0)))</f>
        <v/>
      </c>
      <c r="E72" s="2" t="str">
        <f aca="false">IF($B72="","",COUNTIFS(Datos_problemas!$B:$B,$B72,Datos_problemas!$F:$F,"Evaluación"))</f>
        <v/>
      </c>
      <c r="F72" s="20" t="str">
        <f aca="false">IF($B72="","",IFERROR(AVERAGEIFS(Datos_problemas!$AE:$AE,Datos_problemas!$B:$B,$B72,Datos_problemas!$F:$F,"Evaluación"),""))</f>
        <v/>
      </c>
      <c r="G72" s="20" t="str">
        <f aca="false">IF($B72="","",IFERROR(AVERAGEIFS(Datos_problemas!$AE:$AE,Datos_problemas!$B:$B,$B72,Datos_problemas!$F:$F,"Evaluación",Datos_problemas!$E:$E,"Diagnóstico"),""))</f>
        <v/>
      </c>
      <c r="H72" s="20" t="str">
        <f aca="false">IF($B72="","",IFERROR(AVERAGEIFS(Datos_problemas!$AE:$AE,Datos_problemas!$B:$B,$B72,Datos_problemas!$F:$F,"Evaluación",Datos_problemas!$E:$E,"Final"),""))</f>
        <v/>
      </c>
      <c r="I72" s="21" t="str">
        <f aca="false">IF(OR(G72="",H72=""),"",IF(G72&gt;=10,"",(H72-G72)/(10-G72)))</f>
        <v/>
      </c>
      <c r="J72" s="18" t="str">
        <f aca="false">IF($B72="","",IFERROR(SUMIFS(Datos_items!$Z:$Z,Datos_items!$B:$B,$B72,Datos_items!$O:$O,J$4,Datos_items!$E:$E,Analisis_grupo!$C$4)/COUNTIFS(Datos_items!$B:$B,$B72,Datos_items!$O:$O,J$4,Datos_items!$E:$E,Analisis_grupo!$C$4),""))</f>
        <v/>
      </c>
      <c r="K72" s="18" t="str">
        <f aca="false">IF($B72="","",IFERROR(SUMIFS(Datos_items!$Z:$Z,Datos_items!$B:$B,$B72,Datos_items!$O:$O,K$4,Datos_items!$E:$E,Analisis_grupo!$C$4)/COUNTIFS(Datos_items!$B:$B,$B72,Datos_items!$O:$O,K$4,Datos_items!$E:$E,Analisis_grupo!$C$4),""))</f>
        <v/>
      </c>
      <c r="L72" s="18" t="str">
        <f aca="false">IF($B72="","",IFERROR(SUMIFS(Datos_items!$Z:$Z,Datos_items!$B:$B,$B72,Datos_items!$O:$O,L$4,Datos_items!$E:$E,Analisis_grupo!$C$4)/COUNTIFS(Datos_items!$B:$B,$B72,Datos_items!$O:$O,L$4,Datos_items!$E:$E,Analisis_grupo!$C$4),""))</f>
        <v/>
      </c>
      <c r="M72" s="18" t="str">
        <f aca="false">IF($B72="","",IFERROR(SUMIFS(Datos_items!$Z:$Z,Datos_items!$B:$B,$B72,Datos_items!$O:$O,M$4,Datos_items!$E:$E,Analisis_grupo!$C$4)/COUNTIFS(Datos_items!$B:$B,$B72,Datos_items!$O:$O,M$4,Datos_items!$E:$E,Analisis_grupo!$C$4),""))</f>
        <v/>
      </c>
      <c r="N72" s="18" t="str">
        <f aca="false">IF($B72="","",IFERROR(SUMIFS(Datos_items!$Z:$Z,Datos_items!$B:$B,$B72,Datos_items!$O:$O,N$4,Datos_items!$E:$E,Analisis_grupo!$C$4)/COUNTIFS(Datos_items!$B:$B,$B72,Datos_items!$O:$O,N$4,Datos_items!$E:$E,Analisis_grupo!$C$4),""))</f>
        <v/>
      </c>
      <c r="O72" s="18" t="str">
        <f aca="false">IF($B72="","",IFERROR(SUMIFS(Datos_items!$Z:$Z,Datos_items!$B:$B,$B72,Datos_items!$O:$O,O$4,Datos_items!$E:$E,Analisis_grupo!$C$4)/COUNTIFS(Datos_items!$B:$B,$B72,Datos_items!$O:$O,O$4,Datos_items!$E:$E,Analisis_grupo!$C$4),""))</f>
        <v/>
      </c>
      <c r="P72" s="18" t="str">
        <f aca="false">IF($B72="","",IFERROR(SUMIFS(Datos_items!$Z:$Z,Datos_items!$B:$B,$B72,Datos_items!$O:$O,P$4,Datos_items!$E:$E,Analisis_grupo!$C$4)/COUNTIFS(Datos_items!$B:$B,$B72,Datos_items!$O:$O,P$4,Datos_items!$E:$E,Analisis_grupo!$C$4),""))</f>
        <v/>
      </c>
      <c r="Q72" s="18" t="str">
        <f aca="false">IF($B72="","",IFERROR(SUMIFS(Datos_items!$Z:$Z,Datos_items!$B:$B,$B72,Datos_items!$O:$O,Q$4,Datos_items!$E:$E,Analisis_grupo!$C$4)/COUNTIFS(Datos_items!$B:$B,$B72,Datos_items!$O:$O,Q$4,Datos_items!$E:$E,Analisis_grupo!$C$4),""))</f>
        <v/>
      </c>
      <c r="R72" s="2" t="str">
        <f aca="false">IF(COUNT(J72:Q72)=0,"",IF(MIN(J72:Q72)&gt;=Analisis_grupo!$B$7,"(ninguna)",INDEX($J$4:$Q$4,MATCH(MIN(J72:Q72),J72:Q72,0))))</f>
        <v/>
      </c>
      <c r="S72" s="2" t="str">
        <f aca="false">IF($B72="","",COUNTIF(J72:Q72,"&lt;"&amp;Analisis_grupo!$B$7))</f>
        <v/>
      </c>
      <c r="T72" s="2" t="str">
        <f aca="false">IF($B72="","",COUNTIFS(Datos_items!$B:$B,$B72,Datos_items!$AA:$AA,T$4,Datos_items!$E:$E,Analisis_grupo!$C$4))</f>
        <v/>
      </c>
      <c r="U72" s="2" t="str">
        <f aca="false">IF($B72="","",COUNTIFS(Datos_items!$B:$B,$B72,Datos_items!$AA:$AA,U$4,Datos_items!$E:$E,Analisis_grupo!$C$4))</f>
        <v/>
      </c>
      <c r="V72" s="2" t="str">
        <f aca="false">IF($B72="","",COUNTIFS(Datos_items!$B:$B,$B72,Datos_items!$AA:$AA,V$4,Datos_items!$E:$E,Analisis_grupo!$C$4))</f>
        <v/>
      </c>
      <c r="W72" s="2" t="str">
        <f aca="false">IF($B72="","",COUNTIFS(Datos_items!$B:$B,$B72,Datos_items!$AA:$AA,W$4,Datos_items!$E:$E,Analisis_grupo!$C$4))</f>
        <v/>
      </c>
      <c r="X72" s="2" t="str">
        <f aca="false">IF($B72="","",COUNTIFS(Datos_items!$B:$B,$B72,Datos_items!$AA:$AA,X$4,Datos_items!$E:$E,Analisis_grupo!$C$4))</f>
        <v/>
      </c>
      <c r="Y72" s="2" t="str">
        <f aca="false">IF($B72="","",COUNTIFS(Datos_items!$B:$B,$B72,Datos_items!$AA:$AA,Y$4,Datos_items!$E:$E,Analisis_grupo!$C$4))</f>
        <v/>
      </c>
      <c r="Z72" s="2" t="str">
        <f aca="false">IF($B72="","",COUNTIFS(Datos_items!$B:$B,$B72,Datos_items!$AA:$AA,Z$4,Datos_items!$E:$E,Analisis_grupo!$C$4))</f>
        <v/>
      </c>
      <c r="AA72" s="2" t="str">
        <f aca="false">IF($B72="","",COUNTIFS(Datos_items!$B:$B,$B72,Datos_items!$AA:$AA,AA$4,Datos_items!$E:$E,Analisis_grupo!$C$4))</f>
        <v/>
      </c>
      <c r="AB72" s="2" t="str">
        <f aca="false">IF($B72="","",COUNTIFS(Datos_items!$B:$B,$B72,Datos_items!$AA:$AA,AB$4,Datos_items!$E:$E,Analisis_grupo!$C$4))</f>
        <v/>
      </c>
      <c r="AC72" s="2" t="str">
        <f aca="false">IF($B72="","",COUNTIFS(Datos_items!$B:$B,$B72,Datos_items!$AA:$AA,AC$4,Datos_items!$E:$E,Analisis_grupo!$C$4))</f>
        <v/>
      </c>
      <c r="AD72" s="2" t="str">
        <f aca="false">IF($B72="","",COUNTIFS(Datos_items!$B:$B,$B72,Datos_items!$AA:$AA,AD$4,Datos_items!$E:$E,Analisis_grupo!$C$4))</f>
        <v/>
      </c>
      <c r="AE72" s="2" t="str">
        <f aca="false">IF($B72="","",COUNTIFS(Datos_items!$B:$B,$B72,Datos_items!$AA:$AA,AE$4,Datos_items!$E:$E,Analisis_grupo!$C$4))</f>
        <v/>
      </c>
      <c r="AF72" s="2" t="str">
        <f aca="false">IF($B72="","",COUNTIFS(Datos_items!$B:$B,$B72,Datos_items!$AA:$AA,AF$4,Datos_items!$E:$E,Analisis_grupo!$C$4))</f>
        <v/>
      </c>
      <c r="AG72" s="2" t="str">
        <f aca="false">IF($B72="","",COUNTIFS(Datos_items!$B:$B,$B72,Datos_items!$AA:$AA,AG$4,Datos_items!$E:$E,Analisis_grupo!$C$4))</f>
        <v/>
      </c>
      <c r="AH72" s="2" t="str">
        <f aca="false">IF($B72="","",COUNTIFS(Datos_items!$B:$B,$B72,Datos_items!$AA:$AA,AH$4,Datos_items!$E:$E,Analisis_grupo!$C$4))</f>
        <v/>
      </c>
      <c r="AI72" s="2" t="str">
        <f aca="false">IF($B72="","",COUNTIFS(Datos_items!$B:$B,$B72,Datos_items!$AA:$AA,AI$4,Datos_items!$E:$E,Analisis_grupo!$C$4))</f>
        <v/>
      </c>
      <c r="AJ72" s="2" t="str">
        <f aca="false">IF($B72="","",COUNTIFS(Datos_items!$B:$B,$B72,Datos_items!$AA:$AA,AJ$4,Datos_items!$E:$E,Analisis_grupo!$C$4))</f>
        <v/>
      </c>
      <c r="AK72" s="2" t="str">
        <f aca="false">IF($B72="","",COUNTIFS(Datos_items!$B:$B,$B72,Datos_items!$AA:$AA,AK$4,Datos_items!$E:$E,Analisis_grupo!$C$4))</f>
        <v/>
      </c>
      <c r="AL72" s="2" t="str">
        <f aca="false">IF($B72="","",COUNTIFS(Datos_items!$B:$B,$B72,Datos_items!$AA:$AA,AL$4,Datos_items!$E:$E,Analisis_grupo!$C$4))</f>
        <v/>
      </c>
      <c r="AM72" s="2" t="str">
        <f aca="false">IF($B72="","",IF(MAX(Y72:AL72)=0,"",INDEX($Y$4:$AL$4,MATCH(MAX(Y72:AL72),Y72:AL72,0))))</f>
        <v/>
      </c>
      <c r="AN72" s="2" t="str">
        <f aca="false">IF($B72="","",COUNTIFS(Datos_problemas!$B:$B,$B72,Datos_problemas!$F:$F,"Práctica"))</f>
        <v/>
      </c>
      <c r="AO72" s="2" t="str">
        <f aca="false">IF($B72="","",SUMIFS(Datos_problemas!$AQ:$AQ,Datos_problemas!$B:$B,$B72,Datos_problemas!$F:$F,"Práctica"))</f>
        <v/>
      </c>
      <c r="AP72" s="2" t="str">
        <f aca="false">IF($B72="","",COUNTIFS(Datos_problemas!$B:$B,$B72,Datos_problemas!$F:$F,"Práctica",Datos_problemas!$AS:$AS,"Sí"))</f>
        <v/>
      </c>
    </row>
    <row r="73" customFormat="false" ht="15" hidden="false" customHeight="false" outlineLevel="0" collapsed="false">
      <c r="A73" s="2" t="n">
        <v>69</v>
      </c>
      <c r="B73" s="2" t="str">
        <f aca="false">IFERROR(INDEX(Datos_problemas!$B:$B,MATCH($A73,Datos_problemas!$AV:$AV,0)),"")</f>
        <v/>
      </c>
      <c r="C73" s="2" t="str">
        <f aca="false">IF($B73="","",INDEX(Datos_problemas!$C:$C,MATCH($A73,Datos_problemas!$AV:$AV,0)))</f>
        <v/>
      </c>
      <c r="D73" s="2" t="str">
        <f aca="false">IF($B73="","",INDEX(Datos_problemas!$D:$D,MATCH($A73,Datos_problemas!$AV:$AV,0)))</f>
        <v/>
      </c>
      <c r="E73" s="2" t="str">
        <f aca="false">IF($B73="","",COUNTIFS(Datos_problemas!$B:$B,$B73,Datos_problemas!$F:$F,"Evaluación"))</f>
        <v/>
      </c>
      <c r="F73" s="20" t="str">
        <f aca="false">IF($B73="","",IFERROR(AVERAGEIFS(Datos_problemas!$AE:$AE,Datos_problemas!$B:$B,$B73,Datos_problemas!$F:$F,"Evaluación"),""))</f>
        <v/>
      </c>
      <c r="G73" s="20" t="str">
        <f aca="false">IF($B73="","",IFERROR(AVERAGEIFS(Datos_problemas!$AE:$AE,Datos_problemas!$B:$B,$B73,Datos_problemas!$F:$F,"Evaluación",Datos_problemas!$E:$E,"Diagnóstico"),""))</f>
        <v/>
      </c>
      <c r="H73" s="20" t="str">
        <f aca="false">IF($B73="","",IFERROR(AVERAGEIFS(Datos_problemas!$AE:$AE,Datos_problemas!$B:$B,$B73,Datos_problemas!$F:$F,"Evaluación",Datos_problemas!$E:$E,"Final"),""))</f>
        <v/>
      </c>
      <c r="I73" s="21" t="str">
        <f aca="false">IF(OR(G73="",H73=""),"",IF(G73&gt;=10,"",(H73-G73)/(10-G73)))</f>
        <v/>
      </c>
      <c r="J73" s="18" t="str">
        <f aca="false">IF($B73="","",IFERROR(SUMIFS(Datos_items!$Z:$Z,Datos_items!$B:$B,$B73,Datos_items!$O:$O,J$4,Datos_items!$E:$E,Analisis_grupo!$C$4)/COUNTIFS(Datos_items!$B:$B,$B73,Datos_items!$O:$O,J$4,Datos_items!$E:$E,Analisis_grupo!$C$4),""))</f>
        <v/>
      </c>
      <c r="K73" s="18" t="str">
        <f aca="false">IF($B73="","",IFERROR(SUMIFS(Datos_items!$Z:$Z,Datos_items!$B:$B,$B73,Datos_items!$O:$O,K$4,Datos_items!$E:$E,Analisis_grupo!$C$4)/COUNTIFS(Datos_items!$B:$B,$B73,Datos_items!$O:$O,K$4,Datos_items!$E:$E,Analisis_grupo!$C$4),""))</f>
        <v/>
      </c>
      <c r="L73" s="18" t="str">
        <f aca="false">IF($B73="","",IFERROR(SUMIFS(Datos_items!$Z:$Z,Datos_items!$B:$B,$B73,Datos_items!$O:$O,L$4,Datos_items!$E:$E,Analisis_grupo!$C$4)/COUNTIFS(Datos_items!$B:$B,$B73,Datos_items!$O:$O,L$4,Datos_items!$E:$E,Analisis_grupo!$C$4),""))</f>
        <v/>
      </c>
      <c r="M73" s="18" t="str">
        <f aca="false">IF($B73="","",IFERROR(SUMIFS(Datos_items!$Z:$Z,Datos_items!$B:$B,$B73,Datos_items!$O:$O,M$4,Datos_items!$E:$E,Analisis_grupo!$C$4)/COUNTIFS(Datos_items!$B:$B,$B73,Datos_items!$O:$O,M$4,Datos_items!$E:$E,Analisis_grupo!$C$4),""))</f>
        <v/>
      </c>
      <c r="N73" s="18" t="str">
        <f aca="false">IF($B73="","",IFERROR(SUMIFS(Datos_items!$Z:$Z,Datos_items!$B:$B,$B73,Datos_items!$O:$O,N$4,Datos_items!$E:$E,Analisis_grupo!$C$4)/COUNTIFS(Datos_items!$B:$B,$B73,Datos_items!$O:$O,N$4,Datos_items!$E:$E,Analisis_grupo!$C$4),""))</f>
        <v/>
      </c>
      <c r="O73" s="18" t="str">
        <f aca="false">IF($B73="","",IFERROR(SUMIFS(Datos_items!$Z:$Z,Datos_items!$B:$B,$B73,Datos_items!$O:$O,O$4,Datos_items!$E:$E,Analisis_grupo!$C$4)/COUNTIFS(Datos_items!$B:$B,$B73,Datos_items!$O:$O,O$4,Datos_items!$E:$E,Analisis_grupo!$C$4),""))</f>
        <v/>
      </c>
      <c r="P73" s="18" t="str">
        <f aca="false">IF($B73="","",IFERROR(SUMIFS(Datos_items!$Z:$Z,Datos_items!$B:$B,$B73,Datos_items!$O:$O,P$4,Datos_items!$E:$E,Analisis_grupo!$C$4)/COUNTIFS(Datos_items!$B:$B,$B73,Datos_items!$O:$O,P$4,Datos_items!$E:$E,Analisis_grupo!$C$4),""))</f>
        <v/>
      </c>
      <c r="Q73" s="18" t="str">
        <f aca="false">IF($B73="","",IFERROR(SUMIFS(Datos_items!$Z:$Z,Datos_items!$B:$B,$B73,Datos_items!$O:$O,Q$4,Datos_items!$E:$E,Analisis_grupo!$C$4)/COUNTIFS(Datos_items!$B:$B,$B73,Datos_items!$O:$O,Q$4,Datos_items!$E:$E,Analisis_grupo!$C$4),""))</f>
        <v/>
      </c>
      <c r="R73" s="2" t="str">
        <f aca="false">IF(COUNT(J73:Q73)=0,"",IF(MIN(J73:Q73)&gt;=Analisis_grupo!$B$7,"(ninguna)",INDEX($J$4:$Q$4,MATCH(MIN(J73:Q73),J73:Q73,0))))</f>
        <v/>
      </c>
      <c r="S73" s="2" t="str">
        <f aca="false">IF($B73="","",COUNTIF(J73:Q73,"&lt;"&amp;Analisis_grupo!$B$7))</f>
        <v/>
      </c>
      <c r="T73" s="2" t="str">
        <f aca="false">IF($B73="","",COUNTIFS(Datos_items!$B:$B,$B73,Datos_items!$AA:$AA,T$4,Datos_items!$E:$E,Analisis_grupo!$C$4))</f>
        <v/>
      </c>
      <c r="U73" s="2" t="str">
        <f aca="false">IF($B73="","",COUNTIFS(Datos_items!$B:$B,$B73,Datos_items!$AA:$AA,U$4,Datos_items!$E:$E,Analisis_grupo!$C$4))</f>
        <v/>
      </c>
      <c r="V73" s="2" t="str">
        <f aca="false">IF($B73="","",COUNTIFS(Datos_items!$B:$B,$B73,Datos_items!$AA:$AA,V$4,Datos_items!$E:$E,Analisis_grupo!$C$4))</f>
        <v/>
      </c>
      <c r="W73" s="2" t="str">
        <f aca="false">IF($B73="","",COUNTIFS(Datos_items!$B:$B,$B73,Datos_items!$AA:$AA,W$4,Datos_items!$E:$E,Analisis_grupo!$C$4))</f>
        <v/>
      </c>
      <c r="X73" s="2" t="str">
        <f aca="false">IF($B73="","",COUNTIFS(Datos_items!$B:$B,$B73,Datos_items!$AA:$AA,X$4,Datos_items!$E:$E,Analisis_grupo!$C$4))</f>
        <v/>
      </c>
      <c r="Y73" s="2" t="str">
        <f aca="false">IF($B73="","",COUNTIFS(Datos_items!$B:$B,$B73,Datos_items!$AA:$AA,Y$4,Datos_items!$E:$E,Analisis_grupo!$C$4))</f>
        <v/>
      </c>
      <c r="Z73" s="2" t="str">
        <f aca="false">IF($B73="","",COUNTIFS(Datos_items!$B:$B,$B73,Datos_items!$AA:$AA,Z$4,Datos_items!$E:$E,Analisis_grupo!$C$4))</f>
        <v/>
      </c>
      <c r="AA73" s="2" t="str">
        <f aca="false">IF($B73="","",COUNTIFS(Datos_items!$B:$B,$B73,Datos_items!$AA:$AA,AA$4,Datos_items!$E:$E,Analisis_grupo!$C$4))</f>
        <v/>
      </c>
      <c r="AB73" s="2" t="str">
        <f aca="false">IF($B73="","",COUNTIFS(Datos_items!$B:$B,$B73,Datos_items!$AA:$AA,AB$4,Datos_items!$E:$E,Analisis_grupo!$C$4))</f>
        <v/>
      </c>
      <c r="AC73" s="2" t="str">
        <f aca="false">IF($B73="","",COUNTIFS(Datos_items!$B:$B,$B73,Datos_items!$AA:$AA,AC$4,Datos_items!$E:$E,Analisis_grupo!$C$4))</f>
        <v/>
      </c>
      <c r="AD73" s="2" t="str">
        <f aca="false">IF($B73="","",COUNTIFS(Datos_items!$B:$B,$B73,Datos_items!$AA:$AA,AD$4,Datos_items!$E:$E,Analisis_grupo!$C$4))</f>
        <v/>
      </c>
      <c r="AE73" s="2" t="str">
        <f aca="false">IF($B73="","",COUNTIFS(Datos_items!$B:$B,$B73,Datos_items!$AA:$AA,AE$4,Datos_items!$E:$E,Analisis_grupo!$C$4))</f>
        <v/>
      </c>
      <c r="AF73" s="2" t="str">
        <f aca="false">IF($B73="","",COUNTIFS(Datos_items!$B:$B,$B73,Datos_items!$AA:$AA,AF$4,Datos_items!$E:$E,Analisis_grupo!$C$4))</f>
        <v/>
      </c>
      <c r="AG73" s="2" t="str">
        <f aca="false">IF($B73="","",COUNTIFS(Datos_items!$B:$B,$B73,Datos_items!$AA:$AA,AG$4,Datos_items!$E:$E,Analisis_grupo!$C$4))</f>
        <v/>
      </c>
      <c r="AH73" s="2" t="str">
        <f aca="false">IF($B73="","",COUNTIFS(Datos_items!$B:$B,$B73,Datos_items!$AA:$AA,AH$4,Datos_items!$E:$E,Analisis_grupo!$C$4))</f>
        <v/>
      </c>
      <c r="AI73" s="2" t="str">
        <f aca="false">IF($B73="","",COUNTIFS(Datos_items!$B:$B,$B73,Datos_items!$AA:$AA,AI$4,Datos_items!$E:$E,Analisis_grupo!$C$4))</f>
        <v/>
      </c>
      <c r="AJ73" s="2" t="str">
        <f aca="false">IF($B73="","",COUNTIFS(Datos_items!$B:$B,$B73,Datos_items!$AA:$AA,AJ$4,Datos_items!$E:$E,Analisis_grupo!$C$4))</f>
        <v/>
      </c>
      <c r="AK73" s="2" t="str">
        <f aca="false">IF($B73="","",COUNTIFS(Datos_items!$B:$B,$B73,Datos_items!$AA:$AA,AK$4,Datos_items!$E:$E,Analisis_grupo!$C$4))</f>
        <v/>
      </c>
      <c r="AL73" s="2" t="str">
        <f aca="false">IF($B73="","",COUNTIFS(Datos_items!$B:$B,$B73,Datos_items!$AA:$AA,AL$4,Datos_items!$E:$E,Analisis_grupo!$C$4))</f>
        <v/>
      </c>
      <c r="AM73" s="2" t="str">
        <f aca="false">IF($B73="","",IF(MAX(Y73:AL73)=0,"",INDEX($Y$4:$AL$4,MATCH(MAX(Y73:AL73),Y73:AL73,0))))</f>
        <v/>
      </c>
      <c r="AN73" s="2" t="str">
        <f aca="false">IF($B73="","",COUNTIFS(Datos_problemas!$B:$B,$B73,Datos_problemas!$F:$F,"Práctica"))</f>
        <v/>
      </c>
      <c r="AO73" s="2" t="str">
        <f aca="false">IF($B73="","",SUMIFS(Datos_problemas!$AQ:$AQ,Datos_problemas!$B:$B,$B73,Datos_problemas!$F:$F,"Práctica"))</f>
        <v/>
      </c>
      <c r="AP73" s="2" t="str">
        <f aca="false">IF($B73="","",COUNTIFS(Datos_problemas!$B:$B,$B73,Datos_problemas!$F:$F,"Práctica",Datos_problemas!$AS:$AS,"Sí"))</f>
        <v/>
      </c>
    </row>
    <row r="74" customFormat="false" ht="15" hidden="false" customHeight="false" outlineLevel="0" collapsed="false">
      <c r="A74" s="2" t="n">
        <v>70</v>
      </c>
      <c r="B74" s="2" t="str">
        <f aca="false">IFERROR(INDEX(Datos_problemas!$B:$B,MATCH($A74,Datos_problemas!$AV:$AV,0)),"")</f>
        <v/>
      </c>
      <c r="C74" s="2" t="str">
        <f aca="false">IF($B74="","",INDEX(Datos_problemas!$C:$C,MATCH($A74,Datos_problemas!$AV:$AV,0)))</f>
        <v/>
      </c>
      <c r="D74" s="2" t="str">
        <f aca="false">IF($B74="","",INDEX(Datos_problemas!$D:$D,MATCH($A74,Datos_problemas!$AV:$AV,0)))</f>
        <v/>
      </c>
      <c r="E74" s="2" t="str">
        <f aca="false">IF($B74="","",COUNTIFS(Datos_problemas!$B:$B,$B74,Datos_problemas!$F:$F,"Evaluación"))</f>
        <v/>
      </c>
      <c r="F74" s="20" t="str">
        <f aca="false">IF($B74="","",IFERROR(AVERAGEIFS(Datos_problemas!$AE:$AE,Datos_problemas!$B:$B,$B74,Datos_problemas!$F:$F,"Evaluación"),""))</f>
        <v/>
      </c>
      <c r="G74" s="20" t="str">
        <f aca="false">IF($B74="","",IFERROR(AVERAGEIFS(Datos_problemas!$AE:$AE,Datos_problemas!$B:$B,$B74,Datos_problemas!$F:$F,"Evaluación",Datos_problemas!$E:$E,"Diagnóstico"),""))</f>
        <v/>
      </c>
      <c r="H74" s="20" t="str">
        <f aca="false">IF($B74="","",IFERROR(AVERAGEIFS(Datos_problemas!$AE:$AE,Datos_problemas!$B:$B,$B74,Datos_problemas!$F:$F,"Evaluación",Datos_problemas!$E:$E,"Final"),""))</f>
        <v/>
      </c>
      <c r="I74" s="21" t="str">
        <f aca="false">IF(OR(G74="",H74=""),"",IF(G74&gt;=10,"",(H74-G74)/(10-G74)))</f>
        <v/>
      </c>
      <c r="J74" s="18" t="str">
        <f aca="false">IF($B74="","",IFERROR(SUMIFS(Datos_items!$Z:$Z,Datos_items!$B:$B,$B74,Datos_items!$O:$O,J$4,Datos_items!$E:$E,Analisis_grupo!$C$4)/COUNTIFS(Datos_items!$B:$B,$B74,Datos_items!$O:$O,J$4,Datos_items!$E:$E,Analisis_grupo!$C$4),""))</f>
        <v/>
      </c>
      <c r="K74" s="18" t="str">
        <f aca="false">IF($B74="","",IFERROR(SUMIFS(Datos_items!$Z:$Z,Datos_items!$B:$B,$B74,Datos_items!$O:$O,K$4,Datos_items!$E:$E,Analisis_grupo!$C$4)/COUNTIFS(Datos_items!$B:$B,$B74,Datos_items!$O:$O,K$4,Datos_items!$E:$E,Analisis_grupo!$C$4),""))</f>
        <v/>
      </c>
      <c r="L74" s="18" t="str">
        <f aca="false">IF($B74="","",IFERROR(SUMIFS(Datos_items!$Z:$Z,Datos_items!$B:$B,$B74,Datos_items!$O:$O,L$4,Datos_items!$E:$E,Analisis_grupo!$C$4)/COUNTIFS(Datos_items!$B:$B,$B74,Datos_items!$O:$O,L$4,Datos_items!$E:$E,Analisis_grupo!$C$4),""))</f>
        <v/>
      </c>
      <c r="M74" s="18" t="str">
        <f aca="false">IF($B74="","",IFERROR(SUMIFS(Datos_items!$Z:$Z,Datos_items!$B:$B,$B74,Datos_items!$O:$O,M$4,Datos_items!$E:$E,Analisis_grupo!$C$4)/COUNTIFS(Datos_items!$B:$B,$B74,Datos_items!$O:$O,M$4,Datos_items!$E:$E,Analisis_grupo!$C$4),""))</f>
        <v/>
      </c>
      <c r="N74" s="18" t="str">
        <f aca="false">IF($B74="","",IFERROR(SUMIFS(Datos_items!$Z:$Z,Datos_items!$B:$B,$B74,Datos_items!$O:$O,N$4,Datos_items!$E:$E,Analisis_grupo!$C$4)/COUNTIFS(Datos_items!$B:$B,$B74,Datos_items!$O:$O,N$4,Datos_items!$E:$E,Analisis_grupo!$C$4),""))</f>
        <v/>
      </c>
      <c r="O74" s="18" t="str">
        <f aca="false">IF($B74="","",IFERROR(SUMIFS(Datos_items!$Z:$Z,Datos_items!$B:$B,$B74,Datos_items!$O:$O,O$4,Datos_items!$E:$E,Analisis_grupo!$C$4)/COUNTIFS(Datos_items!$B:$B,$B74,Datos_items!$O:$O,O$4,Datos_items!$E:$E,Analisis_grupo!$C$4),""))</f>
        <v/>
      </c>
      <c r="P74" s="18" t="str">
        <f aca="false">IF($B74="","",IFERROR(SUMIFS(Datos_items!$Z:$Z,Datos_items!$B:$B,$B74,Datos_items!$O:$O,P$4,Datos_items!$E:$E,Analisis_grupo!$C$4)/COUNTIFS(Datos_items!$B:$B,$B74,Datos_items!$O:$O,P$4,Datos_items!$E:$E,Analisis_grupo!$C$4),""))</f>
        <v/>
      </c>
      <c r="Q74" s="18" t="str">
        <f aca="false">IF($B74="","",IFERROR(SUMIFS(Datos_items!$Z:$Z,Datos_items!$B:$B,$B74,Datos_items!$O:$O,Q$4,Datos_items!$E:$E,Analisis_grupo!$C$4)/COUNTIFS(Datos_items!$B:$B,$B74,Datos_items!$O:$O,Q$4,Datos_items!$E:$E,Analisis_grupo!$C$4),""))</f>
        <v/>
      </c>
      <c r="R74" s="2" t="str">
        <f aca="false">IF(COUNT(J74:Q74)=0,"",IF(MIN(J74:Q74)&gt;=Analisis_grupo!$B$7,"(ninguna)",INDEX($J$4:$Q$4,MATCH(MIN(J74:Q74),J74:Q74,0))))</f>
        <v/>
      </c>
      <c r="S74" s="2" t="str">
        <f aca="false">IF($B74="","",COUNTIF(J74:Q74,"&lt;"&amp;Analisis_grupo!$B$7))</f>
        <v/>
      </c>
      <c r="T74" s="2" t="str">
        <f aca="false">IF($B74="","",COUNTIFS(Datos_items!$B:$B,$B74,Datos_items!$AA:$AA,T$4,Datos_items!$E:$E,Analisis_grupo!$C$4))</f>
        <v/>
      </c>
      <c r="U74" s="2" t="str">
        <f aca="false">IF($B74="","",COUNTIFS(Datos_items!$B:$B,$B74,Datos_items!$AA:$AA,U$4,Datos_items!$E:$E,Analisis_grupo!$C$4))</f>
        <v/>
      </c>
      <c r="V74" s="2" t="str">
        <f aca="false">IF($B74="","",COUNTIFS(Datos_items!$B:$B,$B74,Datos_items!$AA:$AA,V$4,Datos_items!$E:$E,Analisis_grupo!$C$4))</f>
        <v/>
      </c>
      <c r="W74" s="2" t="str">
        <f aca="false">IF($B74="","",COUNTIFS(Datos_items!$B:$B,$B74,Datos_items!$AA:$AA,W$4,Datos_items!$E:$E,Analisis_grupo!$C$4))</f>
        <v/>
      </c>
      <c r="X74" s="2" t="str">
        <f aca="false">IF($B74="","",COUNTIFS(Datos_items!$B:$B,$B74,Datos_items!$AA:$AA,X$4,Datos_items!$E:$E,Analisis_grupo!$C$4))</f>
        <v/>
      </c>
      <c r="Y74" s="2" t="str">
        <f aca="false">IF($B74="","",COUNTIFS(Datos_items!$B:$B,$B74,Datos_items!$AA:$AA,Y$4,Datos_items!$E:$E,Analisis_grupo!$C$4))</f>
        <v/>
      </c>
      <c r="Z74" s="2" t="str">
        <f aca="false">IF($B74="","",COUNTIFS(Datos_items!$B:$B,$B74,Datos_items!$AA:$AA,Z$4,Datos_items!$E:$E,Analisis_grupo!$C$4))</f>
        <v/>
      </c>
      <c r="AA74" s="2" t="str">
        <f aca="false">IF($B74="","",COUNTIFS(Datos_items!$B:$B,$B74,Datos_items!$AA:$AA,AA$4,Datos_items!$E:$E,Analisis_grupo!$C$4))</f>
        <v/>
      </c>
      <c r="AB74" s="2" t="str">
        <f aca="false">IF($B74="","",COUNTIFS(Datos_items!$B:$B,$B74,Datos_items!$AA:$AA,AB$4,Datos_items!$E:$E,Analisis_grupo!$C$4))</f>
        <v/>
      </c>
      <c r="AC74" s="2" t="str">
        <f aca="false">IF($B74="","",COUNTIFS(Datos_items!$B:$B,$B74,Datos_items!$AA:$AA,AC$4,Datos_items!$E:$E,Analisis_grupo!$C$4))</f>
        <v/>
      </c>
      <c r="AD74" s="2" t="str">
        <f aca="false">IF($B74="","",COUNTIFS(Datos_items!$B:$B,$B74,Datos_items!$AA:$AA,AD$4,Datos_items!$E:$E,Analisis_grupo!$C$4))</f>
        <v/>
      </c>
      <c r="AE74" s="2" t="str">
        <f aca="false">IF($B74="","",COUNTIFS(Datos_items!$B:$B,$B74,Datos_items!$AA:$AA,AE$4,Datos_items!$E:$E,Analisis_grupo!$C$4))</f>
        <v/>
      </c>
      <c r="AF74" s="2" t="str">
        <f aca="false">IF($B74="","",COUNTIFS(Datos_items!$B:$B,$B74,Datos_items!$AA:$AA,AF$4,Datos_items!$E:$E,Analisis_grupo!$C$4))</f>
        <v/>
      </c>
      <c r="AG74" s="2" t="str">
        <f aca="false">IF($B74="","",COUNTIFS(Datos_items!$B:$B,$B74,Datos_items!$AA:$AA,AG$4,Datos_items!$E:$E,Analisis_grupo!$C$4))</f>
        <v/>
      </c>
      <c r="AH74" s="2" t="str">
        <f aca="false">IF($B74="","",COUNTIFS(Datos_items!$B:$B,$B74,Datos_items!$AA:$AA,AH$4,Datos_items!$E:$E,Analisis_grupo!$C$4))</f>
        <v/>
      </c>
      <c r="AI74" s="2" t="str">
        <f aca="false">IF($B74="","",COUNTIFS(Datos_items!$B:$B,$B74,Datos_items!$AA:$AA,AI$4,Datos_items!$E:$E,Analisis_grupo!$C$4))</f>
        <v/>
      </c>
      <c r="AJ74" s="2" t="str">
        <f aca="false">IF($B74="","",COUNTIFS(Datos_items!$B:$B,$B74,Datos_items!$AA:$AA,AJ$4,Datos_items!$E:$E,Analisis_grupo!$C$4))</f>
        <v/>
      </c>
      <c r="AK74" s="2" t="str">
        <f aca="false">IF($B74="","",COUNTIFS(Datos_items!$B:$B,$B74,Datos_items!$AA:$AA,AK$4,Datos_items!$E:$E,Analisis_grupo!$C$4))</f>
        <v/>
      </c>
      <c r="AL74" s="2" t="str">
        <f aca="false">IF($B74="","",COUNTIFS(Datos_items!$B:$B,$B74,Datos_items!$AA:$AA,AL$4,Datos_items!$E:$E,Analisis_grupo!$C$4))</f>
        <v/>
      </c>
      <c r="AM74" s="2" t="str">
        <f aca="false">IF($B74="","",IF(MAX(Y74:AL74)=0,"",INDEX($Y$4:$AL$4,MATCH(MAX(Y74:AL74),Y74:AL74,0))))</f>
        <v/>
      </c>
      <c r="AN74" s="2" t="str">
        <f aca="false">IF($B74="","",COUNTIFS(Datos_problemas!$B:$B,$B74,Datos_problemas!$F:$F,"Práctica"))</f>
        <v/>
      </c>
      <c r="AO74" s="2" t="str">
        <f aca="false">IF($B74="","",SUMIFS(Datos_problemas!$AQ:$AQ,Datos_problemas!$B:$B,$B74,Datos_problemas!$F:$F,"Práctica"))</f>
        <v/>
      </c>
      <c r="AP74" s="2" t="str">
        <f aca="false">IF($B74="","",COUNTIFS(Datos_problemas!$B:$B,$B74,Datos_problemas!$F:$F,"Práctica",Datos_problemas!$AS:$AS,"Sí"))</f>
        <v/>
      </c>
    </row>
    <row r="75" customFormat="false" ht="15" hidden="false" customHeight="false" outlineLevel="0" collapsed="false">
      <c r="A75" s="2" t="n">
        <v>71</v>
      </c>
      <c r="B75" s="2" t="str">
        <f aca="false">IFERROR(INDEX(Datos_problemas!$B:$B,MATCH($A75,Datos_problemas!$AV:$AV,0)),"")</f>
        <v/>
      </c>
      <c r="C75" s="2" t="str">
        <f aca="false">IF($B75="","",INDEX(Datos_problemas!$C:$C,MATCH($A75,Datos_problemas!$AV:$AV,0)))</f>
        <v/>
      </c>
      <c r="D75" s="2" t="str">
        <f aca="false">IF($B75="","",INDEX(Datos_problemas!$D:$D,MATCH($A75,Datos_problemas!$AV:$AV,0)))</f>
        <v/>
      </c>
      <c r="E75" s="2" t="str">
        <f aca="false">IF($B75="","",COUNTIFS(Datos_problemas!$B:$B,$B75,Datos_problemas!$F:$F,"Evaluación"))</f>
        <v/>
      </c>
      <c r="F75" s="20" t="str">
        <f aca="false">IF($B75="","",IFERROR(AVERAGEIFS(Datos_problemas!$AE:$AE,Datos_problemas!$B:$B,$B75,Datos_problemas!$F:$F,"Evaluación"),""))</f>
        <v/>
      </c>
      <c r="G75" s="20" t="str">
        <f aca="false">IF($B75="","",IFERROR(AVERAGEIFS(Datos_problemas!$AE:$AE,Datos_problemas!$B:$B,$B75,Datos_problemas!$F:$F,"Evaluación",Datos_problemas!$E:$E,"Diagnóstico"),""))</f>
        <v/>
      </c>
      <c r="H75" s="20" t="str">
        <f aca="false">IF($B75="","",IFERROR(AVERAGEIFS(Datos_problemas!$AE:$AE,Datos_problemas!$B:$B,$B75,Datos_problemas!$F:$F,"Evaluación",Datos_problemas!$E:$E,"Final"),""))</f>
        <v/>
      </c>
      <c r="I75" s="21" t="str">
        <f aca="false">IF(OR(G75="",H75=""),"",IF(G75&gt;=10,"",(H75-G75)/(10-G75)))</f>
        <v/>
      </c>
      <c r="J75" s="18" t="str">
        <f aca="false">IF($B75="","",IFERROR(SUMIFS(Datos_items!$Z:$Z,Datos_items!$B:$B,$B75,Datos_items!$O:$O,J$4,Datos_items!$E:$E,Analisis_grupo!$C$4)/COUNTIFS(Datos_items!$B:$B,$B75,Datos_items!$O:$O,J$4,Datos_items!$E:$E,Analisis_grupo!$C$4),""))</f>
        <v/>
      </c>
      <c r="K75" s="18" t="str">
        <f aca="false">IF($B75="","",IFERROR(SUMIFS(Datos_items!$Z:$Z,Datos_items!$B:$B,$B75,Datos_items!$O:$O,K$4,Datos_items!$E:$E,Analisis_grupo!$C$4)/COUNTIFS(Datos_items!$B:$B,$B75,Datos_items!$O:$O,K$4,Datos_items!$E:$E,Analisis_grupo!$C$4),""))</f>
        <v/>
      </c>
      <c r="L75" s="18" t="str">
        <f aca="false">IF($B75="","",IFERROR(SUMIFS(Datos_items!$Z:$Z,Datos_items!$B:$B,$B75,Datos_items!$O:$O,L$4,Datos_items!$E:$E,Analisis_grupo!$C$4)/COUNTIFS(Datos_items!$B:$B,$B75,Datos_items!$O:$O,L$4,Datos_items!$E:$E,Analisis_grupo!$C$4),""))</f>
        <v/>
      </c>
      <c r="M75" s="18" t="str">
        <f aca="false">IF($B75="","",IFERROR(SUMIFS(Datos_items!$Z:$Z,Datos_items!$B:$B,$B75,Datos_items!$O:$O,M$4,Datos_items!$E:$E,Analisis_grupo!$C$4)/COUNTIFS(Datos_items!$B:$B,$B75,Datos_items!$O:$O,M$4,Datos_items!$E:$E,Analisis_grupo!$C$4),""))</f>
        <v/>
      </c>
      <c r="N75" s="18" t="str">
        <f aca="false">IF($B75="","",IFERROR(SUMIFS(Datos_items!$Z:$Z,Datos_items!$B:$B,$B75,Datos_items!$O:$O,N$4,Datos_items!$E:$E,Analisis_grupo!$C$4)/COUNTIFS(Datos_items!$B:$B,$B75,Datos_items!$O:$O,N$4,Datos_items!$E:$E,Analisis_grupo!$C$4),""))</f>
        <v/>
      </c>
      <c r="O75" s="18" t="str">
        <f aca="false">IF($B75="","",IFERROR(SUMIFS(Datos_items!$Z:$Z,Datos_items!$B:$B,$B75,Datos_items!$O:$O,O$4,Datos_items!$E:$E,Analisis_grupo!$C$4)/COUNTIFS(Datos_items!$B:$B,$B75,Datos_items!$O:$O,O$4,Datos_items!$E:$E,Analisis_grupo!$C$4),""))</f>
        <v/>
      </c>
      <c r="P75" s="18" t="str">
        <f aca="false">IF($B75="","",IFERROR(SUMIFS(Datos_items!$Z:$Z,Datos_items!$B:$B,$B75,Datos_items!$O:$O,P$4,Datos_items!$E:$E,Analisis_grupo!$C$4)/COUNTIFS(Datos_items!$B:$B,$B75,Datos_items!$O:$O,P$4,Datos_items!$E:$E,Analisis_grupo!$C$4),""))</f>
        <v/>
      </c>
      <c r="Q75" s="18" t="str">
        <f aca="false">IF($B75="","",IFERROR(SUMIFS(Datos_items!$Z:$Z,Datos_items!$B:$B,$B75,Datos_items!$O:$O,Q$4,Datos_items!$E:$E,Analisis_grupo!$C$4)/COUNTIFS(Datos_items!$B:$B,$B75,Datos_items!$O:$O,Q$4,Datos_items!$E:$E,Analisis_grupo!$C$4),""))</f>
        <v/>
      </c>
      <c r="R75" s="2" t="str">
        <f aca="false">IF(COUNT(J75:Q75)=0,"",IF(MIN(J75:Q75)&gt;=Analisis_grupo!$B$7,"(ninguna)",INDEX($J$4:$Q$4,MATCH(MIN(J75:Q75),J75:Q75,0))))</f>
        <v/>
      </c>
      <c r="S75" s="2" t="str">
        <f aca="false">IF($B75="","",COUNTIF(J75:Q75,"&lt;"&amp;Analisis_grupo!$B$7))</f>
        <v/>
      </c>
      <c r="T75" s="2" t="str">
        <f aca="false">IF($B75="","",COUNTIFS(Datos_items!$B:$B,$B75,Datos_items!$AA:$AA,T$4,Datos_items!$E:$E,Analisis_grupo!$C$4))</f>
        <v/>
      </c>
      <c r="U75" s="2" t="str">
        <f aca="false">IF($B75="","",COUNTIFS(Datos_items!$B:$B,$B75,Datos_items!$AA:$AA,U$4,Datos_items!$E:$E,Analisis_grupo!$C$4))</f>
        <v/>
      </c>
      <c r="V75" s="2" t="str">
        <f aca="false">IF($B75="","",COUNTIFS(Datos_items!$B:$B,$B75,Datos_items!$AA:$AA,V$4,Datos_items!$E:$E,Analisis_grupo!$C$4))</f>
        <v/>
      </c>
      <c r="W75" s="2" t="str">
        <f aca="false">IF($B75="","",COUNTIFS(Datos_items!$B:$B,$B75,Datos_items!$AA:$AA,W$4,Datos_items!$E:$E,Analisis_grupo!$C$4))</f>
        <v/>
      </c>
      <c r="X75" s="2" t="str">
        <f aca="false">IF($B75="","",COUNTIFS(Datos_items!$B:$B,$B75,Datos_items!$AA:$AA,X$4,Datos_items!$E:$E,Analisis_grupo!$C$4))</f>
        <v/>
      </c>
      <c r="Y75" s="2" t="str">
        <f aca="false">IF($B75="","",COUNTIFS(Datos_items!$B:$B,$B75,Datos_items!$AA:$AA,Y$4,Datos_items!$E:$E,Analisis_grupo!$C$4))</f>
        <v/>
      </c>
      <c r="Z75" s="2" t="str">
        <f aca="false">IF($B75="","",COUNTIFS(Datos_items!$B:$B,$B75,Datos_items!$AA:$AA,Z$4,Datos_items!$E:$E,Analisis_grupo!$C$4))</f>
        <v/>
      </c>
      <c r="AA75" s="2" t="str">
        <f aca="false">IF($B75="","",COUNTIFS(Datos_items!$B:$B,$B75,Datos_items!$AA:$AA,AA$4,Datos_items!$E:$E,Analisis_grupo!$C$4))</f>
        <v/>
      </c>
      <c r="AB75" s="2" t="str">
        <f aca="false">IF($B75="","",COUNTIFS(Datos_items!$B:$B,$B75,Datos_items!$AA:$AA,AB$4,Datos_items!$E:$E,Analisis_grupo!$C$4))</f>
        <v/>
      </c>
      <c r="AC75" s="2" t="str">
        <f aca="false">IF($B75="","",COUNTIFS(Datos_items!$B:$B,$B75,Datos_items!$AA:$AA,AC$4,Datos_items!$E:$E,Analisis_grupo!$C$4))</f>
        <v/>
      </c>
      <c r="AD75" s="2" t="str">
        <f aca="false">IF($B75="","",COUNTIFS(Datos_items!$B:$B,$B75,Datos_items!$AA:$AA,AD$4,Datos_items!$E:$E,Analisis_grupo!$C$4))</f>
        <v/>
      </c>
      <c r="AE75" s="2" t="str">
        <f aca="false">IF($B75="","",COUNTIFS(Datos_items!$B:$B,$B75,Datos_items!$AA:$AA,AE$4,Datos_items!$E:$E,Analisis_grupo!$C$4))</f>
        <v/>
      </c>
      <c r="AF75" s="2" t="str">
        <f aca="false">IF($B75="","",COUNTIFS(Datos_items!$B:$B,$B75,Datos_items!$AA:$AA,AF$4,Datos_items!$E:$E,Analisis_grupo!$C$4))</f>
        <v/>
      </c>
      <c r="AG75" s="2" t="str">
        <f aca="false">IF($B75="","",COUNTIFS(Datos_items!$B:$B,$B75,Datos_items!$AA:$AA,AG$4,Datos_items!$E:$E,Analisis_grupo!$C$4))</f>
        <v/>
      </c>
      <c r="AH75" s="2" t="str">
        <f aca="false">IF($B75="","",COUNTIFS(Datos_items!$B:$B,$B75,Datos_items!$AA:$AA,AH$4,Datos_items!$E:$E,Analisis_grupo!$C$4))</f>
        <v/>
      </c>
      <c r="AI75" s="2" t="str">
        <f aca="false">IF($B75="","",COUNTIFS(Datos_items!$B:$B,$B75,Datos_items!$AA:$AA,AI$4,Datos_items!$E:$E,Analisis_grupo!$C$4))</f>
        <v/>
      </c>
      <c r="AJ75" s="2" t="str">
        <f aca="false">IF($B75="","",COUNTIFS(Datos_items!$B:$B,$B75,Datos_items!$AA:$AA,AJ$4,Datos_items!$E:$E,Analisis_grupo!$C$4))</f>
        <v/>
      </c>
      <c r="AK75" s="2" t="str">
        <f aca="false">IF($B75="","",COUNTIFS(Datos_items!$B:$B,$B75,Datos_items!$AA:$AA,AK$4,Datos_items!$E:$E,Analisis_grupo!$C$4))</f>
        <v/>
      </c>
      <c r="AL75" s="2" t="str">
        <f aca="false">IF($B75="","",COUNTIFS(Datos_items!$B:$B,$B75,Datos_items!$AA:$AA,AL$4,Datos_items!$E:$E,Analisis_grupo!$C$4))</f>
        <v/>
      </c>
      <c r="AM75" s="2" t="str">
        <f aca="false">IF($B75="","",IF(MAX(Y75:AL75)=0,"",INDEX($Y$4:$AL$4,MATCH(MAX(Y75:AL75),Y75:AL75,0))))</f>
        <v/>
      </c>
      <c r="AN75" s="2" t="str">
        <f aca="false">IF($B75="","",COUNTIFS(Datos_problemas!$B:$B,$B75,Datos_problemas!$F:$F,"Práctica"))</f>
        <v/>
      </c>
      <c r="AO75" s="2" t="str">
        <f aca="false">IF($B75="","",SUMIFS(Datos_problemas!$AQ:$AQ,Datos_problemas!$B:$B,$B75,Datos_problemas!$F:$F,"Práctica"))</f>
        <v/>
      </c>
      <c r="AP75" s="2" t="str">
        <f aca="false">IF($B75="","",COUNTIFS(Datos_problemas!$B:$B,$B75,Datos_problemas!$F:$F,"Práctica",Datos_problemas!$AS:$AS,"Sí"))</f>
        <v/>
      </c>
    </row>
    <row r="76" customFormat="false" ht="15" hidden="false" customHeight="false" outlineLevel="0" collapsed="false">
      <c r="A76" s="2" t="n">
        <v>72</v>
      </c>
      <c r="B76" s="2" t="str">
        <f aca="false">IFERROR(INDEX(Datos_problemas!$B:$B,MATCH($A76,Datos_problemas!$AV:$AV,0)),"")</f>
        <v/>
      </c>
      <c r="C76" s="2" t="str">
        <f aca="false">IF($B76="","",INDEX(Datos_problemas!$C:$C,MATCH($A76,Datos_problemas!$AV:$AV,0)))</f>
        <v/>
      </c>
      <c r="D76" s="2" t="str">
        <f aca="false">IF($B76="","",INDEX(Datos_problemas!$D:$D,MATCH($A76,Datos_problemas!$AV:$AV,0)))</f>
        <v/>
      </c>
      <c r="E76" s="2" t="str">
        <f aca="false">IF($B76="","",COUNTIFS(Datos_problemas!$B:$B,$B76,Datos_problemas!$F:$F,"Evaluación"))</f>
        <v/>
      </c>
      <c r="F76" s="20" t="str">
        <f aca="false">IF($B76="","",IFERROR(AVERAGEIFS(Datos_problemas!$AE:$AE,Datos_problemas!$B:$B,$B76,Datos_problemas!$F:$F,"Evaluación"),""))</f>
        <v/>
      </c>
      <c r="G76" s="20" t="str">
        <f aca="false">IF($B76="","",IFERROR(AVERAGEIFS(Datos_problemas!$AE:$AE,Datos_problemas!$B:$B,$B76,Datos_problemas!$F:$F,"Evaluación",Datos_problemas!$E:$E,"Diagnóstico"),""))</f>
        <v/>
      </c>
      <c r="H76" s="20" t="str">
        <f aca="false">IF($B76="","",IFERROR(AVERAGEIFS(Datos_problemas!$AE:$AE,Datos_problemas!$B:$B,$B76,Datos_problemas!$F:$F,"Evaluación",Datos_problemas!$E:$E,"Final"),""))</f>
        <v/>
      </c>
      <c r="I76" s="21" t="str">
        <f aca="false">IF(OR(G76="",H76=""),"",IF(G76&gt;=10,"",(H76-G76)/(10-G76)))</f>
        <v/>
      </c>
      <c r="J76" s="18" t="str">
        <f aca="false">IF($B76="","",IFERROR(SUMIFS(Datos_items!$Z:$Z,Datos_items!$B:$B,$B76,Datos_items!$O:$O,J$4,Datos_items!$E:$E,Analisis_grupo!$C$4)/COUNTIFS(Datos_items!$B:$B,$B76,Datos_items!$O:$O,J$4,Datos_items!$E:$E,Analisis_grupo!$C$4),""))</f>
        <v/>
      </c>
      <c r="K76" s="18" t="str">
        <f aca="false">IF($B76="","",IFERROR(SUMIFS(Datos_items!$Z:$Z,Datos_items!$B:$B,$B76,Datos_items!$O:$O,K$4,Datos_items!$E:$E,Analisis_grupo!$C$4)/COUNTIFS(Datos_items!$B:$B,$B76,Datos_items!$O:$O,K$4,Datos_items!$E:$E,Analisis_grupo!$C$4),""))</f>
        <v/>
      </c>
      <c r="L76" s="18" t="str">
        <f aca="false">IF($B76="","",IFERROR(SUMIFS(Datos_items!$Z:$Z,Datos_items!$B:$B,$B76,Datos_items!$O:$O,L$4,Datos_items!$E:$E,Analisis_grupo!$C$4)/COUNTIFS(Datos_items!$B:$B,$B76,Datos_items!$O:$O,L$4,Datos_items!$E:$E,Analisis_grupo!$C$4),""))</f>
        <v/>
      </c>
      <c r="M76" s="18" t="str">
        <f aca="false">IF($B76="","",IFERROR(SUMIFS(Datos_items!$Z:$Z,Datos_items!$B:$B,$B76,Datos_items!$O:$O,M$4,Datos_items!$E:$E,Analisis_grupo!$C$4)/COUNTIFS(Datos_items!$B:$B,$B76,Datos_items!$O:$O,M$4,Datos_items!$E:$E,Analisis_grupo!$C$4),""))</f>
        <v/>
      </c>
      <c r="N76" s="18" t="str">
        <f aca="false">IF($B76="","",IFERROR(SUMIFS(Datos_items!$Z:$Z,Datos_items!$B:$B,$B76,Datos_items!$O:$O,N$4,Datos_items!$E:$E,Analisis_grupo!$C$4)/COUNTIFS(Datos_items!$B:$B,$B76,Datos_items!$O:$O,N$4,Datos_items!$E:$E,Analisis_grupo!$C$4),""))</f>
        <v/>
      </c>
      <c r="O76" s="18" t="str">
        <f aca="false">IF($B76="","",IFERROR(SUMIFS(Datos_items!$Z:$Z,Datos_items!$B:$B,$B76,Datos_items!$O:$O,O$4,Datos_items!$E:$E,Analisis_grupo!$C$4)/COUNTIFS(Datos_items!$B:$B,$B76,Datos_items!$O:$O,O$4,Datos_items!$E:$E,Analisis_grupo!$C$4),""))</f>
        <v/>
      </c>
      <c r="P76" s="18" t="str">
        <f aca="false">IF($B76="","",IFERROR(SUMIFS(Datos_items!$Z:$Z,Datos_items!$B:$B,$B76,Datos_items!$O:$O,P$4,Datos_items!$E:$E,Analisis_grupo!$C$4)/COUNTIFS(Datos_items!$B:$B,$B76,Datos_items!$O:$O,P$4,Datos_items!$E:$E,Analisis_grupo!$C$4),""))</f>
        <v/>
      </c>
      <c r="Q76" s="18" t="str">
        <f aca="false">IF($B76="","",IFERROR(SUMIFS(Datos_items!$Z:$Z,Datos_items!$B:$B,$B76,Datos_items!$O:$O,Q$4,Datos_items!$E:$E,Analisis_grupo!$C$4)/COUNTIFS(Datos_items!$B:$B,$B76,Datos_items!$O:$O,Q$4,Datos_items!$E:$E,Analisis_grupo!$C$4),""))</f>
        <v/>
      </c>
      <c r="R76" s="2" t="str">
        <f aca="false">IF(COUNT(J76:Q76)=0,"",IF(MIN(J76:Q76)&gt;=Analisis_grupo!$B$7,"(ninguna)",INDEX($J$4:$Q$4,MATCH(MIN(J76:Q76),J76:Q76,0))))</f>
        <v/>
      </c>
      <c r="S76" s="2" t="str">
        <f aca="false">IF($B76="","",COUNTIF(J76:Q76,"&lt;"&amp;Analisis_grupo!$B$7))</f>
        <v/>
      </c>
      <c r="T76" s="2" t="str">
        <f aca="false">IF($B76="","",COUNTIFS(Datos_items!$B:$B,$B76,Datos_items!$AA:$AA,T$4,Datos_items!$E:$E,Analisis_grupo!$C$4))</f>
        <v/>
      </c>
      <c r="U76" s="2" t="str">
        <f aca="false">IF($B76="","",COUNTIFS(Datos_items!$B:$B,$B76,Datos_items!$AA:$AA,U$4,Datos_items!$E:$E,Analisis_grupo!$C$4))</f>
        <v/>
      </c>
      <c r="V76" s="2" t="str">
        <f aca="false">IF($B76="","",COUNTIFS(Datos_items!$B:$B,$B76,Datos_items!$AA:$AA,V$4,Datos_items!$E:$E,Analisis_grupo!$C$4))</f>
        <v/>
      </c>
      <c r="W76" s="2" t="str">
        <f aca="false">IF($B76="","",COUNTIFS(Datos_items!$B:$B,$B76,Datos_items!$AA:$AA,W$4,Datos_items!$E:$E,Analisis_grupo!$C$4))</f>
        <v/>
      </c>
      <c r="X76" s="2" t="str">
        <f aca="false">IF($B76="","",COUNTIFS(Datos_items!$B:$B,$B76,Datos_items!$AA:$AA,X$4,Datos_items!$E:$E,Analisis_grupo!$C$4))</f>
        <v/>
      </c>
      <c r="Y76" s="2" t="str">
        <f aca="false">IF($B76="","",COUNTIFS(Datos_items!$B:$B,$B76,Datos_items!$AA:$AA,Y$4,Datos_items!$E:$E,Analisis_grupo!$C$4))</f>
        <v/>
      </c>
      <c r="Z76" s="2" t="str">
        <f aca="false">IF($B76="","",COUNTIFS(Datos_items!$B:$B,$B76,Datos_items!$AA:$AA,Z$4,Datos_items!$E:$E,Analisis_grupo!$C$4))</f>
        <v/>
      </c>
      <c r="AA76" s="2" t="str">
        <f aca="false">IF($B76="","",COUNTIFS(Datos_items!$B:$B,$B76,Datos_items!$AA:$AA,AA$4,Datos_items!$E:$E,Analisis_grupo!$C$4))</f>
        <v/>
      </c>
      <c r="AB76" s="2" t="str">
        <f aca="false">IF($B76="","",COUNTIFS(Datos_items!$B:$B,$B76,Datos_items!$AA:$AA,AB$4,Datos_items!$E:$E,Analisis_grupo!$C$4))</f>
        <v/>
      </c>
      <c r="AC76" s="2" t="str">
        <f aca="false">IF($B76="","",COUNTIFS(Datos_items!$B:$B,$B76,Datos_items!$AA:$AA,AC$4,Datos_items!$E:$E,Analisis_grupo!$C$4))</f>
        <v/>
      </c>
      <c r="AD76" s="2" t="str">
        <f aca="false">IF($B76="","",COUNTIFS(Datos_items!$B:$B,$B76,Datos_items!$AA:$AA,AD$4,Datos_items!$E:$E,Analisis_grupo!$C$4))</f>
        <v/>
      </c>
      <c r="AE76" s="2" t="str">
        <f aca="false">IF($B76="","",COUNTIFS(Datos_items!$B:$B,$B76,Datos_items!$AA:$AA,AE$4,Datos_items!$E:$E,Analisis_grupo!$C$4))</f>
        <v/>
      </c>
      <c r="AF76" s="2" t="str">
        <f aca="false">IF($B76="","",COUNTIFS(Datos_items!$B:$B,$B76,Datos_items!$AA:$AA,AF$4,Datos_items!$E:$E,Analisis_grupo!$C$4))</f>
        <v/>
      </c>
      <c r="AG76" s="2" t="str">
        <f aca="false">IF($B76="","",COUNTIFS(Datos_items!$B:$B,$B76,Datos_items!$AA:$AA,AG$4,Datos_items!$E:$E,Analisis_grupo!$C$4))</f>
        <v/>
      </c>
      <c r="AH76" s="2" t="str">
        <f aca="false">IF($B76="","",COUNTIFS(Datos_items!$B:$B,$B76,Datos_items!$AA:$AA,AH$4,Datos_items!$E:$E,Analisis_grupo!$C$4))</f>
        <v/>
      </c>
      <c r="AI76" s="2" t="str">
        <f aca="false">IF($B76="","",COUNTIFS(Datos_items!$B:$B,$B76,Datos_items!$AA:$AA,AI$4,Datos_items!$E:$E,Analisis_grupo!$C$4))</f>
        <v/>
      </c>
      <c r="AJ76" s="2" t="str">
        <f aca="false">IF($B76="","",COUNTIFS(Datos_items!$B:$B,$B76,Datos_items!$AA:$AA,AJ$4,Datos_items!$E:$E,Analisis_grupo!$C$4))</f>
        <v/>
      </c>
      <c r="AK76" s="2" t="str">
        <f aca="false">IF($B76="","",COUNTIFS(Datos_items!$B:$B,$B76,Datos_items!$AA:$AA,AK$4,Datos_items!$E:$E,Analisis_grupo!$C$4))</f>
        <v/>
      </c>
      <c r="AL76" s="2" t="str">
        <f aca="false">IF($B76="","",COUNTIFS(Datos_items!$B:$B,$B76,Datos_items!$AA:$AA,AL$4,Datos_items!$E:$E,Analisis_grupo!$C$4))</f>
        <v/>
      </c>
      <c r="AM76" s="2" t="str">
        <f aca="false">IF($B76="","",IF(MAX(Y76:AL76)=0,"",INDEX($Y$4:$AL$4,MATCH(MAX(Y76:AL76),Y76:AL76,0))))</f>
        <v/>
      </c>
      <c r="AN76" s="2" t="str">
        <f aca="false">IF($B76="","",COUNTIFS(Datos_problemas!$B:$B,$B76,Datos_problemas!$F:$F,"Práctica"))</f>
        <v/>
      </c>
      <c r="AO76" s="2" t="str">
        <f aca="false">IF($B76="","",SUMIFS(Datos_problemas!$AQ:$AQ,Datos_problemas!$B:$B,$B76,Datos_problemas!$F:$F,"Práctica"))</f>
        <v/>
      </c>
      <c r="AP76" s="2" t="str">
        <f aca="false">IF($B76="","",COUNTIFS(Datos_problemas!$B:$B,$B76,Datos_problemas!$F:$F,"Práctica",Datos_problemas!$AS:$AS,"Sí"))</f>
        <v/>
      </c>
    </row>
    <row r="77" customFormat="false" ht="15" hidden="false" customHeight="false" outlineLevel="0" collapsed="false">
      <c r="A77" s="2" t="n">
        <v>73</v>
      </c>
      <c r="B77" s="2" t="str">
        <f aca="false">IFERROR(INDEX(Datos_problemas!$B:$B,MATCH($A77,Datos_problemas!$AV:$AV,0)),"")</f>
        <v/>
      </c>
      <c r="C77" s="2" t="str">
        <f aca="false">IF($B77="","",INDEX(Datos_problemas!$C:$C,MATCH($A77,Datos_problemas!$AV:$AV,0)))</f>
        <v/>
      </c>
      <c r="D77" s="2" t="str">
        <f aca="false">IF($B77="","",INDEX(Datos_problemas!$D:$D,MATCH($A77,Datos_problemas!$AV:$AV,0)))</f>
        <v/>
      </c>
      <c r="E77" s="2" t="str">
        <f aca="false">IF($B77="","",COUNTIFS(Datos_problemas!$B:$B,$B77,Datos_problemas!$F:$F,"Evaluación"))</f>
        <v/>
      </c>
      <c r="F77" s="20" t="str">
        <f aca="false">IF($B77="","",IFERROR(AVERAGEIFS(Datos_problemas!$AE:$AE,Datos_problemas!$B:$B,$B77,Datos_problemas!$F:$F,"Evaluación"),""))</f>
        <v/>
      </c>
      <c r="G77" s="20" t="str">
        <f aca="false">IF($B77="","",IFERROR(AVERAGEIFS(Datos_problemas!$AE:$AE,Datos_problemas!$B:$B,$B77,Datos_problemas!$F:$F,"Evaluación",Datos_problemas!$E:$E,"Diagnóstico"),""))</f>
        <v/>
      </c>
      <c r="H77" s="20" t="str">
        <f aca="false">IF($B77="","",IFERROR(AVERAGEIFS(Datos_problemas!$AE:$AE,Datos_problemas!$B:$B,$B77,Datos_problemas!$F:$F,"Evaluación",Datos_problemas!$E:$E,"Final"),""))</f>
        <v/>
      </c>
      <c r="I77" s="21" t="str">
        <f aca="false">IF(OR(G77="",H77=""),"",IF(G77&gt;=10,"",(H77-G77)/(10-G77)))</f>
        <v/>
      </c>
      <c r="J77" s="18" t="str">
        <f aca="false">IF($B77="","",IFERROR(SUMIFS(Datos_items!$Z:$Z,Datos_items!$B:$B,$B77,Datos_items!$O:$O,J$4,Datos_items!$E:$E,Analisis_grupo!$C$4)/COUNTIFS(Datos_items!$B:$B,$B77,Datos_items!$O:$O,J$4,Datos_items!$E:$E,Analisis_grupo!$C$4),""))</f>
        <v/>
      </c>
      <c r="K77" s="18" t="str">
        <f aca="false">IF($B77="","",IFERROR(SUMIFS(Datos_items!$Z:$Z,Datos_items!$B:$B,$B77,Datos_items!$O:$O,K$4,Datos_items!$E:$E,Analisis_grupo!$C$4)/COUNTIFS(Datos_items!$B:$B,$B77,Datos_items!$O:$O,K$4,Datos_items!$E:$E,Analisis_grupo!$C$4),""))</f>
        <v/>
      </c>
      <c r="L77" s="18" t="str">
        <f aca="false">IF($B77="","",IFERROR(SUMIFS(Datos_items!$Z:$Z,Datos_items!$B:$B,$B77,Datos_items!$O:$O,L$4,Datos_items!$E:$E,Analisis_grupo!$C$4)/COUNTIFS(Datos_items!$B:$B,$B77,Datos_items!$O:$O,L$4,Datos_items!$E:$E,Analisis_grupo!$C$4),""))</f>
        <v/>
      </c>
      <c r="M77" s="18" t="str">
        <f aca="false">IF($B77="","",IFERROR(SUMIFS(Datos_items!$Z:$Z,Datos_items!$B:$B,$B77,Datos_items!$O:$O,M$4,Datos_items!$E:$E,Analisis_grupo!$C$4)/COUNTIFS(Datos_items!$B:$B,$B77,Datos_items!$O:$O,M$4,Datos_items!$E:$E,Analisis_grupo!$C$4),""))</f>
        <v/>
      </c>
      <c r="N77" s="18" t="str">
        <f aca="false">IF($B77="","",IFERROR(SUMIFS(Datos_items!$Z:$Z,Datos_items!$B:$B,$B77,Datos_items!$O:$O,N$4,Datos_items!$E:$E,Analisis_grupo!$C$4)/COUNTIFS(Datos_items!$B:$B,$B77,Datos_items!$O:$O,N$4,Datos_items!$E:$E,Analisis_grupo!$C$4),""))</f>
        <v/>
      </c>
      <c r="O77" s="18" t="str">
        <f aca="false">IF($B77="","",IFERROR(SUMIFS(Datos_items!$Z:$Z,Datos_items!$B:$B,$B77,Datos_items!$O:$O,O$4,Datos_items!$E:$E,Analisis_grupo!$C$4)/COUNTIFS(Datos_items!$B:$B,$B77,Datos_items!$O:$O,O$4,Datos_items!$E:$E,Analisis_grupo!$C$4),""))</f>
        <v/>
      </c>
      <c r="P77" s="18" t="str">
        <f aca="false">IF($B77="","",IFERROR(SUMIFS(Datos_items!$Z:$Z,Datos_items!$B:$B,$B77,Datos_items!$O:$O,P$4,Datos_items!$E:$E,Analisis_grupo!$C$4)/COUNTIFS(Datos_items!$B:$B,$B77,Datos_items!$O:$O,P$4,Datos_items!$E:$E,Analisis_grupo!$C$4),""))</f>
        <v/>
      </c>
      <c r="Q77" s="18" t="str">
        <f aca="false">IF($B77="","",IFERROR(SUMIFS(Datos_items!$Z:$Z,Datos_items!$B:$B,$B77,Datos_items!$O:$O,Q$4,Datos_items!$E:$E,Analisis_grupo!$C$4)/COUNTIFS(Datos_items!$B:$B,$B77,Datos_items!$O:$O,Q$4,Datos_items!$E:$E,Analisis_grupo!$C$4),""))</f>
        <v/>
      </c>
      <c r="R77" s="2" t="str">
        <f aca="false">IF(COUNT(J77:Q77)=0,"",IF(MIN(J77:Q77)&gt;=Analisis_grupo!$B$7,"(ninguna)",INDEX($J$4:$Q$4,MATCH(MIN(J77:Q77),J77:Q77,0))))</f>
        <v/>
      </c>
      <c r="S77" s="2" t="str">
        <f aca="false">IF($B77="","",COUNTIF(J77:Q77,"&lt;"&amp;Analisis_grupo!$B$7))</f>
        <v/>
      </c>
      <c r="T77" s="2" t="str">
        <f aca="false">IF($B77="","",COUNTIFS(Datos_items!$B:$B,$B77,Datos_items!$AA:$AA,T$4,Datos_items!$E:$E,Analisis_grupo!$C$4))</f>
        <v/>
      </c>
      <c r="U77" s="2" t="str">
        <f aca="false">IF($B77="","",COUNTIFS(Datos_items!$B:$B,$B77,Datos_items!$AA:$AA,U$4,Datos_items!$E:$E,Analisis_grupo!$C$4))</f>
        <v/>
      </c>
      <c r="V77" s="2" t="str">
        <f aca="false">IF($B77="","",COUNTIFS(Datos_items!$B:$B,$B77,Datos_items!$AA:$AA,V$4,Datos_items!$E:$E,Analisis_grupo!$C$4))</f>
        <v/>
      </c>
      <c r="W77" s="2" t="str">
        <f aca="false">IF($B77="","",COUNTIFS(Datos_items!$B:$B,$B77,Datos_items!$AA:$AA,W$4,Datos_items!$E:$E,Analisis_grupo!$C$4))</f>
        <v/>
      </c>
      <c r="X77" s="2" t="str">
        <f aca="false">IF($B77="","",COUNTIFS(Datos_items!$B:$B,$B77,Datos_items!$AA:$AA,X$4,Datos_items!$E:$E,Analisis_grupo!$C$4))</f>
        <v/>
      </c>
      <c r="Y77" s="2" t="str">
        <f aca="false">IF($B77="","",COUNTIFS(Datos_items!$B:$B,$B77,Datos_items!$AA:$AA,Y$4,Datos_items!$E:$E,Analisis_grupo!$C$4))</f>
        <v/>
      </c>
      <c r="Z77" s="2" t="str">
        <f aca="false">IF($B77="","",COUNTIFS(Datos_items!$B:$B,$B77,Datos_items!$AA:$AA,Z$4,Datos_items!$E:$E,Analisis_grupo!$C$4))</f>
        <v/>
      </c>
      <c r="AA77" s="2" t="str">
        <f aca="false">IF($B77="","",COUNTIFS(Datos_items!$B:$B,$B77,Datos_items!$AA:$AA,AA$4,Datos_items!$E:$E,Analisis_grupo!$C$4))</f>
        <v/>
      </c>
      <c r="AB77" s="2" t="str">
        <f aca="false">IF($B77="","",COUNTIFS(Datos_items!$B:$B,$B77,Datos_items!$AA:$AA,AB$4,Datos_items!$E:$E,Analisis_grupo!$C$4))</f>
        <v/>
      </c>
      <c r="AC77" s="2" t="str">
        <f aca="false">IF($B77="","",COUNTIFS(Datos_items!$B:$B,$B77,Datos_items!$AA:$AA,AC$4,Datos_items!$E:$E,Analisis_grupo!$C$4))</f>
        <v/>
      </c>
      <c r="AD77" s="2" t="str">
        <f aca="false">IF($B77="","",COUNTIFS(Datos_items!$B:$B,$B77,Datos_items!$AA:$AA,AD$4,Datos_items!$E:$E,Analisis_grupo!$C$4))</f>
        <v/>
      </c>
      <c r="AE77" s="2" t="str">
        <f aca="false">IF($B77="","",COUNTIFS(Datos_items!$B:$B,$B77,Datos_items!$AA:$AA,AE$4,Datos_items!$E:$E,Analisis_grupo!$C$4))</f>
        <v/>
      </c>
      <c r="AF77" s="2" t="str">
        <f aca="false">IF($B77="","",COUNTIFS(Datos_items!$B:$B,$B77,Datos_items!$AA:$AA,AF$4,Datos_items!$E:$E,Analisis_grupo!$C$4))</f>
        <v/>
      </c>
      <c r="AG77" s="2" t="str">
        <f aca="false">IF($B77="","",COUNTIFS(Datos_items!$B:$B,$B77,Datos_items!$AA:$AA,AG$4,Datos_items!$E:$E,Analisis_grupo!$C$4))</f>
        <v/>
      </c>
      <c r="AH77" s="2" t="str">
        <f aca="false">IF($B77="","",COUNTIFS(Datos_items!$B:$B,$B77,Datos_items!$AA:$AA,AH$4,Datos_items!$E:$E,Analisis_grupo!$C$4))</f>
        <v/>
      </c>
      <c r="AI77" s="2" t="str">
        <f aca="false">IF($B77="","",COUNTIFS(Datos_items!$B:$B,$B77,Datos_items!$AA:$AA,AI$4,Datos_items!$E:$E,Analisis_grupo!$C$4))</f>
        <v/>
      </c>
      <c r="AJ77" s="2" t="str">
        <f aca="false">IF($B77="","",COUNTIFS(Datos_items!$B:$B,$B77,Datos_items!$AA:$AA,AJ$4,Datos_items!$E:$E,Analisis_grupo!$C$4))</f>
        <v/>
      </c>
      <c r="AK77" s="2" t="str">
        <f aca="false">IF($B77="","",COUNTIFS(Datos_items!$B:$B,$B77,Datos_items!$AA:$AA,AK$4,Datos_items!$E:$E,Analisis_grupo!$C$4))</f>
        <v/>
      </c>
      <c r="AL77" s="2" t="str">
        <f aca="false">IF($B77="","",COUNTIFS(Datos_items!$B:$B,$B77,Datos_items!$AA:$AA,AL$4,Datos_items!$E:$E,Analisis_grupo!$C$4))</f>
        <v/>
      </c>
      <c r="AM77" s="2" t="str">
        <f aca="false">IF($B77="","",IF(MAX(Y77:AL77)=0,"",INDEX($Y$4:$AL$4,MATCH(MAX(Y77:AL77),Y77:AL77,0))))</f>
        <v/>
      </c>
      <c r="AN77" s="2" t="str">
        <f aca="false">IF($B77="","",COUNTIFS(Datos_problemas!$B:$B,$B77,Datos_problemas!$F:$F,"Práctica"))</f>
        <v/>
      </c>
      <c r="AO77" s="2" t="str">
        <f aca="false">IF($B77="","",SUMIFS(Datos_problemas!$AQ:$AQ,Datos_problemas!$B:$B,$B77,Datos_problemas!$F:$F,"Práctica"))</f>
        <v/>
      </c>
      <c r="AP77" s="2" t="str">
        <f aca="false">IF($B77="","",COUNTIFS(Datos_problemas!$B:$B,$B77,Datos_problemas!$F:$F,"Práctica",Datos_problemas!$AS:$AS,"Sí"))</f>
        <v/>
      </c>
    </row>
    <row r="78" customFormat="false" ht="15" hidden="false" customHeight="false" outlineLevel="0" collapsed="false">
      <c r="A78" s="2" t="n">
        <v>74</v>
      </c>
      <c r="B78" s="2" t="str">
        <f aca="false">IFERROR(INDEX(Datos_problemas!$B:$B,MATCH($A78,Datos_problemas!$AV:$AV,0)),"")</f>
        <v/>
      </c>
      <c r="C78" s="2" t="str">
        <f aca="false">IF($B78="","",INDEX(Datos_problemas!$C:$C,MATCH($A78,Datos_problemas!$AV:$AV,0)))</f>
        <v/>
      </c>
      <c r="D78" s="2" t="str">
        <f aca="false">IF($B78="","",INDEX(Datos_problemas!$D:$D,MATCH($A78,Datos_problemas!$AV:$AV,0)))</f>
        <v/>
      </c>
      <c r="E78" s="2" t="str">
        <f aca="false">IF($B78="","",COUNTIFS(Datos_problemas!$B:$B,$B78,Datos_problemas!$F:$F,"Evaluación"))</f>
        <v/>
      </c>
      <c r="F78" s="20" t="str">
        <f aca="false">IF($B78="","",IFERROR(AVERAGEIFS(Datos_problemas!$AE:$AE,Datos_problemas!$B:$B,$B78,Datos_problemas!$F:$F,"Evaluación"),""))</f>
        <v/>
      </c>
      <c r="G78" s="20" t="str">
        <f aca="false">IF($B78="","",IFERROR(AVERAGEIFS(Datos_problemas!$AE:$AE,Datos_problemas!$B:$B,$B78,Datos_problemas!$F:$F,"Evaluación",Datos_problemas!$E:$E,"Diagnóstico"),""))</f>
        <v/>
      </c>
      <c r="H78" s="20" t="str">
        <f aca="false">IF($B78="","",IFERROR(AVERAGEIFS(Datos_problemas!$AE:$AE,Datos_problemas!$B:$B,$B78,Datos_problemas!$F:$F,"Evaluación",Datos_problemas!$E:$E,"Final"),""))</f>
        <v/>
      </c>
      <c r="I78" s="21" t="str">
        <f aca="false">IF(OR(G78="",H78=""),"",IF(G78&gt;=10,"",(H78-G78)/(10-G78)))</f>
        <v/>
      </c>
      <c r="J78" s="18" t="str">
        <f aca="false">IF($B78="","",IFERROR(SUMIFS(Datos_items!$Z:$Z,Datos_items!$B:$B,$B78,Datos_items!$O:$O,J$4,Datos_items!$E:$E,Analisis_grupo!$C$4)/COUNTIFS(Datos_items!$B:$B,$B78,Datos_items!$O:$O,J$4,Datos_items!$E:$E,Analisis_grupo!$C$4),""))</f>
        <v/>
      </c>
      <c r="K78" s="18" t="str">
        <f aca="false">IF($B78="","",IFERROR(SUMIFS(Datos_items!$Z:$Z,Datos_items!$B:$B,$B78,Datos_items!$O:$O,K$4,Datos_items!$E:$E,Analisis_grupo!$C$4)/COUNTIFS(Datos_items!$B:$B,$B78,Datos_items!$O:$O,K$4,Datos_items!$E:$E,Analisis_grupo!$C$4),""))</f>
        <v/>
      </c>
      <c r="L78" s="18" t="str">
        <f aca="false">IF($B78="","",IFERROR(SUMIFS(Datos_items!$Z:$Z,Datos_items!$B:$B,$B78,Datos_items!$O:$O,L$4,Datos_items!$E:$E,Analisis_grupo!$C$4)/COUNTIFS(Datos_items!$B:$B,$B78,Datos_items!$O:$O,L$4,Datos_items!$E:$E,Analisis_grupo!$C$4),""))</f>
        <v/>
      </c>
      <c r="M78" s="18" t="str">
        <f aca="false">IF($B78="","",IFERROR(SUMIFS(Datos_items!$Z:$Z,Datos_items!$B:$B,$B78,Datos_items!$O:$O,M$4,Datos_items!$E:$E,Analisis_grupo!$C$4)/COUNTIFS(Datos_items!$B:$B,$B78,Datos_items!$O:$O,M$4,Datos_items!$E:$E,Analisis_grupo!$C$4),""))</f>
        <v/>
      </c>
      <c r="N78" s="18" t="str">
        <f aca="false">IF($B78="","",IFERROR(SUMIFS(Datos_items!$Z:$Z,Datos_items!$B:$B,$B78,Datos_items!$O:$O,N$4,Datos_items!$E:$E,Analisis_grupo!$C$4)/COUNTIFS(Datos_items!$B:$B,$B78,Datos_items!$O:$O,N$4,Datos_items!$E:$E,Analisis_grupo!$C$4),""))</f>
        <v/>
      </c>
      <c r="O78" s="18" t="str">
        <f aca="false">IF($B78="","",IFERROR(SUMIFS(Datos_items!$Z:$Z,Datos_items!$B:$B,$B78,Datos_items!$O:$O,O$4,Datos_items!$E:$E,Analisis_grupo!$C$4)/COUNTIFS(Datos_items!$B:$B,$B78,Datos_items!$O:$O,O$4,Datos_items!$E:$E,Analisis_grupo!$C$4),""))</f>
        <v/>
      </c>
      <c r="P78" s="18" t="str">
        <f aca="false">IF($B78="","",IFERROR(SUMIFS(Datos_items!$Z:$Z,Datos_items!$B:$B,$B78,Datos_items!$O:$O,P$4,Datos_items!$E:$E,Analisis_grupo!$C$4)/COUNTIFS(Datos_items!$B:$B,$B78,Datos_items!$O:$O,P$4,Datos_items!$E:$E,Analisis_grupo!$C$4),""))</f>
        <v/>
      </c>
      <c r="Q78" s="18" t="str">
        <f aca="false">IF($B78="","",IFERROR(SUMIFS(Datos_items!$Z:$Z,Datos_items!$B:$B,$B78,Datos_items!$O:$O,Q$4,Datos_items!$E:$E,Analisis_grupo!$C$4)/COUNTIFS(Datos_items!$B:$B,$B78,Datos_items!$O:$O,Q$4,Datos_items!$E:$E,Analisis_grupo!$C$4),""))</f>
        <v/>
      </c>
      <c r="R78" s="2" t="str">
        <f aca="false">IF(COUNT(J78:Q78)=0,"",IF(MIN(J78:Q78)&gt;=Analisis_grupo!$B$7,"(ninguna)",INDEX($J$4:$Q$4,MATCH(MIN(J78:Q78),J78:Q78,0))))</f>
        <v/>
      </c>
      <c r="S78" s="2" t="str">
        <f aca="false">IF($B78="","",COUNTIF(J78:Q78,"&lt;"&amp;Analisis_grupo!$B$7))</f>
        <v/>
      </c>
      <c r="T78" s="2" t="str">
        <f aca="false">IF($B78="","",COUNTIFS(Datos_items!$B:$B,$B78,Datos_items!$AA:$AA,T$4,Datos_items!$E:$E,Analisis_grupo!$C$4))</f>
        <v/>
      </c>
      <c r="U78" s="2" t="str">
        <f aca="false">IF($B78="","",COUNTIFS(Datos_items!$B:$B,$B78,Datos_items!$AA:$AA,U$4,Datos_items!$E:$E,Analisis_grupo!$C$4))</f>
        <v/>
      </c>
      <c r="V78" s="2" t="str">
        <f aca="false">IF($B78="","",COUNTIFS(Datos_items!$B:$B,$B78,Datos_items!$AA:$AA,V$4,Datos_items!$E:$E,Analisis_grupo!$C$4))</f>
        <v/>
      </c>
      <c r="W78" s="2" t="str">
        <f aca="false">IF($B78="","",COUNTIFS(Datos_items!$B:$B,$B78,Datos_items!$AA:$AA,W$4,Datos_items!$E:$E,Analisis_grupo!$C$4))</f>
        <v/>
      </c>
      <c r="X78" s="2" t="str">
        <f aca="false">IF($B78="","",COUNTIFS(Datos_items!$B:$B,$B78,Datos_items!$AA:$AA,X$4,Datos_items!$E:$E,Analisis_grupo!$C$4))</f>
        <v/>
      </c>
      <c r="Y78" s="2" t="str">
        <f aca="false">IF($B78="","",COUNTIFS(Datos_items!$B:$B,$B78,Datos_items!$AA:$AA,Y$4,Datos_items!$E:$E,Analisis_grupo!$C$4))</f>
        <v/>
      </c>
      <c r="Z78" s="2" t="str">
        <f aca="false">IF($B78="","",COUNTIFS(Datos_items!$B:$B,$B78,Datos_items!$AA:$AA,Z$4,Datos_items!$E:$E,Analisis_grupo!$C$4))</f>
        <v/>
      </c>
      <c r="AA78" s="2" t="str">
        <f aca="false">IF($B78="","",COUNTIFS(Datos_items!$B:$B,$B78,Datos_items!$AA:$AA,AA$4,Datos_items!$E:$E,Analisis_grupo!$C$4))</f>
        <v/>
      </c>
      <c r="AB78" s="2" t="str">
        <f aca="false">IF($B78="","",COUNTIFS(Datos_items!$B:$B,$B78,Datos_items!$AA:$AA,AB$4,Datos_items!$E:$E,Analisis_grupo!$C$4))</f>
        <v/>
      </c>
      <c r="AC78" s="2" t="str">
        <f aca="false">IF($B78="","",COUNTIFS(Datos_items!$B:$B,$B78,Datos_items!$AA:$AA,AC$4,Datos_items!$E:$E,Analisis_grupo!$C$4))</f>
        <v/>
      </c>
      <c r="AD78" s="2" t="str">
        <f aca="false">IF($B78="","",COUNTIFS(Datos_items!$B:$B,$B78,Datos_items!$AA:$AA,AD$4,Datos_items!$E:$E,Analisis_grupo!$C$4))</f>
        <v/>
      </c>
      <c r="AE78" s="2" t="str">
        <f aca="false">IF($B78="","",COUNTIFS(Datos_items!$B:$B,$B78,Datos_items!$AA:$AA,AE$4,Datos_items!$E:$E,Analisis_grupo!$C$4))</f>
        <v/>
      </c>
      <c r="AF78" s="2" t="str">
        <f aca="false">IF($B78="","",COUNTIFS(Datos_items!$B:$B,$B78,Datos_items!$AA:$AA,AF$4,Datos_items!$E:$E,Analisis_grupo!$C$4))</f>
        <v/>
      </c>
      <c r="AG78" s="2" t="str">
        <f aca="false">IF($B78="","",COUNTIFS(Datos_items!$B:$B,$B78,Datos_items!$AA:$AA,AG$4,Datos_items!$E:$E,Analisis_grupo!$C$4))</f>
        <v/>
      </c>
      <c r="AH78" s="2" t="str">
        <f aca="false">IF($B78="","",COUNTIFS(Datos_items!$B:$B,$B78,Datos_items!$AA:$AA,AH$4,Datos_items!$E:$E,Analisis_grupo!$C$4))</f>
        <v/>
      </c>
      <c r="AI78" s="2" t="str">
        <f aca="false">IF($B78="","",COUNTIFS(Datos_items!$B:$B,$B78,Datos_items!$AA:$AA,AI$4,Datos_items!$E:$E,Analisis_grupo!$C$4))</f>
        <v/>
      </c>
      <c r="AJ78" s="2" t="str">
        <f aca="false">IF($B78="","",COUNTIFS(Datos_items!$B:$B,$B78,Datos_items!$AA:$AA,AJ$4,Datos_items!$E:$E,Analisis_grupo!$C$4))</f>
        <v/>
      </c>
      <c r="AK78" s="2" t="str">
        <f aca="false">IF($B78="","",COUNTIFS(Datos_items!$B:$B,$B78,Datos_items!$AA:$AA,AK$4,Datos_items!$E:$E,Analisis_grupo!$C$4))</f>
        <v/>
      </c>
      <c r="AL78" s="2" t="str">
        <f aca="false">IF($B78="","",COUNTIFS(Datos_items!$B:$B,$B78,Datos_items!$AA:$AA,AL$4,Datos_items!$E:$E,Analisis_grupo!$C$4))</f>
        <v/>
      </c>
      <c r="AM78" s="2" t="str">
        <f aca="false">IF($B78="","",IF(MAX(Y78:AL78)=0,"",INDEX($Y$4:$AL$4,MATCH(MAX(Y78:AL78),Y78:AL78,0))))</f>
        <v/>
      </c>
      <c r="AN78" s="2" t="str">
        <f aca="false">IF($B78="","",COUNTIFS(Datos_problemas!$B:$B,$B78,Datos_problemas!$F:$F,"Práctica"))</f>
        <v/>
      </c>
      <c r="AO78" s="2" t="str">
        <f aca="false">IF($B78="","",SUMIFS(Datos_problemas!$AQ:$AQ,Datos_problemas!$B:$B,$B78,Datos_problemas!$F:$F,"Práctica"))</f>
        <v/>
      </c>
      <c r="AP78" s="2" t="str">
        <f aca="false">IF($B78="","",COUNTIFS(Datos_problemas!$B:$B,$B78,Datos_problemas!$F:$F,"Práctica",Datos_problemas!$AS:$AS,"Sí"))</f>
        <v/>
      </c>
    </row>
    <row r="79" customFormat="false" ht="15" hidden="false" customHeight="false" outlineLevel="0" collapsed="false">
      <c r="A79" s="2" t="n">
        <v>75</v>
      </c>
      <c r="B79" s="2" t="str">
        <f aca="false">IFERROR(INDEX(Datos_problemas!$B:$B,MATCH($A79,Datos_problemas!$AV:$AV,0)),"")</f>
        <v/>
      </c>
      <c r="C79" s="2" t="str">
        <f aca="false">IF($B79="","",INDEX(Datos_problemas!$C:$C,MATCH($A79,Datos_problemas!$AV:$AV,0)))</f>
        <v/>
      </c>
      <c r="D79" s="2" t="str">
        <f aca="false">IF($B79="","",INDEX(Datos_problemas!$D:$D,MATCH($A79,Datos_problemas!$AV:$AV,0)))</f>
        <v/>
      </c>
      <c r="E79" s="2" t="str">
        <f aca="false">IF($B79="","",COUNTIFS(Datos_problemas!$B:$B,$B79,Datos_problemas!$F:$F,"Evaluación"))</f>
        <v/>
      </c>
      <c r="F79" s="20" t="str">
        <f aca="false">IF($B79="","",IFERROR(AVERAGEIFS(Datos_problemas!$AE:$AE,Datos_problemas!$B:$B,$B79,Datos_problemas!$F:$F,"Evaluación"),""))</f>
        <v/>
      </c>
      <c r="G79" s="20" t="str">
        <f aca="false">IF($B79="","",IFERROR(AVERAGEIFS(Datos_problemas!$AE:$AE,Datos_problemas!$B:$B,$B79,Datos_problemas!$F:$F,"Evaluación",Datos_problemas!$E:$E,"Diagnóstico"),""))</f>
        <v/>
      </c>
      <c r="H79" s="20" t="str">
        <f aca="false">IF($B79="","",IFERROR(AVERAGEIFS(Datos_problemas!$AE:$AE,Datos_problemas!$B:$B,$B79,Datos_problemas!$F:$F,"Evaluación",Datos_problemas!$E:$E,"Final"),""))</f>
        <v/>
      </c>
      <c r="I79" s="21" t="str">
        <f aca="false">IF(OR(G79="",H79=""),"",IF(G79&gt;=10,"",(H79-G79)/(10-G79)))</f>
        <v/>
      </c>
      <c r="J79" s="18" t="str">
        <f aca="false">IF($B79="","",IFERROR(SUMIFS(Datos_items!$Z:$Z,Datos_items!$B:$B,$B79,Datos_items!$O:$O,J$4,Datos_items!$E:$E,Analisis_grupo!$C$4)/COUNTIFS(Datos_items!$B:$B,$B79,Datos_items!$O:$O,J$4,Datos_items!$E:$E,Analisis_grupo!$C$4),""))</f>
        <v/>
      </c>
      <c r="K79" s="18" t="str">
        <f aca="false">IF($B79="","",IFERROR(SUMIFS(Datos_items!$Z:$Z,Datos_items!$B:$B,$B79,Datos_items!$O:$O,K$4,Datos_items!$E:$E,Analisis_grupo!$C$4)/COUNTIFS(Datos_items!$B:$B,$B79,Datos_items!$O:$O,K$4,Datos_items!$E:$E,Analisis_grupo!$C$4),""))</f>
        <v/>
      </c>
      <c r="L79" s="18" t="str">
        <f aca="false">IF($B79="","",IFERROR(SUMIFS(Datos_items!$Z:$Z,Datos_items!$B:$B,$B79,Datos_items!$O:$O,L$4,Datos_items!$E:$E,Analisis_grupo!$C$4)/COUNTIFS(Datos_items!$B:$B,$B79,Datos_items!$O:$O,L$4,Datos_items!$E:$E,Analisis_grupo!$C$4),""))</f>
        <v/>
      </c>
      <c r="M79" s="18" t="str">
        <f aca="false">IF($B79="","",IFERROR(SUMIFS(Datos_items!$Z:$Z,Datos_items!$B:$B,$B79,Datos_items!$O:$O,M$4,Datos_items!$E:$E,Analisis_grupo!$C$4)/COUNTIFS(Datos_items!$B:$B,$B79,Datos_items!$O:$O,M$4,Datos_items!$E:$E,Analisis_grupo!$C$4),""))</f>
        <v/>
      </c>
      <c r="N79" s="18" t="str">
        <f aca="false">IF($B79="","",IFERROR(SUMIFS(Datos_items!$Z:$Z,Datos_items!$B:$B,$B79,Datos_items!$O:$O,N$4,Datos_items!$E:$E,Analisis_grupo!$C$4)/COUNTIFS(Datos_items!$B:$B,$B79,Datos_items!$O:$O,N$4,Datos_items!$E:$E,Analisis_grupo!$C$4),""))</f>
        <v/>
      </c>
      <c r="O79" s="18" t="str">
        <f aca="false">IF($B79="","",IFERROR(SUMIFS(Datos_items!$Z:$Z,Datos_items!$B:$B,$B79,Datos_items!$O:$O,O$4,Datos_items!$E:$E,Analisis_grupo!$C$4)/COUNTIFS(Datos_items!$B:$B,$B79,Datos_items!$O:$O,O$4,Datos_items!$E:$E,Analisis_grupo!$C$4),""))</f>
        <v/>
      </c>
      <c r="P79" s="18" t="str">
        <f aca="false">IF($B79="","",IFERROR(SUMIFS(Datos_items!$Z:$Z,Datos_items!$B:$B,$B79,Datos_items!$O:$O,P$4,Datos_items!$E:$E,Analisis_grupo!$C$4)/COUNTIFS(Datos_items!$B:$B,$B79,Datos_items!$O:$O,P$4,Datos_items!$E:$E,Analisis_grupo!$C$4),""))</f>
        <v/>
      </c>
      <c r="Q79" s="18" t="str">
        <f aca="false">IF($B79="","",IFERROR(SUMIFS(Datos_items!$Z:$Z,Datos_items!$B:$B,$B79,Datos_items!$O:$O,Q$4,Datos_items!$E:$E,Analisis_grupo!$C$4)/COUNTIFS(Datos_items!$B:$B,$B79,Datos_items!$O:$O,Q$4,Datos_items!$E:$E,Analisis_grupo!$C$4),""))</f>
        <v/>
      </c>
      <c r="R79" s="2" t="str">
        <f aca="false">IF(COUNT(J79:Q79)=0,"",IF(MIN(J79:Q79)&gt;=Analisis_grupo!$B$7,"(ninguna)",INDEX($J$4:$Q$4,MATCH(MIN(J79:Q79),J79:Q79,0))))</f>
        <v/>
      </c>
      <c r="S79" s="2" t="str">
        <f aca="false">IF($B79="","",COUNTIF(J79:Q79,"&lt;"&amp;Analisis_grupo!$B$7))</f>
        <v/>
      </c>
      <c r="T79" s="2" t="str">
        <f aca="false">IF($B79="","",COUNTIFS(Datos_items!$B:$B,$B79,Datos_items!$AA:$AA,T$4,Datos_items!$E:$E,Analisis_grupo!$C$4))</f>
        <v/>
      </c>
      <c r="U79" s="2" t="str">
        <f aca="false">IF($B79="","",COUNTIFS(Datos_items!$B:$B,$B79,Datos_items!$AA:$AA,U$4,Datos_items!$E:$E,Analisis_grupo!$C$4))</f>
        <v/>
      </c>
      <c r="V79" s="2" t="str">
        <f aca="false">IF($B79="","",COUNTIFS(Datos_items!$B:$B,$B79,Datos_items!$AA:$AA,V$4,Datos_items!$E:$E,Analisis_grupo!$C$4))</f>
        <v/>
      </c>
      <c r="W79" s="2" t="str">
        <f aca="false">IF($B79="","",COUNTIFS(Datos_items!$B:$B,$B79,Datos_items!$AA:$AA,W$4,Datos_items!$E:$E,Analisis_grupo!$C$4))</f>
        <v/>
      </c>
      <c r="X79" s="2" t="str">
        <f aca="false">IF($B79="","",COUNTIFS(Datos_items!$B:$B,$B79,Datos_items!$AA:$AA,X$4,Datos_items!$E:$E,Analisis_grupo!$C$4))</f>
        <v/>
      </c>
      <c r="Y79" s="2" t="str">
        <f aca="false">IF($B79="","",COUNTIFS(Datos_items!$B:$B,$B79,Datos_items!$AA:$AA,Y$4,Datos_items!$E:$E,Analisis_grupo!$C$4))</f>
        <v/>
      </c>
      <c r="Z79" s="2" t="str">
        <f aca="false">IF($B79="","",COUNTIFS(Datos_items!$B:$B,$B79,Datos_items!$AA:$AA,Z$4,Datos_items!$E:$E,Analisis_grupo!$C$4))</f>
        <v/>
      </c>
      <c r="AA79" s="2" t="str">
        <f aca="false">IF($B79="","",COUNTIFS(Datos_items!$B:$B,$B79,Datos_items!$AA:$AA,AA$4,Datos_items!$E:$E,Analisis_grupo!$C$4))</f>
        <v/>
      </c>
      <c r="AB79" s="2" t="str">
        <f aca="false">IF($B79="","",COUNTIFS(Datos_items!$B:$B,$B79,Datos_items!$AA:$AA,AB$4,Datos_items!$E:$E,Analisis_grupo!$C$4))</f>
        <v/>
      </c>
      <c r="AC79" s="2" t="str">
        <f aca="false">IF($B79="","",COUNTIFS(Datos_items!$B:$B,$B79,Datos_items!$AA:$AA,AC$4,Datos_items!$E:$E,Analisis_grupo!$C$4))</f>
        <v/>
      </c>
      <c r="AD79" s="2" t="str">
        <f aca="false">IF($B79="","",COUNTIFS(Datos_items!$B:$B,$B79,Datos_items!$AA:$AA,AD$4,Datos_items!$E:$E,Analisis_grupo!$C$4))</f>
        <v/>
      </c>
      <c r="AE79" s="2" t="str">
        <f aca="false">IF($B79="","",COUNTIFS(Datos_items!$B:$B,$B79,Datos_items!$AA:$AA,AE$4,Datos_items!$E:$E,Analisis_grupo!$C$4))</f>
        <v/>
      </c>
      <c r="AF79" s="2" t="str">
        <f aca="false">IF($B79="","",COUNTIFS(Datos_items!$B:$B,$B79,Datos_items!$AA:$AA,AF$4,Datos_items!$E:$E,Analisis_grupo!$C$4))</f>
        <v/>
      </c>
      <c r="AG79" s="2" t="str">
        <f aca="false">IF($B79="","",COUNTIFS(Datos_items!$B:$B,$B79,Datos_items!$AA:$AA,AG$4,Datos_items!$E:$E,Analisis_grupo!$C$4))</f>
        <v/>
      </c>
      <c r="AH79" s="2" t="str">
        <f aca="false">IF($B79="","",COUNTIFS(Datos_items!$B:$B,$B79,Datos_items!$AA:$AA,AH$4,Datos_items!$E:$E,Analisis_grupo!$C$4))</f>
        <v/>
      </c>
      <c r="AI79" s="2" t="str">
        <f aca="false">IF($B79="","",COUNTIFS(Datos_items!$B:$B,$B79,Datos_items!$AA:$AA,AI$4,Datos_items!$E:$E,Analisis_grupo!$C$4))</f>
        <v/>
      </c>
      <c r="AJ79" s="2" t="str">
        <f aca="false">IF($B79="","",COUNTIFS(Datos_items!$B:$B,$B79,Datos_items!$AA:$AA,AJ$4,Datos_items!$E:$E,Analisis_grupo!$C$4))</f>
        <v/>
      </c>
      <c r="AK79" s="2" t="str">
        <f aca="false">IF($B79="","",COUNTIFS(Datos_items!$B:$B,$B79,Datos_items!$AA:$AA,AK$4,Datos_items!$E:$E,Analisis_grupo!$C$4))</f>
        <v/>
      </c>
      <c r="AL79" s="2" t="str">
        <f aca="false">IF($B79="","",COUNTIFS(Datos_items!$B:$B,$B79,Datos_items!$AA:$AA,AL$4,Datos_items!$E:$E,Analisis_grupo!$C$4))</f>
        <v/>
      </c>
      <c r="AM79" s="2" t="str">
        <f aca="false">IF($B79="","",IF(MAX(Y79:AL79)=0,"",INDEX($Y$4:$AL$4,MATCH(MAX(Y79:AL79),Y79:AL79,0))))</f>
        <v/>
      </c>
      <c r="AN79" s="2" t="str">
        <f aca="false">IF($B79="","",COUNTIFS(Datos_problemas!$B:$B,$B79,Datos_problemas!$F:$F,"Práctica"))</f>
        <v/>
      </c>
      <c r="AO79" s="2" t="str">
        <f aca="false">IF($B79="","",SUMIFS(Datos_problemas!$AQ:$AQ,Datos_problemas!$B:$B,$B79,Datos_problemas!$F:$F,"Práctica"))</f>
        <v/>
      </c>
      <c r="AP79" s="2" t="str">
        <f aca="false">IF($B79="","",COUNTIFS(Datos_problemas!$B:$B,$B79,Datos_problemas!$F:$F,"Práctica",Datos_problemas!$AS:$AS,"Sí"))</f>
        <v/>
      </c>
    </row>
    <row r="80" customFormat="false" ht="15" hidden="false" customHeight="false" outlineLevel="0" collapsed="false">
      <c r="A80" s="2" t="n">
        <v>76</v>
      </c>
      <c r="B80" s="2" t="str">
        <f aca="false">IFERROR(INDEX(Datos_problemas!$B:$B,MATCH($A80,Datos_problemas!$AV:$AV,0)),"")</f>
        <v/>
      </c>
      <c r="C80" s="2" t="str">
        <f aca="false">IF($B80="","",INDEX(Datos_problemas!$C:$C,MATCH($A80,Datos_problemas!$AV:$AV,0)))</f>
        <v/>
      </c>
      <c r="D80" s="2" t="str">
        <f aca="false">IF($B80="","",INDEX(Datos_problemas!$D:$D,MATCH($A80,Datos_problemas!$AV:$AV,0)))</f>
        <v/>
      </c>
      <c r="E80" s="2" t="str">
        <f aca="false">IF($B80="","",COUNTIFS(Datos_problemas!$B:$B,$B80,Datos_problemas!$F:$F,"Evaluación"))</f>
        <v/>
      </c>
      <c r="F80" s="20" t="str">
        <f aca="false">IF($B80="","",IFERROR(AVERAGEIFS(Datos_problemas!$AE:$AE,Datos_problemas!$B:$B,$B80,Datos_problemas!$F:$F,"Evaluación"),""))</f>
        <v/>
      </c>
      <c r="G80" s="20" t="str">
        <f aca="false">IF($B80="","",IFERROR(AVERAGEIFS(Datos_problemas!$AE:$AE,Datos_problemas!$B:$B,$B80,Datos_problemas!$F:$F,"Evaluación",Datos_problemas!$E:$E,"Diagnóstico"),""))</f>
        <v/>
      </c>
      <c r="H80" s="20" t="str">
        <f aca="false">IF($B80="","",IFERROR(AVERAGEIFS(Datos_problemas!$AE:$AE,Datos_problemas!$B:$B,$B80,Datos_problemas!$F:$F,"Evaluación",Datos_problemas!$E:$E,"Final"),""))</f>
        <v/>
      </c>
      <c r="I80" s="21" t="str">
        <f aca="false">IF(OR(G80="",H80=""),"",IF(G80&gt;=10,"",(H80-G80)/(10-G80)))</f>
        <v/>
      </c>
      <c r="J80" s="18" t="str">
        <f aca="false">IF($B80="","",IFERROR(SUMIFS(Datos_items!$Z:$Z,Datos_items!$B:$B,$B80,Datos_items!$O:$O,J$4,Datos_items!$E:$E,Analisis_grupo!$C$4)/COUNTIFS(Datos_items!$B:$B,$B80,Datos_items!$O:$O,J$4,Datos_items!$E:$E,Analisis_grupo!$C$4),""))</f>
        <v/>
      </c>
      <c r="K80" s="18" t="str">
        <f aca="false">IF($B80="","",IFERROR(SUMIFS(Datos_items!$Z:$Z,Datos_items!$B:$B,$B80,Datos_items!$O:$O,K$4,Datos_items!$E:$E,Analisis_grupo!$C$4)/COUNTIFS(Datos_items!$B:$B,$B80,Datos_items!$O:$O,K$4,Datos_items!$E:$E,Analisis_grupo!$C$4),""))</f>
        <v/>
      </c>
      <c r="L80" s="18" t="str">
        <f aca="false">IF($B80="","",IFERROR(SUMIFS(Datos_items!$Z:$Z,Datos_items!$B:$B,$B80,Datos_items!$O:$O,L$4,Datos_items!$E:$E,Analisis_grupo!$C$4)/COUNTIFS(Datos_items!$B:$B,$B80,Datos_items!$O:$O,L$4,Datos_items!$E:$E,Analisis_grupo!$C$4),""))</f>
        <v/>
      </c>
      <c r="M80" s="18" t="str">
        <f aca="false">IF($B80="","",IFERROR(SUMIFS(Datos_items!$Z:$Z,Datos_items!$B:$B,$B80,Datos_items!$O:$O,M$4,Datos_items!$E:$E,Analisis_grupo!$C$4)/COUNTIFS(Datos_items!$B:$B,$B80,Datos_items!$O:$O,M$4,Datos_items!$E:$E,Analisis_grupo!$C$4),""))</f>
        <v/>
      </c>
      <c r="N80" s="18" t="str">
        <f aca="false">IF($B80="","",IFERROR(SUMIFS(Datos_items!$Z:$Z,Datos_items!$B:$B,$B80,Datos_items!$O:$O,N$4,Datos_items!$E:$E,Analisis_grupo!$C$4)/COUNTIFS(Datos_items!$B:$B,$B80,Datos_items!$O:$O,N$4,Datos_items!$E:$E,Analisis_grupo!$C$4),""))</f>
        <v/>
      </c>
      <c r="O80" s="18" t="str">
        <f aca="false">IF($B80="","",IFERROR(SUMIFS(Datos_items!$Z:$Z,Datos_items!$B:$B,$B80,Datos_items!$O:$O,O$4,Datos_items!$E:$E,Analisis_grupo!$C$4)/COUNTIFS(Datos_items!$B:$B,$B80,Datos_items!$O:$O,O$4,Datos_items!$E:$E,Analisis_grupo!$C$4),""))</f>
        <v/>
      </c>
      <c r="P80" s="18" t="str">
        <f aca="false">IF($B80="","",IFERROR(SUMIFS(Datos_items!$Z:$Z,Datos_items!$B:$B,$B80,Datos_items!$O:$O,P$4,Datos_items!$E:$E,Analisis_grupo!$C$4)/COUNTIFS(Datos_items!$B:$B,$B80,Datos_items!$O:$O,P$4,Datos_items!$E:$E,Analisis_grupo!$C$4),""))</f>
        <v/>
      </c>
      <c r="Q80" s="18" t="str">
        <f aca="false">IF($B80="","",IFERROR(SUMIFS(Datos_items!$Z:$Z,Datos_items!$B:$B,$B80,Datos_items!$O:$O,Q$4,Datos_items!$E:$E,Analisis_grupo!$C$4)/COUNTIFS(Datos_items!$B:$B,$B80,Datos_items!$O:$O,Q$4,Datos_items!$E:$E,Analisis_grupo!$C$4),""))</f>
        <v/>
      </c>
      <c r="R80" s="2" t="str">
        <f aca="false">IF(COUNT(J80:Q80)=0,"",IF(MIN(J80:Q80)&gt;=Analisis_grupo!$B$7,"(ninguna)",INDEX($J$4:$Q$4,MATCH(MIN(J80:Q80),J80:Q80,0))))</f>
        <v/>
      </c>
      <c r="S80" s="2" t="str">
        <f aca="false">IF($B80="","",COUNTIF(J80:Q80,"&lt;"&amp;Analisis_grupo!$B$7))</f>
        <v/>
      </c>
      <c r="T80" s="2" t="str">
        <f aca="false">IF($B80="","",COUNTIFS(Datos_items!$B:$B,$B80,Datos_items!$AA:$AA,T$4,Datos_items!$E:$E,Analisis_grupo!$C$4))</f>
        <v/>
      </c>
      <c r="U80" s="2" t="str">
        <f aca="false">IF($B80="","",COUNTIFS(Datos_items!$B:$B,$B80,Datos_items!$AA:$AA,U$4,Datos_items!$E:$E,Analisis_grupo!$C$4))</f>
        <v/>
      </c>
      <c r="V80" s="2" t="str">
        <f aca="false">IF($B80="","",COUNTIFS(Datos_items!$B:$B,$B80,Datos_items!$AA:$AA,V$4,Datos_items!$E:$E,Analisis_grupo!$C$4))</f>
        <v/>
      </c>
      <c r="W80" s="2" t="str">
        <f aca="false">IF($B80="","",COUNTIFS(Datos_items!$B:$B,$B80,Datos_items!$AA:$AA,W$4,Datos_items!$E:$E,Analisis_grupo!$C$4))</f>
        <v/>
      </c>
      <c r="X80" s="2" t="str">
        <f aca="false">IF($B80="","",COUNTIFS(Datos_items!$B:$B,$B80,Datos_items!$AA:$AA,X$4,Datos_items!$E:$E,Analisis_grupo!$C$4))</f>
        <v/>
      </c>
      <c r="Y80" s="2" t="str">
        <f aca="false">IF($B80="","",COUNTIFS(Datos_items!$B:$B,$B80,Datos_items!$AA:$AA,Y$4,Datos_items!$E:$E,Analisis_grupo!$C$4))</f>
        <v/>
      </c>
      <c r="Z80" s="2" t="str">
        <f aca="false">IF($B80="","",COUNTIFS(Datos_items!$B:$B,$B80,Datos_items!$AA:$AA,Z$4,Datos_items!$E:$E,Analisis_grupo!$C$4))</f>
        <v/>
      </c>
      <c r="AA80" s="2" t="str">
        <f aca="false">IF($B80="","",COUNTIFS(Datos_items!$B:$B,$B80,Datos_items!$AA:$AA,AA$4,Datos_items!$E:$E,Analisis_grupo!$C$4))</f>
        <v/>
      </c>
      <c r="AB80" s="2" t="str">
        <f aca="false">IF($B80="","",COUNTIFS(Datos_items!$B:$B,$B80,Datos_items!$AA:$AA,AB$4,Datos_items!$E:$E,Analisis_grupo!$C$4))</f>
        <v/>
      </c>
      <c r="AC80" s="2" t="str">
        <f aca="false">IF($B80="","",COUNTIFS(Datos_items!$B:$B,$B80,Datos_items!$AA:$AA,AC$4,Datos_items!$E:$E,Analisis_grupo!$C$4))</f>
        <v/>
      </c>
      <c r="AD80" s="2" t="str">
        <f aca="false">IF($B80="","",COUNTIFS(Datos_items!$B:$B,$B80,Datos_items!$AA:$AA,AD$4,Datos_items!$E:$E,Analisis_grupo!$C$4))</f>
        <v/>
      </c>
      <c r="AE80" s="2" t="str">
        <f aca="false">IF($B80="","",COUNTIFS(Datos_items!$B:$B,$B80,Datos_items!$AA:$AA,AE$4,Datos_items!$E:$E,Analisis_grupo!$C$4))</f>
        <v/>
      </c>
      <c r="AF80" s="2" t="str">
        <f aca="false">IF($B80="","",COUNTIFS(Datos_items!$B:$B,$B80,Datos_items!$AA:$AA,AF$4,Datos_items!$E:$E,Analisis_grupo!$C$4))</f>
        <v/>
      </c>
      <c r="AG80" s="2" t="str">
        <f aca="false">IF($B80="","",COUNTIFS(Datos_items!$B:$B,$B80,Datos_items!$AA:$AA,AG$4,Datos_items!$E:$E,Analisis_grupo!$C$4))</f>
        <v/>
      </c>
      <c r="AH80" s="2" t="str">
        <f aca="false">IF($B80="","",COUNTIFS(Datos_items!$B:$B,$B80,Datos_items!$AA:$AA,AH$4,Datos_items!$E:$E,Analisis_grupo!$C$4))</f>
        <v/>
      </c>
      <c r="AI80" s="2" t="str">
        <f aca="false">IF($B80="","",COUNTIFS(Datos_items!$B:$B,$B80,Datos_items!$AA:$AA,AI$4,Datos_items!$E:$E,Analisis_grupo!$C$4))</f>
        <v/>
      </c>
      <c r="AJ80" s="2" t="str">
        <f aca="false">IF($B80="","",COUNTIFS(Datos_items!$B:$B,$B80,Datos_items!$AA:$AA,AJ$4,Datos_items!$E:$E,Analisis_grupo!$C$4))</f>
        <v/>
      </c>
      <c r="AK80" s="2" t="str">
        <f aca="false">IF($B80="","",COUNTIFS(Datos_items!$B:$B,$B80,Datos_items!$AA:$AA,AK$4,Datos_items!$E:$E,Analisis_grupo!$C$4))</f>
        <v/>
      </c>
      <c r="AL80" s="2" t="str">
        <f aca="false">IF($B80="","",COUNTIFS(Datos_items!$B:$B,$B80,Datos_items!$AA:$AA,AL$4,Datos_items!$E:$E,Analisis_grupo!$C$4))</f>
        <v/>
      </c>
      <c r="AM80" s="2" t="str">
        <f aca="false">IF($B80="","",IF(MAX(Y80:AL80)=0,"",INDEX($Y$4:$AL$4,MATCH(MAX(Y80:AL80),Y80:AL80,0))))</f>
        <v/>
      </c>
      <c r="AN80" s="2" t="str">
        <f aca="false">IF($B80="","",COUNTIFS(Datos_problemas!$B:$B,$B80,Datos_problemas!$F:$F,"Práctica"))</f>
        <v/>
      </c>
      <c r="AO80" s="2" t="str">
        <f aca="false">IF($B80="","",SUMIFS(Datos_problemas!$AQ:$AQ,Datos_problemas!$B:$B,$B80,Datos_problemas!$F:$F,"Práctica"))</f>
        <v/>
      </c>
      <c r="AP80" s="2" t="str">
        <f aca="false">IF($B80="","",COUNTIFS(Datos_problemas!$B:$B,$B80,Datos_problemas!$F:$F,"Práctica",Datos_problemas!$AS:$AS,"Sí"))</f>
        <v/>
      </c>
    </row>
    <row r="81" customFormat="false" ht="15" hidden="false" customHeight="false" outlineLevel="0" collapsed="false">
      <c r="A81" s="2" t="n">
        <v>77</v>
      </c>
      <c r="B81" s="2" t="str">
        <f aca="false">IFERROR(INDEX(Datos_problemas!$B:$B,MATCH($A81,Datos_problemas!$AV:$AV,0)),"")</f>
        <v/>
      </c>
      <c r="C81" s="2" t="str">
        <f aca="false">IF($B81="","",INDEX(Datos_problemas!$C:$C,MATCH($A81,Datos_problemas!$AV:$AV,0)))</f>
        <v/>
      </c>
      <c r="D81" s="2" t="str">
        <f aca="false">IF($B81="","",INDEX(Datos_problemas!$D:$D,MATCH($A81,Datos_problemas!$AV:$AV,0)))</f>
        <v/>
      </c>
      <c r="E81" s="2" t="str">
        <f aca="false">IF($B81="","",COUNTIFS(Datos_problemas!$B:$B,$B81,Datos_problemas!$F:$F,"Evaluación"))</f>
        <v/>
      </c>
      <c r="F81" s="20" t="str">
        <f aca="false">IF($B81="","",IFERROR(AVERAGEIFS(Datos_problemas!$AE:$AE,Datos_problemas!$B:$B,$B81,Datos_problemas!$F:$F,"Evaluación"),""))</f>
        <v/>
      </c>
      <c r="G81" s="20" t="str">
        <f aca="false">IF($B81="","",IFERROR(AVERAGEIFS(Datos_problemas!$AE:$AE,Datos_problemas!$B:$B,$B81,Datos_problemas!$F:$F,"Evaluación",Datos_problemas!$E:$E,"Diagnóstico"),""))</f>
        <v/>
      </c>
      <c r="H81" s="20" t="str">
        <f aca="false">IF($B81="","",IFERROR(AVERAGEIFS(Datos_problemas!$AE:$AE,Datos_problemas!$B:$B,$B81,Datos_problemas!$F:$F,"Evaluación",Datos_problemas!$E:$E,"Final"),""))</f>
        <v/>
      </c>
      <c r="I81" s="21" t="str">
        <f aca="false">IF(OR(G81="",H81=""),"",IF(G81&gt;=10,"",(H81-G81)/(10-G81)))</f>
        <v/>
      </c>
      <c r="J81" s="18" t="str">
        <f aca="false">IF($B81="","",IFERROR(SUMIFS(Datos_items!$Z:$Z,Datos_items!$B:$B,$B81,Datos_items!$O:$O,J$4,Datos_items!$E:$E,Analisis_grupo!$C$4)/COUNTIFS(Datos_items!$B:$B,$B81,Datos_items!$O:$O,J$4,Datos_items!$E:$E,Analisis_grupo!$C$4),""))</f>
        <v/>
      </c>
      <c r="K81" s="18" t="str">
        <f aca="false">IF($B81="","",IFERROR(SUMIFS(Datos_items!$Z:$Z,Datos_items!$B:$B,$B81,Datos_items!$O:$O,K$4,Datos_items!$E:$E,Analisis_grupo!$C$4)/COUNTIFS(Datos_items!$B:$B,$B81,Datos_items!$O:$O,K$4,Datos_items!$E:$E,Analisis_grupo!$C$4),""))</f>
        <v/>
      </c>
      <c r="L81" s="18" t="str">
        <f aca="false">IF($B81="","",IFERROR(SUMIFS(Datos_items!$Z:$Z,Datos_items!$B:$B,$B81,Datos_items!$O:$O,L$4,Datos_items!$E:$E,Analisis_grupo!$C$4)/COUNTIFS(Datos_items!$B:$B,$B81,Datos_items!$O:$O,L$4,Datos_items!$E:$E,Analisis_grupo!$C$4),""))</f>
        <v/>
      </c>
      <c r="M81" s="18" t="str">
        <f aca="false">IF($B81="","",IFERROR(SUMIFS(Datos_items!$Z:$Z,Datos_items!$B:$B,$B81,Datos_items!$O:$O,M$4,Datos_items!$E:$E,Analisis_grupo!$C$4)/COUNTIFS(Datos_items!$B:$B,$B81,Datos_items!$O:$O,M$4,Datos_items!$E:$E,Analisis_grupo!$C$4),""))</f>
        <v/>
      </c>
      <c r="N81" s="18" t="str">
        <f aca="false">IF($B81="","",IFERROR(SUMIFS(Datos_items!$Z:$Z,Datos_items!$B:$B,$B81,Datos_items!$O:$O,N$4,Datos_items!$E:$E,Analisis_grupo!$C$4)/COUNTIFS(Datos_items!$B:$B,$B81,Datos_items!$O:$O,N$4,Datos_items!$E:$E,Analisis_grupo!$C$4),""))</f>
        <v/>
      </c>
      <c r="O81" s="18" t="str">
        <f aca="false">IF($B81="","",IFERROR(SUMIFS(Datos_items!$Z:$Z,Datos_items!$B:$B,$B81,Datos_items!$O:$O,O$4,Datos_items!$E:$E,Analisis_grupo!$C$4)/COUNTIFS(Datos_items!$B:$B,$B81,Datos_items!$O:$O,O$4,Datos_items!$E:$E,Analisis_grupo!$C$4),""))</f>
        <v/>
      </c>
      <c r="P81" s="18" t="str">
        <f aca="false">IF($B81="","",IFERROR(SUMIFS(Datos_items!$Z:$Z,Datos_items!$B:$B,$B81,Datos_items!$O:$O,P$4,Datos_items!$E:$E,Analisis_grupo!$C$4)/COUNTIFS(Datos_items!$B:$B,$B81,Datos_items!$O:$O,P$4,Datos_items!$E:$E,Analisis_grupo!$C$4),""))</f>
        <v/>
      </c>
      <c r="Q81" s="18" t="str">
        <f aca="false">IF($B81="","",IFERROR(SUMIFS(Datos_items!$Z:$Z,Datos_items!$B:$B,$B81,Datos_items!$O:$O,Q$4,Datos_items!$E:$E,Analisis_grupo!$C$4)/COUNTIFS(Datos_items!$B:$B,$B81,Datos_items!$O:$O,Q$4,Datos_items!$E:$E,Analisis_grupo!$C$4),""))</f>
        <v/>
      </c>
      <c r="R81" s="2" t="str">
        <f aca="false">IF(COUNT(J81:Q81)=0,"",IF(MIN(J81:Q81)&gt;=Analisis_grupo!$B$7,"(ninguna)",INDEX($J$4:$Q$4,MATCH(MIN(J81:Q81),J81:Q81,0))))</f>
        <v/>
      </c>
      <c r="S81" s="2" t="str">
        <f aca="false">IF($B81="","",COUNTIF(J81:Q81,"&lt;"&amp;Analisis_grupo!$B$7))</f>
        <v/>
      </c>
      <c r="T81" s="2" t="str">
        <f aca="false">IF($B81="","",COUNTIFS(Datos_items!$B:$B,$B81,Datos_items!$AA:$AA,T$4,Datos_items!$E:$E,Analisis_grupo!$C$4))</f>
        <v/>
      </c>
      <c r="U81" s="2" t="str">
        <f aca="false">IF($B81="","",COUNTIFS(Datos_items!$B:$B,$B81,Datos_items!$AA:$AA,U$4,Datos_items!$E:$E,Analisis_grupo!$C$4))</f>
        <v/>
      </c>
      <c r="V81" s="2" t="str">
        <f aca="false">IF($B81="","",COUNTIFS(Datos_items!$B:$B,$B81,Datos_items!$AA:$AA,V$4,Datos_items!$E:$E,Analisis_grupo!$C$4))</f>
        <v/>
      </c>
      <c r="W81" s="2" t="str">
        <f aca="false">IF($B81="","",COUNTIFS(Datos_items!$B:$B,$B81,Datos_items!$AA:$AA,W$4,Datos_items!$E:$E,Analisis_grupo!$C$4))</f>
        <v/>
      </c>
      <c r="X81" s="2" t="str">
        <f aca="false">IF($B81="","",COUNTIFS(Datos_items!$B:$B,$B81,Datos_items!$AA:$AA,X$4,Datos_items!$E:$E,Analisis_grupo!$C$4))</f>
        <v/>
      </c>
      <c r="Y81" s="2" t="str">
        <f aca="false">IF($B81="","",COUNTIFS(Datos_items!$B:$B,$B81,Datos_items!$AA:$AA,Y$4,Datos_items!$E:$E,Analisis_grupo!$C$4))</f>
        <v/>
      </c>
      <c r="Z81" s="2" t="str">
        <f aca="false">IF($B81="","",COUNTIFS(Datos_items!$B:$B,$B81,Datos_items!$AA:$AA,Z$4,Datos_items!$E:$E,Analisis_grupo!$C$4))</f>
        <v/>
      </c>
      <c r="AA81" s="2" t="str">
        <f aca="false">IF($B81="","",COUNTIFS(Datos_items!$B:$B,$B81,Datos_items!$AA:$AA,AA$4,Datos_items!$E:$E,Analisis_grupo!$C$4))</f>
        <v/>
      </c>
      <c r="AB81" s="2" t="str">
        <f aca="false">IF($B81="","",COUNTIFS(Datos_items!$B:$B,$B81,Datos_items!$AA:$AA,AB$4,Datos_items!$E:$E,Analisis_grupo!$C$4))</f>
        <v/>
      </c>
      <c r="AC81" s="2" t="str">
        <f aca="false">IF($B81="","",COUNTIFS(Datos_items!$B:$B,$B81,Datos_items!$AA:$AA,AC$4,Datos_items!$E:$E,Analisis_grupo!$C$4))</f>
        <v/>
      </c>
      <c r="AD81" s="2" t="str">
        <f aca="false">IF($B81="","",COUNTIFS(Datos_items!$B:$B,$B81,Datos_items!$AA:$AA,AD$4,Datos_items!$E:$E,Analisis_grupo!$C$4))</f>
        <v/>
      </c>
      <c r="AE81" s="2" t="str">
        <f aca="false">IF($B81="","",COUNTIFS(Datos_items!$B:$B,$B81,Datos_items!$AA:$AA,AE$4,Datos_items!$E:$E,Analisis_grupo!$C$4))</f>
        <v/>
      </c>
      <c r="AF81" s="2" t="str">
        <f aca="false">IF($B81="","",COUNTIFS(Datos_items!$B:$B,$B81,Datos_items!$AA:$AA,AF$4,Datos_items!$E:$E,Analisis_grupo!$C$4))</f>
        <v/>
      </c>
      <c r="AG81" s="2" t="str">
        <f aca="false">IF($B81="","",COUNTIFS(Datos_items!$B:$B,$B81,Datos_items!$AA:$AA,AG$4,Datos_items!$E:$E,Analisis_grupo!$C$4))</f>
        <v/>
      </c>
      <c r="AH81" s="2" t="str">
        <f aca="false">IF($B81="","",COUNTIFS(Datos_items!$B:$B,$B81,Datos_items!$AA:$AA,AH$4,Datos_items!$E:$E,Analisis_grupo!$C$4))</f>
        <v/>
      </c>
      <c r="AI81" s="2" t="str">
        <f aca="false">IF($B81="","",COUNTIFS(Datos_items!$B:$B,$B81,Datos_items!$AA:$AA,AI$4,Datos_items!$E:$E,Analisis_grupo!$C$4))</f>
        <v/>
      </c>
      <c r="AJ81" s="2" t="str">
        <f aca="false">IF($B81="","",COUNTIFS(Datos_items!$B:$B,$B81,Datos_items!$AA:$AA,AJ$4,Datos_items!$E:$E,Analisis_grupo!$C$4))</f>
        <v/>
      </c>
      <c r="AK81" s="2" t="str">
        <f aca="false">IF($B81="","",COUNTIFS(Datos_items!$B:$B,$B81,Datos_items!$AA:$AA,AK$4,Datos_items!$E:$E,Analisis_grupo!$C$4))</f>
        <v/>
      </c>
      <c r="AL81" s="2" t="str">
        <f aca="false">IF($B81="","",COUNTIFS(Datos_items!$B:$B,$B81,Datos_items!$AA:$AA,AL$4,Datos_items!$E:$E,Analisis_grupo!$C$4))</f>
        <v/>
      </c>
      <c r="AM81" s="2" t="str">
        <f aca="false">IF($B81="","",IF(MAX(Y81:AL81)=0,"",INDEX($Y$4:$AL$4,MATCH(MAX(Y81:AL81),Y81:AL81,0))))</f>
        <v/>
      </c>
      <c r="AN81" s="2" t="str">
        <f aca="false">IF($B81="","",COUNTIFS(Datos_problemas!$B:$B,$B81,Datos_problemas!$F:$F,"Práctica"))</f>
        <v/>
      </c>
      <c r="AO81" s="2" t="str">
        <f aca="false">IF($B81="","",SUMIFS(Datos_problemas!$AQ:$AQ,Datos_problemas!$B:$B,$B81,Datos_problemas!$F:$F,"Práctica"))</f>
        <v/>
      </c>
      <c r="AP81" s="2" t="str">
        <f aca="false">IF($B81="","",COUNTIFS(Datos_problemas!$B:$B,$B81,Datos_problemas!$F:$F,"Práctica",Datos_problemas!$AS:$AS,"Sí"))</f>
        <v/>
      </c>
    </row>
    <row r="82" customFormat="false" ht="15" hidden="false" customHeight="false" outlineLevel="0" collapsed="false">
      <c r="A82" s="2" t="n">
        <v>78</v>
      </c>
      <c r="B82" s="2" t="str">
        <f aca="false">IFERROR(INDEX(Datos_problemas!$B:$B,MATCH($A82,Datos_problemas!$AV:$AV,0)),"")</f>
        <v/>
      </c>
      <c r="C82" s="2" t="str">
        <f aca="false">IF($B82="","",INDEX(Datos_problemas!$C:$C,MATCH($A82,Datos_problemas!$AV:$AV,0)))</f>
        <v/>
      </c>
      <c r="D82" s="2" t="str">
        <f aca="false">IF($B82="","",INDEX(Datos_problemas!$D:$D,MATCH($A82,Datos_problemas!$AV:$AV,0)))</f>
        <v/>
      </c>
      <c r="E82" s="2" t="str">
        <f aca="false">IF($B82="","",COUNTIFS(Datos_problemas!$B:$B,$B82,Datos_problemas!$F:$F,"Evaluación"))</f>
        <v/>
      </c>
      <c r="F82" s="20" t="str">
        <f aca="false">IF($B82="","",IFERROR(AVERAGEIFS(Datos_problemas!$AE:$AE,Datos_problemas!$B:$B,$B82,Datos_problemas!$F:$F,"Evaluación"),""))</f>
        <v/>
      </c>
      <c r="G82" s="20" t="str">
        <f aca="false">IF($B82="","",IFERROR(AVERAGEIFS(Datos_problemas!$AE:$AE,Datos_problemas!$B:$B,$B82,Datos_problemas!$F:$F,"Evaluación",Datos_problemas!$E:$E,"Diagnóstico"),""))</f>
        <v/>
      </c>
      <c r="H82" s="20" t="str">
        <f aca="false">IF($B82="","",IFERROR(AVERAGEIFS(Datos_problemas!$AE:$AE,Datos_problemas!$B:$B,$B82,Datos_problemas!$F:$F,"Evaluación",Datos_problemas!$E:$E,"Final"),""))</f>
        <v/>
      </c>
      <c r="I82" s="21" t="str">
        <f aca="false">IF(OR(G82="",H82=""),"",IF(G82&gt;=10,"",(H82-G82)/(10-G82)))</f>
        <v/>
      </c>
      <c r="J82" s="18" t="str">
        <f aca="false">IF($B82="","",IFERROR(SUMIFS(Datos_items!$Z:$Z,Datos_items!$B:$B,$B82,Datos_items!$O:$O,J$4,Datos_items!$E:$E,Analisis_grupo!$C$4)/COUNTIFS(Datos_items!$B:$B,$B82,Datos_items!$O:$O,J$4,Datos_items!$E:$E,Analisis_grupo!$C$4),""))</f>
        <v/>
      </c>
      <c r="K82" s="18" t="str">
        <f aca="false">IF($B82="","",IFERROR(SUMIFS(Datos_items!$Z:$Z,Datos_items!$B:$B,$B82,Datos_items!$O:$O,K$4,Datos_items!$E:$E,Analisis_grupo!$C$4)/COUNTIFS(Datos_items!$B:$B,$B82,Datos_items!$O:$O,K$4,Datos_items!$E:$E,Analisis_grupo!$C$4),""))</f>
        <v/>
      </c>
      <c r="L82" s="18" t="str">
        <f aca="false">IF($B82="","",IFERROR(SUMIFS(Datos_items!$Z:$Z,Datos_items!$B:$B,$B82,Datos_items!$O:$O,L$4,Datos_items!$E:$E,Analisis_grupo!$C$4)/COUNTIFS(Datos_items!$B:$B,$B82,Datos_items!$O:$O,L$4,Datos_items!$E:$E,Analisis_grupo!$C$4),""))</f>
        <v/>
      </c>
      <c r="M82" s="18" t="str">
        <f aca="false">IF($B82="","",IFERROR(SUMIFS(Datos_items!$Z:$Z,Datos_items!$B:$B,$B82,Datos_items!$O:$O,M$4,Datos_items!$E:$E,Analisis_grupo!$C$4)/COUNTIFS(Datos_items!$B:$B,$B82,Datos_items!$O:$O,M$4,Datos_items!$E:$E,Analisis_grupo!$C$4),""))</f>
        <v/>
      </c>
      <c r="N82" s="18" t="str">
        <f aca="false">IF($B82="","",IFERROR(SUMIFS(Datos_items!$Z:$Z,Datos_items!$B:$B,$B82,Datos_items!$O:$O,N$4,Datos_items!$E:$E,Analisis_grupo!$C$4)/COUNTIFS(Datos_items!$B:$B,$B82,Datos_items!$O:$O,N$4,Datos_items!$E:$E,Analisis_grupo!$C$4),""))</f>
        <v/>
      </c>
      <c r="O82" s="18" t="str">
        <f aca="false">IF($B82="","",IFERROR(SUMIFS(Datos_items!$Z:$Z,Datos_items!$B:$B,$B82,Datos_items!$O:$O,O$4,Datos_items!$E:$E,Analisis_grupo!$C$4)/COUNTIFS(Datos_items!$B:$B,$B82,Datos_items!$O:$O,O$4,Datos_items!$E:$E,Analisis_grupo!$C$4),""))</f>
        <v/>
      </c>
      <c r="P82" s="18" t="str">
        <f aca="false">IF($B82="","",IFERROR(SUMIFS(Datos_items!$Z:$Z,Datos_items!$B:$B,$B82,Datos_items!$O:$O,P$4,Datos_items!$E:$E,Analisis_grupo!$C$4)/COUNTIFS(Datos_items!$B:$B,$B82,Datos_items!$O:$O,P$4,Datos_items!$E:$E,Analisis_grupo!$C$4),""))</f>
        <v/>
      </c>
      <c r="Q82" s="18" t="str">
        <f aca="false">IF($B82="","",IFERROR(SUMIFS(Datos_items!$Z:$Z,Datos_items!$B:$B,$B82,Datos_items!$O:$O,Q$4,Datos_items!$E:$E,Analisis_grupo!$C$4)/COUNTIFS(Datos_items!$B:$B,$B82,Datos_items!$O:$O,Q$4,Datos_items!$E:$E,Analisis_grupo!$C$4),""))</f>
        <v/>
      </c>
      <c r="R82" s="2" t="str">
        <f aca="false">IF(COUNT(J82:Q82)=0,"",IF(MIN(J82:Q82)&gt;=Analisis_grupo!$B$7,"(ninguna)",INDEX($J$4:$Q$4,MATCH(MIN(J82:Q82),J82:Q82,0))))</f>
        <v/>
      </c>
      <c r="S82" s="2" t="str">
        <f aca="false">IF($B82="","",COUNTIF(J82:Q82,"&lt;"&amp;Analisis_grupo!$B$7))</f>
        <v/>
      </c>
      <c r="T82" s="2" t="str">
        <f aca="false">IF($B82="","",COUNTIFS(Datos_items!$B:$B,$B82,Datos_items!$AA:$AA,T$4,Datos_items!$E:$E,Analisis_grupo!$C$4))</f>
        <v/>
      </c>
      <c r="U82" s="2" t="str">
        <f aca="false">IF($B82="","",COUNTIFS(Datos_items!$B:$B,$B82,Datos_items!$AA:$AA,U$4,Datos_items!$E:$E,Analisis_grupo!$C$4))</f>
        <v/>
      </c>
      <c r="V82" s="2" t="str">
        <f aca="false">IF($B82="","",COUNTIFS(Datos_items!$B:$B,$B82,Datos_items!$AA:$AA,V$4,Datos_items!$E:$E,Analisis_grupo!$C$4))</f>
        <v/>
      </c>
      <c r="W82" s="2" t="str">
        <f aca="false">IF($B82="","",COUNTIFS(Datos_items!$B:$B,$B82,Datos_items!$AA:$AA,W$4,Datos_items!$E:$E,Analisis_grupo!$C$4))</f>
        <v/>
      </c>
      <c r="X82" s="2" t="str">
        <f aca="false">IF($B82="","",COUNTIFS(Datos_items!$B:$B,$B82,Datos_items!$AA:$AA,X$4,Datos_items!$E:$E,Analisis_grupo!$C$4))</f>
        <v/>
      </c>
      <c r="Y82" s="2" t="str">
        <f aca="false">IF($B82="","",COUNTIFS(Datos_items!$B:$B,$B82,Datos_items!$AA:$AA,Y$4,Datos_items!$E:$E,Analisis_grupo!$C$4))</f>
        <v/>
      </c>
      <c r="Z82" s="2" t="str">
        <f aca="false">IF($B82="","",COUNTIFS(Datos_items!$B:$B,$B82,Datos_items!$AA:$AA,Z$4,Datos_items!$E:$E,Analisis_grupo!$C$4))</f>
        <v/>
      </c>
      <c r="AA82" s="2" t="str">
        <f aca="false">IF($B82="","",COUNTIFS(Datos_items!$B:$B,$B82,Datos_items!$AA:$AA,AA$4,Datos_items!$E:$E,Analisis_grupo!$C$4))</f>
        <v/>
      </c>
      <c r="AB82" s="2" t="str">
        <f aca="false">IF($B82="","",COUNTIFS(Datos_items!$B:$B,$B82,Datos_items!$AA:$AA,AB$4,Datos_items!$E:$E,Analisis_grupo!$C$4))</f>
        <v/>
      </c>
      <c r="AC82" s="2" t="str">
        <f aca="false">IF($B82="","",COUNTIFS(Datos_items!$B:$B,$B82,Datos_items!$AA:$AA,AC$4,Datos_items!$E:$E,Analisis_grupo!$C$4))</f>
        <v/>
      </c>
      <c r="AD82" s="2" t="str">
        <f aca="false">IF($B82="","",COUNTIFS(Datos_items!$B:$B,$B82,Datos_items!$AA:$AA,AD$4,Datos_items!$E:$E,Analisis_grupo!$C$4))</f>
        <v/>
      </c>
      <c r="AE82" s="2" t="str">
        <f aca="false">IF($B82="","",COUNTIFS(Datos_items!$B:$B,$B82,Datos_items!$AA:$AA,AE$4,Datos_items!$E:$E,Analisis_grupo!$C$4))</f>
        <v/>
      </c>
      <c r="AF82" s="2" t="str">
        <f aca="false">IF($B82="","",COUNTIFS(Datos_items!$B:$B,$B82,Datos_items!$AA:$AA,AF$4,Datos_items!$E:$E,Analisis_grupo!$C$4))</f>
        <v/>
      </c>
      <c r="AG82" s="2" t="str">
        <f aca="false">IF($B82="","",COUNTIFS(Datos_items!$B:$B,$B82,Datos_items!$AA:$AA,AG$4,Datos_items!$E:$E,Analisis_grupo!$C$4))</f>
        <v/>
      </c>
      <c r="AH82" s="2" t="str">
        <f aca="false">IF($B82="","",COUNTIFS(Datos_items!$B:$B,$B82,Datos_items!$AA:$AA,AH$4,Datos_items!$E:$E,Analisis_grupo!$C$4))</f>
        <v/>
      </c>
      <c r="AI82" s="2" t="str">
        <f aca="false">IF($B82="","",COUNTIFS(Datos_items!$B:$B,$B82,Datos_items!$AA:$AA,AI$4,Datos_items!$E:$E,Analisis_grupo!$C$4))</f>
        <v/>
      </c>
      <c r="AJ82" s="2" t="str">
        <f aca="false">IF($B82="","",COUNTIFS(Datos_items!$B:$B,$B82,Datos_items!$AA:$AA,AJ$4,Datos_items!$E:$E,Analisis_grupo!$C$4))</f>
        <v/>
      </c>
      <c r="AK82" s="2" t="str">
        <f aca="false">IF($B82="","",COUNTIFS(Datos_items!$B:$B,$B82,Datos_items!$AA:$AA,AK$4,Datos_items!$E:$E,Analisis_grupo!$C$4))</f>
        <v/>
      </c>
      <c r="AL82" s="2" t="str">
        <f aca="false">IF($B82="","",COUNTIFS(Datos_items!$B:$B,$B82,Datos_items!$AA:$AA,AL$4,Datos_items!$E:$E,Analisis_grupo!$C$4))</f>
        <v/>
      </c>
      <c r="AM82" s="2" t="str">
        <f aca="false">IF($B82="","",IF(MAX(Y82:AL82)=0,"",INDEX($Y$4:$AL$4,MATCH(MAX(Y82:AL82),Y82:AL82,0))))</f>
        <v/>
      </c>
      <c r="AN82" s="2" t="str">
        <f aca="false">IF($B82="","",COUNTIFS(Datos_problemas!$B:$B,$B82,Datos_problemas!$F:$F,"Práctica"))</f>
        <v/>
      </c>
      <c r="AO82" s="2" t="str">
        <f aca="false">IF($B82="","",SUMIFS(Datos_problemas!$AQ:$AQ,Datos_problemas!$B:$B,$B82,Datos_problemas!$F:$F,"Práctica"))</f>
        <v/>
      </c>
      <c r="AP82" s="2" t="str">
        <f aca="false">IF($B82="","",COUNTIFS(Datos_problemas!$B:$B,$B82,Datos_problemas!$F:$F,"Práctica",Datos_problemas!$AS:$AS,"Sí"))</f>
        <v/>
      </c>
    </row>
    <row r="83" customFormat="false" ht="15" hidden="false" customHeight="false" outlineLevel="0" collapsed="false">
      <c r="A83" s="2" t="n">
        <v>79</v>
      </c>
      <c r="B83" s="2" t="str">
        <f aca="false">IFERROR(INDEX(Datos_problemas!$B:$B,MATCH($A83,Datos_problemas!$AV:$AV,0)),"")</f>
        <v/>
      </c>
      <c r="C83" s="2" t="str">
        <f aca="false">IF($B83="","",INDEX(Datos_problemas!$C:$C,MATCH($A83,Datos_problemas!$AV:$AV,0)))</f>
        <v/>
      </c>
      <c r="D83" s="2" t="str">
        <f aca="false">IF($B83="","",INDEX(Datos_problemas!$D:$D,MATCH($A83,Datos_problemas!$AV:$AV,0)))</f>
        <v/>
      </c>
      <c r="E83" s="2" t="str">
        <f aca="false">IF($B83="","",COUNTIFS(Datos_problemas!$B:$B,$B83,Datos_problemas!$F:$F,"Evaluación"))</f>
        <v/>
      </c>
      <c r="F83" s="20" t="str">
        <f aca="false">IF($B83="","",IFERROR(AVERAGEIFS(Datos_problemas!$AE:$AE,Datos_problemas!$B:$B,$B83,Datos_problemas!$F:$F,"Evaluación"),""))</f>
        <v/>
      </c>
      <c r="G83" s="20" t="str">
        <f aca="false">IF($B83="","",IFERROR(AVERAGEIFS(Datos_problemas!$AE:$AE,Datos_problemas!$B:$B,$B83,Datos_problemas!$F:$F,"Evaluación",Datos_problemas!$E:$E,"Diagnóstico"),""))</f>
        <v/>
      </c>
      <c r="H83" s="20" t="str">
        <f aca="false">IF($B83="","",IFERROR(AVERAGEIFS(Datos_problemas!$AE:$AE,Datos_problemas!$B:$B,$B83,Datos_problemas!$F:$F,"Evaluación",Datos_problemas!$E:$E,"Final"),""))</f>
        <v/>
      </c>
      <c r="I83" s="21" t="str">
        <f aca="false">IF(OR(G83="",H83=""),"",IF(G83&gt;=10,"",(H83-G83)/(10-G83)))</f>
        <v/>
      </c>
      <c r="J83" s="18" t="str">
        <f aca="false">IF($B83="","",IFERROR(SUMIFS(Datos_items!$Z:$Z,Datos_items!$B:$B,$B83,Datos_items!$O:$O,J$4,Datos_items!$E:$E,Analisis_grupo!$C$4)/COUNTIFS(Datos_items!$B:$B,$B83,Datos_items!$O:$O,J$4,Datos_items!$E:$E,Analisis_grupo!$C$4),""))</f>
        <v/>
      </c>
      <c r="K83" s="18" t="str">
        <f aca="false">IF($B83="","",IFERROR(SUMIFS(Datos_items!$Z:$Z,Datos_items!$B:$B,$B83,Datos_items!$O:$O,K$4,Datos_items!$E:$E,Analisis_grupo!$C$4)/COUNTIFS(Datos_items!$B:$B,$B83,Datos_items!$O:$O,K$4,Datos_items!$E:$E,Analisis_grupo!$C$4),""))</f>
        <v/>
      </c>
      <c r="L83" s="18" t="str">
        <f aca="false">IF($B83="","",IFERROR(SUMIFS(Datos_items!$Z:$Z,Datos_items!$B:$B,$B83,Datos_items!$O:$O,L$4,Datos_items!$E:$E,Analisis_grupo!$C$4)/COUNTIFS(Datos_items!$B:$B,$B83,Datos_items!$O:$O,L$4,Datos_items!$E:$E,Analisis_grupo!$C$4),""))</f>
        <v/>
      </c>
      <c r="M83" s="18" t="str">
        <f aca="false">IF($B83="","",IFERROR(SUMIFS(Datos_items!$Z:$Z,Datos_items!$B:$B,$B83,Datos_items!$O:$O,M$4,Datos_items!$E:$E,Analisis_grupo!$C$4)/COUNTIFS(Datos_items!$B:$B,$B83,Datos_items!$O:$O,M$4,Datos_items!$E:$E,Analisis_grupo!$C$4),""))</f>
        <v/>
      </c>
      <c r="N83" s="18" t="str">
        <f aca="false">IF($B83="","",IFERROR(SUMIFS(Datos_items!$Z:$Z,Datos_items!$B:$B,$B83,Datos_items!$O:$O,N$4,Datos_items!$E:$E,Analisis_grupo!$C$4)/COUNTIFS(Datos_items!$B:$B,$B83,Datos_items!$O:$O,N$4,Datos_items!$E:$E,Analisis_grupo!$C$4),""))</f>
        <v/>
      </c>
      <c r="O83" s="18" t="str">
        <f aca="false">IF($B83="","",IFERROR(SUMIFS(Datos_items!$Z:$Z,Datos_items!$B:$B,$B83,Datos_items!$O:$O,O$4,Datos_items!$E:$E,Analisis_grupo!$C$4)/COUNTIFS(Datos_items!$B:$B,$B83,Datos_items!$O:$O,O$4,Datos_items!$E:$E,Analisis_grupo!$C$4),""))</f>
        <v/>
      </c>
      <c r="P83" s="18" t="str">
        <f aca="false">IF($B83="","",IFERROR(SUMIFS(Datos_items!$Z:$Z,Datos_items!$B:$B,$B83,Datos_items!$O:$O,P$4,Datos_items!$E:$E,Analisis_grupo!$C$4)/COUNTIFS(Datos_items!$B:$B,$B83,Datos_items!$O:$O,P$4,Datos_items!$E:$E,Analisis_grupo!$C$4),""))</f>
        <v/>
      </c>
      <c r="Q83" s="18" t="str">
        <f aca="false">IF($B83="","",IFERROR(SUMIFS(Datos_items!$Z:$Z,Datos_items!$B:$B,$B83,Datos_items!$O:$O,Q$4,Datos_items!$E:$E,Analisis_grupo!$C$4)/COUNTIFS(Datos_items!$B:$B,$B83,Datos_items!$O:$O,Q$4,Datos_items!$E:$E,Analisis_grupo!$C$4),""))</f>
        <v/>
      </c>
      <c r="R83" s="2" t="str">
        <f aca="false">IF(COUNT(J83:Q83)=0,"",IF(MIN(J83:Q83)&gt;=Analisis_grupo!$B$7,"(ninguna)",INDEX($J$4:$Q$4,MATCH(MIN(J83:Q83),J83:Q83,0))))</f>
        <v/>
      </c>
      <c r="S83" s="2" t="str">
        <f aca="false">IF($B83="","",COUNTIF(J83:Q83,"&lt;"&amp;Analisis_grupo!$B$7))</f>
        <v/>
      </c>
      <c r="T83" s="2" t="str">
        <f aca="false">IF($B83="","",COUNTIFS(Datos_items!$B:$B,$B83,Datos_items!$AA:$AA,T$4,Datos_items!$E:$E,Analisis_grupo!$C$4))</f>
        <v/>
      </c>
      <c r="U83" s="2" t="str">
        <f aca="false">IF($B83="","",COUNTIFS(Datos_items!$B:$B,$B83,Datos_items!$AA:$AA,U$4,Datos_items!$E:$E,Analisis_grupo!$C$4))</f>
        <v/>
      </c>
      <c r="V83" s="2" t="str">
        <f aca="false">IF($B83="","",COUNTIFS(Datos_items!$B:$B,$B83,Datos_items!$AA:$AA,V$4,Datos_items!$E:$E,Analisis_grupo!$C$4))</f>
        <v/>
      </c>
      <c r="W83" s="2" t="str">
        <f aca="false">IF($B83="","",COUNTIFS(Datos_items!$B:$B,$B83,Datos_items!$AA:$AA,W$4,Datos_items!$E:$E,Analisis_grupo!$C$4))</f>
        <v/>
      </c>
      <c r="X83" s="2" t="str">
        <f aca="false">IF($B83="","",COUNTIFS(Datos_items!$B:$B,$B83,Datos_items!$AA:$AA,X$4,Datos_items!$E:$E,Analisis_grupo!$C$4))</f>
        <v/>
      </c>
      <c r="Y83" s="2" t="str">
        <f aca="false">IF($B83="","",COUNTIFS(Datos_items!$B:$B,$B83,Datos_items!$AA:$AA,Y$4,Datos_items!$E:$E,Analisis_grupo!$C$4))</f>
        <v/>
      </c>
      <c r="Z83" s="2" t="str">
        <f aca="false">IF($B83="","",COUNTIFS(Datos_items!$B:$B,$B83,Datos_items!$AA:$AA,Z$4,Datos_items!$E:$E,Analisis_grupo!$C$4))</f>
        <v/>
      </c>
      <c r="AA83" s="2" t="str">
        <f aca="false">IF($B83="","",COUNTIFS(Datos_items!$B:$B,$B83,Datos_items!$AA:$AA,AA$4,Datos_items!$E:$E,Analisis_grupo!$C$4))</f>
        <v/>
      </c>
      <c r="AB83" s="2" t="str">
        <f aca="false">IF($B83="","",COUNTIFS(Datos_items!$B:$B,$B83,Datos_items!$AA:$AA,AB$4,Datos_items!$E:$E,Analisis_grupo!$C$4))</f>
        <v/>
      </c>
      <c r="AC83" s="2" t="str">
        <f aca="false">IF($B83="","",COUNTIFS(Datos_items!$B:$B,$B83,Datos_items!$AA:$AA,AC$4,Datos_items!$E:$E,Analisis_grupo!$C$4))</f>
        <v/>
      </c>
      <c r="AD83" s="2" t="str">
        <f aca="false">IF($B83="","",COUNTIFS(Datos_items!$B:$B,$B83,Datos_items!$AA:$AA,AD$4,Datos_items!$E:$E,Analisis_grupo!$C$4))</f>
        <v/>
      </c>
      <c r="AE83" s="2" t="str">
        <f aca="false">IF($B83="","",COUNTIFS(Datos_items!$B:$B,$B83,Datos_items!$AA:$AA,AE$4,Datos_items!$E:$E,Analisis_grupo!$C$4))</f>
        <v/>
      </c>
      <c r="AF83" s="2" t="str">
        <f aca="false">IF($B83="","",COUNTIFS(Datos_items!$B:$B,$B83,Datos_items!$AA:$AA,AF$4,Datos_items!$E:$E,Analisis_grupo!$C$4))</f>
        <v/>
      </c>
      <c r="AG83" s="2" t="str">
        <f aca="false">IF($B83="","",COUNTIFS(Datos_items!$B:$B,$B83,Datos_items!$AA:$AA,AG$4,Datos_items!$E:$E,Analisis_grupo!$C$4))</f>
        <v/>
      </c>
      <c r="AH83" s="2" t="str">
        <f aca="false">IF($B83="","",COUNTIFS(Datos_items!$B:$B,$B83,Datos_items!$AA:$AA,AH$4,Datos_items!$E:$E,Analisis_grupo!$C$4))</f>
        <v/>
      </c>
      <c r="AI83" s="2" t="str">
        <f aca="false">IF($B83="","",COUNTIFS(Datos_items!$B:$B,$B83,Datos_items!$AA:$AA,AI$4,Datos_items!$E:$E,Analisis_grupo!$C$4))</f>
        <v/>
      </c>
      <c r="AJ83" s="2" t="str">
        <f aca="false">IF($B83="","",COUNTIFS(Datos_items!$B:$B,$B83,Datos_items!$AA:$AA,AJ$4,Datos_items!$E:$E,Analisis_grupo!$C$4))</f>
        <v/>
      </c>
      <c r="AK83" s="2" t="str">
        <f aca="false">IF($B83="","",COUNTIFS(Datos_items!$B:$B,$B83,Datos_items!$AA:$AA,AK$4,Datos_items!$E:$E,Analisis_grupo!$C$4))</f>
        <v/>
      </c>
      <c r="AL83" s="2" t="str">
        <f aca="false">IF($B83="","",COUNTIFS(Datos_items!$B:$B,$B83,Datos_items!$AA:$AA,AL$4,Datos_items!$E:$E,Analisis_grupo!$C$4))</f>
        <v/>
      </c>
      <c r="AM83" s="2" t="str">
        <f aca="false">IF($B83="","",IF(MAX(Y83:AL83)=0,"",INDEX($Y$4:$AL$4,MATCH(MAX(Y83:AL83),Y83:AL83,0))))</f>
        <v/>
      </c>
      <c r="AN83" s="2" t="str">
        <f aca="false">IF($B83="","",COUNTIFS(Datos_problemas!$B:$B,$B83,Datos_problemas!$F:$F,"Práctica"))</f>
        <v/>
      </c>
      <c r="AO83" s="2" t="str">
        <f aca="false">IF($B83="","",SUMIFS(Datos_problemas!$AQ:$AQ,Datos_problemas!$B:$B,$B83,Datos_problemas!$F:$F,"Práctica"))</f>
        <v/>
      </c>
      <c r="AP83" s="2" t="str">
        <f aca="false">IF($B83="","",COUNTIFS(Datos_problemas!$B:$B,$B83,Datos_problemas!$F:$F,"Práctica",Datos_problemas!$AS:$AS,"Sí"))</f>
        <v/>
      </c>
    </row>
    <row r="84" customFormat="false" ht="15" hidden="false" customHeight="false" outlineLevel="0" collapsed="false">
      <c r="A84" s="2" t="n">
        <v>80</v>
      </c>
      <c r="B84" s="2" t="str">
        <f aca="false">IFERROR(INDEX(Datos_problemas!$B:$B,MATCH($A84,Datos_problemas!$AV:$AV,0)),"")</f>
        <v/>
      </c>
      <c r="C84" s="2" t="str">
        <f aca="false">IF($B84="","",INDEX(Datos_problemas!$C:$C,MATCH($A84,Datos_problemas!$AV:$AV,0)))</f>
        <v/>
      </c>
      <c r="D84" s="2" t="str">
        <f aca="false">IF($B84="","",INDEX(Datos_problemas!$D:$D,MATCH($A84,Datos_problemas!$AV:$AV,0)))</f>
        <v/>
      </c>
      <c r="E84" s="2" t="str">
        <f aca="false">IF($B84="","",COUNTIFS(Datos_problemas!$B:$B,$B84,Datos_problemas!$F:$F,"Evaluación"))</f>
        <v/>
      </c>
      <c r="F84" s="20" t="str">
        <f aca="false">IF($B84="","",IFERROR(AVERAGEIFS(Datos_problemas!$AE:$AE,Datos_problemas!$B:$B,$B84,Datos_problemas!$F:$F,"Evaluación"),""))</f>
        <v/>
      </c>
      <c r="G84" s="20" t="str">
        <f aca="false">IF($B84="","",IFERROR(AVERAGEIFS(Datos_problemas!$AE:$AE,Datos_problemas!$B:$B,$B84,Datos_problemas!$F:$F,"Evaluación",Datos_problemas!$E:$E,"Diagnóstico"),""))</f>
        <v/>
      </c>
      <c r="H84" s="20" t="str">
        <f aca="false">IF($B84="","",IFERROR(AVERAGEIFS(Datos_problemas!$AE:$AE,Datos_problemas!$B:$B,$B84,Datos_problemas!$F:$F,"Evaluación",Datos_problemas!$E:$E,"Final"),""))</f>
        <v/>
      </c>
      <c r="I84" s="21" t="str">
        <f aca="false">IF(OR(G84="",H84=""),"",IF(G84&gt;=10,"",(H84-G84)/(10-G84)))</f>
        <v/>
      </c>
      <c r="J84" s="18" t="str">
        <f aca="false">IF($B84="","",IFERROR(SUMIFS(Datos_items!$Z:$Z,Datos_items!$B:$B,$B84,Datos_items!$O:$O,J$4,Datos_items!$E:$E,Analisis_grupo!$C$4)/COUNTIFS(Datos_items!$B:$B,$B84,Datos_items!$O:$O,J$4,Datos_items!$E:$E,Analisis_grupo!$C$4),""))</f>
        <v/>
      </c>
      <c r="K84" s="18" t="str">
        <f aca="false">IF($B84="","",IFERROR(SUMIFS(Datos_items!$Z:$Z,Datos_items!$B:$B,$B84,Datos_items!$O:$O,K$4,Datos_items!$E:$E,Analisis_grupo!$C$4)/COUNTIFS(Datos_items!$B:$B,$B84,Datos_items!$O:$O,K$4,Datos_items!$E:$E,Analisis_grupo!$C$4),""))</f>
        <v/>
      </c>
      <c r="L84" s="18" t="str">
        <f aca="false">IF($B84="","",IFERROR(SUMIFS(Datos_items!$Z:$Z,Datos_items!$B:$B,$B84,Datos_items!$O:$O,L$4,Datos_items!$E:$E,Analisis_grupo!$C$4)/COUNTIFS(Datos_items!$B:$B,$B84,Datos_items!$O:$O,L$4,Datos_items!$E:$E,Analisis_grupo!$C$4),""))</f>
        <v/>
      </c>
      <c r="M84" s="18" t="str">
        <f aca="false">IF($B84="","",IFERROR(SUMIFS(Datos_items!$Z:$Z,Datos_items!$B:$B,$B84,Datos_items!$O:$O,M$4,Datos_items!$E:$E,Analisis_grupo!$C$4)/COUNTIFS(Datos_items!$B:$B,$B84,Datos_items!$O:$O,M$4,Datos_items!$E:$E,Analisis_grupo!$C$4),""))</f>
        <v/>
      </c>
      <c r="N84" s="18" t="str">
        <f aca="false">IF($B84="","",IFERROR(SUMIFS(Datos_items!$Z:$Z,Datos_items!$B:$B,$B84,Datos_items!$O:$O,N$4,Datos_items!$E:$E,Analisis_grupo!$C$4)/COUNTIFS(Datos_items!$B:$B,$B84,Datos_items!$O:$O,N$4,Datos_items!$E:$E,Analisis_grupo!$C$4),""))</f>
        <v/>
      </c>
      <c r="O84" s="18" t="str">
        <f aca="false">IF($B84="","",IFERROR(SUMIFS(Datos_items!$Z:$Z,Datos_items!$B:$B,$B84,Datos_items!$O:$O,O$4,Datos_items!$E:$E,Analisis_grupo!$C$4)/COUNTIFS(Datos_items!$B:$B,$B84,Datos_items!$O:$O,O$4,Datos_items!$E:$E,Analisis_grupo!$C$4),""))</f>
        <v/>
      </c>
      <c r="P84" s="18" t="str">
        <f aca="false">IF($B84="","",IFERROR(SUMIFS(Datos_items!$Z:$Z,Datos_items!$B:$B,$B84,Datos_items!$O:$O,P$4,Datos_items!$E:$E,Analisis_grupo!$C$4)/COUNTIFS(Datos_items!$B:$B,$B84,Datos_items!$O:$O,P$4,Datos_items!$E:$E,Analisis_grupo!$C$4),""))</f>
        <v/>
      </c>
      <c r="Q84" s="18" t="str">
        <f aca="false">IF($B84="","",IFERROR(SUMIFS(Datos_items!$Z:$Z,Datos_items!$B:$B,$B84,Datos_items!$O:$O,Q$4,Datos_items!$E:$E,Analisis_grupo!$C$4)/COUNTIFS(Datos_items!$B:$B,$B84,Datos_items!$O:$O,Q$4,Datos_items!$E:$E,Analisis_grupo!$C$4),""))</f>
        <v/>
      </c>
      <c r="R84" s="2" t="str">
        <f aca="false">IF(COUNT(J84:Q84)=0,"",IF(MIN(J84:Q84)&gt;=Analisis_grupo!$B$7,"(ninguna)",INDEX($J$4:$Q$4,MATCH(MIN(J84:Q84),J84:Q84,0))))</f>
        <v/>
      </c>
      <c r="S84" s="2" t="str">
        <f aca="false">IF($B84="","",COUNTIF(J84:Q84,"&lt;"&amp;Analisis_grupo!$B$7))</f>
        <v/>
      </c>
      <c r="T84" s="2" t="str">
        <f aca="false">IF($B84="","",COUNTIFS(Datos_items!$B:$B,$B84,Datos_items!$AA:$AA,T$4,Datos_items!$E:$E,Analisis_grupo!$C$4))</f>
        <v/>
      </c>
      <c r="U84" s="2" t="str">
        <f aca="false">IF($B84="","",COUNTIFS(Datos_items!$B:$B,$B84,Datos_items!$AA:$AA,U$4,Datos_items!$E:$E,Analisis_grupo!$C$4))</f>
        <v/>
      </c>
      <c r="V84" s="2" t="str">
        <f aca="false">IF($B84="","",COUNTIFS(Datos_items!$B:$B,$B84,Datos_items!$AA:$AA,V$4,Datos_items!$E:$E,Analisis_grupo!$C$4))</f>
        <v/>
      </c>
      <c r="W84" s="2" t="str">
        <f aca="false">IF($B84="","",COUNTIFS(Datos_items!$B:$B,$B84,Datos_items!$AA:$AA,W$4,Datos_items!$E:$E,Analisis_grupo!$C$4))</f>
        <v/>
      </c>
      <c r="X84" s="2" t="str">
        <f aca="false">IF($B84="","",COUNTIFS(Datos_items!$B:$B,$B84,Datos_items!$AA:$AA,X$4,Datos_items!$E:$E,Analisis_grupo!$C$4))</f>
        <v/>
      </c>
      <c r="Y84" s="2" t="str">
        <f aca="false">IF($B84="","",COUNTIFS(Datos_items!$B:$B,$B84,Datos_items!$AA:$AA,Y$4,Datos_items!$E:$E,Analisis_grupo!$C$4))</f>
        <v/>
      </c>
      <c r="Z84" s="2" t="str">
        <f aca="false">IF($B84="","",COUNTIFS(Datos_items!$B:$B,$B84,Datos_items!$AA:$AA,Z$4,Datos_items!$E:$E,Analisis_grupo!$C$4))</f>
        <v/>
      </c>
      <c r="AA84" s="2" t="str">
        <f aca="false">IF($B84="","",COUNTIFS(Datos_items!$B:$B,$B84,Datos_items!$AA:$AA,AA$4,Datos_items!$E:$E,Analisis_grupo!$C$4))</f>
        <v/>
      </c>
      <c r="AB84" s="2" t="str">
        <f aca="false">IF($B84="","",COUNTIFS(Datos_items!$B:$B,$B84,Datos_items!$AA:$AA,AB$4,Datos_items!$E:$E,Analisis_grupo!$C$4))</f>
        <v/>
      </c>
      <c r="AC84" s="2" t="str">
        <f aca="false">IF($B84="","",COUNTIFS(Datos_items!$B:$B,$B84,Datos_items!$AA:$AA,AC$4,Datos_items!$E:$E,Analisis_grupo!$C$4))</f>
        <v/>
      </c>
      <c r="AD84" s="2" t="str">
        <f aca="false">IF($B84="","",COUNTIFS(Datos_items!$B:$B,$B84,Datos_items!$AA:$AA,AD$4,Datos_items!$E:$E,Analisis_grupo!$C$4))</f>
        <v/>
      </c>
      <c r="AE84" s="2" t="str">
        <f aca="false">IF($B84="","",COUNTIFS(Datos_items!$B:$B,$B84,Datos_items!$AA:$AA,AE$4,Datos_items!$E:$E,Analisis_grupo!$C$4))</f>
        <v/>
      </c>
      <c r="AF84" s="2" t="str">
        <f aca="false">IF($B84="","",COUNTIFS(Datos_items!$B:$B,$B84,Datos_items!$AA:$AA,AF$4,Datos_items!$E:$E,Analisis_grupo!$C$4))</f>
        <v/>
      </c>
      <c r="AG84" s="2" t="str">
        <f aca="false">IF($B84="","",COUNTIFS(Datos_items!$B:$B,$B84,Datos_items!$AA:$AA,AG$4,Datos_items!$E:$E,Analisis_grupo!$C$4))</f>
        <v/>
      </c>
      <c r="AH84" s="2" t="str">
        <f aca="false">IF($B84="","",COUNTIFS(Datos_items!$B:$B,$B84,Datos_items!$AA:$AA,AH$4,Datos_items!$E:$E,Analisis_grupo!$C$4))</f>
        <v/>
      </c>
      <c r="AI84" s="2" t="str">
        <f aca="false">IF($B84="","",COUNTIFS(Datos_items!$B:$B,$B84,Datos_items!$AA:$AA,AI$4,Datos_items!$E:$E,Analisis_grupo!$C$4))</f>
        <v/>
      </c>
      <c r="AJ84" s="2" t="str">
        <f aca="false">IF($B84="","",COUNTIFS(Datos_items!$B:$B,$B84,Datos_items!$AA:$AA,AJ$4,Datos_items!$E:$E,Analisis_grupo!$C$4))</f>
        <v/>
      </c>
      <c r="AK84" s="2" t="str">
        <f aca="false">IF($B84="","",COUNTIFS(Datos_items!$B:$B,$B84,Datos_items!$AA:$AA,AK$4,Datos_items!$E:$E,Analisis_grupo!$C$4))</f>
        <v/>
      </c>
      <c r="AL84" s="2" t="str">
        <f aca="false">IF($B84="","",COUNTIFS(Datos_items!$B:$B,$B84,Datos_items!$AA:$AA,AL$4,Datos_items!$E:$E,Analisis_grupo!$C$4))</f>
        <v/>
      </c>
      <c r="AM84" s="2" t="str">
        <f aca="false">IF($B84="","",IF(MAX(Y84:AL84)=0,"",INDEX($Y$4:$AL$4,MATCH(MAX(Y84:AL84),Y84:AL84,0))))</f>
        <v/>
      </c>
      <c r="AN84" s="2" t="str">
        <f aca="false">IF($B84="","",COUNTIFS(Datos_problemas!$B:$B,$B84,Datos_problemas!$F:$F,"Práctica"))</f>
        <v/>
      </c>
      <c r="AO84" s="2" t="str">
        <f aca="false">IF($B84="","",SUMIFS(Datos_problemas!$AQ:$AQ,Datos_problemas!$B:$B,$B84,Datos_problemas!$F:$F,"Práctica"))</f>
        <v/>
      </c>
      <c r="AP84" s="2" t="str">
        <f aca="false">IF($B84="","",COUNTIFS(Datos_problemas!$B:$B,$B84,Datos_problemas!$F:$F,"Práctica",Datos_problemas!$AS:$AS,"Sí"))</f>
        <v/>
      </c>
    </row>
    <row r="85" customFormat="false" ht="15" hidden="false" customHeight="false" outlineLevel="0" collapsed="false">
      <c r="A85" s="2" t="n">
        <v>81</v>
      </c>
      <c r="B85" s="2" t="str">
        <f aca="false">IFERROR(INDEX(Datos_problemas!$B:$B,MATCH($A85,Datos_problemas!$AV:$AV,0)),"")</f>
        <v/>
      </c>
      <c r="C85" s="2" t="str">
        <f aca="false">IF($B85="","",INDEX(Datos_problemas!$C:$C,MATCH($A85,Datos_problemas!$AV:$AV,0)))</f>
        <v/>
      </c>
      <c r="D85" s="2" t="str">
        <f aca="false">IF($B85="","",INDEX(Datos_problemas!$D:$D,MATCH($A85,Datos_problemas!$AV:$AV,0)))</f>
        <v/>
      </c>
      <c r="E85" s="2" t="str">
        <f aca="false">IF($B85="","",COUNTIFS(Datos_problemas!$B:$B,$B85,Datos_problemas!$F:$F,"Evaluación"))</f>
        <v/>
      </c>
      <c r="F85" s="20" t="str">
        <f aca="false">IF($B85="","",IFERROR(AVERAGEIFS(Datos_problemas!$AE:$AE,Datos_problemas!$B:$B,$B85,Datos_problemas!$F:$F,"Evaluación"),""))</f>
        <v/>
      </c>
      <c r="G85" s="20" t="str">
        <f aca="false">IF($B85="","",IFERROR(AVERAGEIFS(Datos_problemas!$AE:$AE,Datos_problemas!$B:$B,$B85,Datos_problemas!$F:$F,"Evaluación",Datos_problemas!$E:$E,"Diagnóstico"),""))</f>
        <v/>
      </c>
      <c r="H85" s="20" t="str">
        <f aca="false">IF($B85="","",IFERROR(AVERAGEIFS(Datos_problemas!$AE:$AE,Datos_problemas!$B:$B,$B85,Datos_problemas!$F:$F,"Evaluación",Datos_problemas!$E:$E,"Final"),""))</f>
        <v/>
      </c>
      <c r="I85" s="21" t="str">
        <f aca="false">IF(OR(G85="",H85=""),"",IF(G85&gt;=10,"",(H85-G85)/(10-G85)))</f>
        <v/>
      </c>
      <c r="J85" s="18" t="str">
        <f aca="false">IF($B85="","",IFERROR(SUMIFS(Datos_items!$Z:$Z,Datos_items!$B:$B,$B85,Datos_items!$O:$O,J$4,Datos_items!$E:$E,Analisis_grupo!$C$4)/COUNTIFS(Datos_items!$B:$B,$B85,Datos_items!$O:$O,J$4,Datos_items!$E:$E,Analisis_grupo!$C$4),""))</f>
        <v/>
      </c>
      <c r="K85" s="18" t="str">
        <f aca="false">IF($B85="","",IFERROR(SUMIFS(Datos_items!$Z:$Z,Datos_items!$B:$B,$B85,Datos_items!$O:$O,K$4,Datos_items!$E:$E,Analisis_grupo!$C$4)/COUNTIFS(Datos_items!$B:$B,$B85,Datos_items!$O:$O,K$4,Datos_items!$E:$E,Analisis_grupo!$C$4),""))</f>
        <v/>
      </c>
      <c r="L85" s="18" t="str">
        <f aca="false">IF($B85="","",IFERROR(SUMIFS(Datos_items!$Z:$Z,Datos_items!$B:$B,$B85,Datos_items!$O:$O,L$4,Datos_items!$E:$E,Analisis_grupo!$C$4)/COUNTIFS(Datos_items!$B:$B,$B85,Datos_items!$O:$O,L$4,Datos_items!$E:$E,Analisis_grupo!$C$4),""))</f>
        <v/>
      </c>
      <c r="M85" s="18" t="str">
        <f aca="false">IF($B85="","",IFERROR(SUMIFS(Datos_items!$Z:$Z,Datos_items!$B:$B,$B85,Datos_items!$O:$O,M$4,Datos_items!$E:$E,Analisis_grupo!$C$4)/COUNTIFS(Datos_items!$B:$B,$B85,Datos_items!$O:$O,M$4,Datos_items!$E:$E,Analisis_grupo!$C$4),""))</f>
        <v/>
      </c>
      <c r="N85" s="18" t="str">
        <f aca="false">IF($B85="","",IFERROR(SUMIFS(Datos_items!$Z:$Z,Datos_items!$B:$B,$B85,Datos_items!$O:$O,N$4,Datos_items!$E:$E,Analisis_grupo!$C$4)/COUNTIFS(Datos_items!$B:$B,$B85,Datos_items!$O:$O,N$4,Datos_items!$E:$E,Analisis_grupo!$C$4),""))</f>
        <v/>
      </c>
      <c r="O85" s="18" t="str">
        <f aca="false">IF($B85="","",IFERROR(SUMIFS(Datos_items!$Z:$Z,Datos_items!$B:$B,$B85,Datos_items!$O:$O,O$4,Datos_items!$E:$E,Analisis_grupo!$C$4)/COUNTIFS(Datos_items!$B:$B,$B85,Datos_items!$O:$O,O$4,Datos_items!$E:$E,Analisis_grupo!$C$4),""))</f>
        <v/>
      </c>
      <c r="P85" s="18" t="str">
        <f aca="false">IF($B85="","",IFERROR(SUMIFS(Datos_items!$Z:$Z,Datos_items!$B:$B,$B85,Datos_items!$O:$O,P$4,Datos_items!$E:$E,Analisis_grupo!$C$4)/COUNTIFS(Datos_items!$B:$B,$B85,Datos_items!$O:$O,P$4,Datos_items!$E:$E,Analisis_grupo!$C$4),""))</f>
        <v/>
      </c>
      <c r="Q85" s="18" t="str">
        <f aca="false">IF($B85="","",IFERROR(SUMIFS(Datos_items!$Z:$Z,Datos_items!$B:$B,$B85,Datos_items!$O:$O,Q$4,Datos_items!$E:$E,Analisis_grupo!$C$4)/COUNTIFS(Datos_items!$B:$B,$B85,Datos_items!$O:$O,Q$4,Datos_items!$E:$E,Analisis_grupo!$C$4),""))</f>
        <v/>
      </c>
      <c r="R85" s="2" t="str">
        <f aca="false">IF(COUNT(J85:Q85)=0,"",IF(MIN(J85:Q85)&gt;=Analisis_grupo!$B$7,"(ninguna)",INDEX($J$4:$Q$4,MATCH(MIN(J85:Q85),J85:Q85,0))))</f>
        <v/>
      </c>
      <c r="S85" s="2" t="str">
        <f aca="false">IF($B85="","",COUNTIF(J85:Q85,"&lt;"&amp;Analisis_grupo!$B$7))</f>
        <v/>
      </c>
      <c r="T85" s="2" t="str">
        <f aca="false">IF($B85="","",COUNTIFS(Datos_items!$B:$B,$B85,Datos_items!$AA:$AA,T$4,Datos_items!$E:$E,Analisis_grupo!$C$4))</f>
        <v/>
      </c>
      <c r="U85" s="2" t="str">
        <f aca="false">IF($B85="","",COUNTIFS(Datos_items!$B:$B,$B85,Datos_items!$AA:$AA,U$4,Datos_items!$E:$E,Analisis_grupo!$C$4))</f>
        <v/>
      </c>
      <c r="V85" s="2" t="str">
        <f aca="false">IF($B85="","",COUNTIFS(Datos_items!$B:$B,$B85,Datos_items!$AA:$AA,V$4,Datos_items!$E:$E,Analisis_grupo!$C$4))</f>
        <v/>
      </c>
      <c r="W85" s="2" t="str">
        <f aca="false">IF($B85="","",COUNTIFS(Datos_items!$B:$B,$B85,Datos_items!$AA:$AA,W$4,Datos_items!$E:$E,Analisis_grupo!$C$4))</f>
        <v/>
      </c>
      <c r="X85" s="2" t="str">
        <f aca="false">IF($B85="","",COUNTIFS(Datos_items!$B:$B,$B85,Datos_items!$AA:$AA,X$4,Datos_items!$E:$E,Analisis_grupo!$C$4))</f>
        <v/>
      </c>
      <c r="Y85" s="2" t="str">
        <f aca="false">IF($B85="","",COUNTIFS(Datos_items!$B:$B,$B85,Datos_items!$AA:$AA,Y$4,Datos_items!$E:$E,Analisis_grupo!$C$4))</f>
        <v/>
      </c>
      <c r="Z85" s="2" t="str">
        <f aca="false">IF($B85="","",COUNTIFS(Datos_items!$B:$B,$B85,Datos_items!$AA:$AA,Z$4,Datos_items!$E:$E,Analisis_grupo!$C$4))</f>
        <v/>
      </c>
      <c r="AA85" s="2" t="str">
        <f aca="false">IF($B85="","",COUNTIFS(Datos_items!$B:$B,$B85,Datos_items!$AA:$AA,AA$4,Datos_items!$E:$E,Analisis_grupo!$C$4))</f>
        <v/>
      </c>
      <c r="AB85" s="2" t="str">
        <f aca="false">IF($B85="","",COUNTIFS(Datos_items!$B:$B,$B85,Datos_items!$AA:$AA,AB$4,Datos_items!$E:$E,Analisis_grupo!$C$4))</f>
        <v/>
      </c>
      <c r="AC85" s="2" t="str">
        <f aca="false">IF($B85="","",COUNTIFS(Datos_items!$B:$B,$B85,Datos_items!$AA:$AA,AC$4,Datos_items!$E:$E,Analisis_grupo!$C$4))</f>
        <v/>
      </c>
      <c r="AD85" s="2" t="str">
        <f aca="false">IF($B85="","",COUNTIFS(Datos_items!$B:$B,$B85,Datos_items!$AA:$AA,AD$4,Datos_items!$E:$E,Analisis_grupo!$C$4))</f>
        <v/>
      </c>
      <c r="AE85" s="2" t="str">
        <f aca="false">IF($B85="","",COUNTIFS(Datos_items!$B:$B,$B85,Datos_items!$AA:$AA,AE$4,Datos_items!$E:$E,Analisis_grupo!$C$4))</f>
        <v/>
      </c>
      <c r="AF85" s="2" t="str">
        <f aca="false">IF($B85="","",COUNTIFS(Datos_items!$B:$B,$B85,Datos_items!$AA:$AA,AF$4,Datos_items!$E:$E,Analisis_grupo!$C$4))</f>
        <v/>
      </c>
      <c r="AG85" s="2" t="str">
        <f aca="false">IF($B85="","",COUNTIFS(Datos_items!$B:$B,$B85,Datos_items!$AA:$AA,AG$4,Datos_items!$E:$E,Analisis_grupo!$C$4))</f>
        <v/>
      </c>
      <c r="AH85" s="2" t="str">
        <f aca="false">IF($B85="","",COUNTIFS(Datos_items!$B:$B,$B85,Datos_items!$AA:$AA,AH$4,Datos_items!$E:$E,Analisis_grupo!$C$4))</f>
        <v/>
      </c>
      <c r="AI85" s="2" t="str">
        <f aca="false">IF($B85="","",COUNTIFS(Datos_items!$B:$B,$B85,Datos_items!$AA:$AA,AI$4,Datos_items!$E:$E,Analisis_grupo!$C$4))</f>
        <v/>
      </c>
      <c r="AJ85" s="2" t="str">
        <f aca="false">IF($B85="","",COUNTIFS(Datos_items!$B:$B,$B85,Datos_items!$AA:$AA,AJ$4,Datos_items!$E:$E,Analisis_grupo!$C$4))</f>
        <v/>
      </c>
      <c r="AK85" s="2" t="str">
        <f aca="false">IF($B85="","",COUNTIFS(Datos_items!$B:$B,$B85,Datos_items!$AA:$AA,AK$4,Datos_items!$E:$E,Analisis_grupo!$C$4))</f>
        <v/>
      </c>
      <c r="AL85" s="2" t="str">
        <f aca="false">IF($B85="","",COUNTIFS(Datos_items!$B:$B,$B85,Datos_items!$AA:$AA,AL$4,Datos_items!$E:$E,Analisis_grupo!$C$4))</f>
        <v/>
      </c>
      <c r="AM85" s="2" t="str">
        <f aca="false">IF($B85="","",IF(MAX(Y85:AL85)=0,"",INDEX($Y$4:$AL$4,MATCH(MAX(Y85:AL85),Y85:AL85,0))))</f>
        <v/>
      </c>
      <c r="AN85" s="2" t="str">
        <f aca="false">IF($B85="","",COUNTIFS(Datos_problemas!$B:$B,$B85,Datos_problemas!$F:$F,"Práctica"))</f>
        <v/>
      </c>
      <c r="AO85" s="2" t="str">
        <f aca="false">IF($B85="","",SUMIFS(Datos_problemas!$AQ:$AQ,Datos_problemas!$B:$B,$B85,Datos_problemas!$F:$F,"Práctica"))</f>
        <v/>
      </c>
      <c r="AP85" s="2" t="str">
        <f aca="false">IF($B85="","",COUNTIFS(Datos_problemas!$B:$B,$B85,Datos_problemas!$F:$F,"Práctica",Datos_problemas!$AS:$AS,"Sí"))</f>
        <v/>
      </c>
    </row>
    <row r="86" customFormat="false" ht="15" hidden="false" customHeight="false" outlineLevel="0" collapsed="false">
      <c r="A86" s="2" t="n">
        <v>82</v>
      </c>
      <c r="B86" s="2" t="str">
        <f aca="false">IFERROR(INDEX(Datos_problemas!$B:$B,MATCH($A86,Datos_problemas!$AV:$AV,0)),"")</f>
        <v/>
      </c>
      <c r="C86" s="2" t="str">
        <f aca="false">IF($B86="","",INDEX(Datos_problemas!$C:$C,MATCH($A86,Datos_problemas!$AV:$AV,0)))</f>
        <v/>
      </c>
      <c r="D86" s="2" t="str">
        <f aca="false">IF($B86="","",INDEX(Datos_problemas!$D:$D,MATCH($A86,Datos_problemas!$AV:$AV,0)))</f>
        <v/>
      </c>
      <c r="E86" s="2" t="str">
        <f aca="false">IF($B86="","",COUNTIFS(Datos_problemas!$B:$B,$B86,Datos_problemas!$F:$F,"Evaluación"))</f>
        <v/>
      </c>
      <c r="F86" s="20" t="str">
        <f aca="false">IF($B86="","",IFERROR(AVERAGEIFS(Datos_problemas!$AE:$AE,Datos_problemas!$B:$B,$B86,Datos_problemas!$F:$F,"Evaluación"),""))</f>
        <v/>
      </c>
      <c r="G86" s="20" t="str">
        <f aca="false">IF($B86="","",IFERROR(AVERAGEIFS(Datos_problemas!$AE:$AE,Datos_problemas!$B:$B,$B86,Datos_problemas!$F:$F,"Evaluación",Datos_problemas!$E:$E,"Diagnóstico"),""))</f>
        <v/>
      </c>
      <c r="H86" s="20" t="str">
        <f aca="false">IF($B86="","",IFERROR(AVERAGEIFS(Datos_problemas!$AE:$AE,Datos_problemas!$B:$B,$B86,Datos_problemas!$F:$F,"Evaluación",Datos_problemas!$E:$E,"Final"),""))</f>
        <v/>
      </c>
      <c r="I86" s="21" t="str">
        <f aca="false">IF(OR(G86="",H86=""),"",IF(G86&gt;=10,"",(H86-G86)/(10-G86)))</f>
        <v/>
      </c>
      <c r="J86" s="18" t="str">
        <f aca="false">IF($B86="","",IFERROR(SUMIFS(Datos_items!$Z:$Z,Datos_items!$B:$B,$B86,Datos_items!$O:$O,J$4,Datos_items!$E:$E,Analisis_grupo!$C$4)/COUNTIFS(Datos_items!$B:$B,$B86,Datos_items!$O:$O,J$4,Datos_items!$E:$E,Analisis_grupo!$C$4),""))</f>
        <v/>
      </c>
      <c r="K86" s="18" t="str">
        <f aca="false">IF($B86="","",IFERROR(SUMIFS(Datos_items!$Z:$Z,Datos_items!$B:$B,$B86,Datos_items!$O:$O,K$4,Datos_items!$E:$E,Analisis_grupo!$C$4)/COUNTIFS(Datos_items!$B:$B,$B86,Datos_items!$O:$O,K$4,Datos_items!$E:$E,Analisis_grupo!$C$4),""))</f>
        <v/>
      </c>
      <c r="L86" s="18" t="str">
        <f aca="false">IF($B86="","",IFERROR(SUMIFS(Datos_items!$Z:$Z,Datos_items!$B:$B,$B86,Datos_items!$O:$O,L$4,Datos_items!$E:$E,Analisis_grupo!$C$4)/COUNTIFS(Datos_items!$B:$B,$B86,Datos_items!$O:$O,L$4,Datos_items!$E:$E,Analisis_grupo!$C$4),""))</f>
        <v/>
      </c>
      <c r="M86" s="18" t="str">
        <f aca="false">IF($B86="","",IFERROR(SUMIFS(Datos_items!$Z:$Z,Datos_items!$B:$B,$B86,Datos_items!$O:$O,M$4,Datos_items!$E:$E,Analisis_grupo!$C$4)/COUNTIFS(Datos_items!$B:$B,$B86,Datos_items!$O:$O,M$4,Datos_items!$E:$E,Analisis_grupo!$C$4),""))</f>
        <v/>
      </c>
      <c r="N86" s="18" t="str">
        <f aca="false">IF($B86="","",IFERROR(SUMIFS(Datos_items!$Z:$Z,Datos_items!$B:$B,$B86,Datos_items!$O:$O,N$4,Datos_items!$E:$E,Analisis_grupo!$C$4)/COUNTIFS(Datos_items!$B:$B,$B86,Datos_items!$O:$O,N$4,Datos_items!$E:$E,Analisis_grupo!$C$4),""))</f>
        <v/>
      </c>
      <c r="O86" s="18" t="str">
        <f aca="false">IF($B86="","",IFERROR(SUMIFS(Datos_items!$Z:$Z,Datos_items!$B:$B,$B86,Datos_items!$O:$O,O$4,Datos_items!$E:$E,Analisis_grupo!$C$4)/COUNTIFS(Datos_items!$B:$B,$B86,Datos_items!$O:$O,O$4,Datos_items!$E:$E,Analisis_grupo!$C$4),""))</f>
        <v/>
      </c>
      <c r="P86" s="18" t="str">
        <f aca="false">IF($B86="","",IFERROR(SUMIFS(Datos_items!$Z:$Z,Datos_items!$B:$B,$B86,Datos_items!$O:$O,P$4,Datos_items!$E:$E,Analisis_grupo!$C$4)/COUNTIFS(Datos_items!$B:$B,$B86,Datos_items!$O:$O,P$4,Datos_items!$E:$E,Analisis_grupo!$C$4),""))</f>
        <v/>
      </c>
      <c r="Q86" s="18" t="str">
        <f aca="false">IF($B86="","",IFERROR(SUMIFS(Datos_items!$Z:$Z,Datos_items!$B:$B,$B86,Datos_items!$O:$O,Q$4,Datos_items!$E:$E,Analisis_grupo!$C$4)/COUNTIFS(Datos_items!$B:$B,$B86,Datos_items!$O:$O,Q$4,Datos_items!$E:$E,Analisis_grupo!$C$4),""))</f>
        <v/>
      </c>
      <c r="R86" s="2" t="str">
        <f aca="false">IF(COUNT(J86:Q86)=0,"",IF(MIN(J86:Q86)&gt;=Analisis_grupo!$B$7,"(ninguna)",INDEX($J$4:$Q$4,MATCH(MIN(J86:Q86),J86:Q86,0))))</f>
        <v/>
      </c>
      <c r="S86" s="2" t="str">
        <f aca="false">IF($B86="","",COUNTIF(J86:Q86,"&lt;"&amp;Analisis_grupo!$B$7))</f>
        <v/>
      </c>
      <c r="T86" s="2" t="str">
        <f aca="false">IF($B86="","",COUNTIFS(Datos_items!$B:$B,$B86,Datos_items!$AA:$AA,T$4,Datos_items!$E:$E,Analisis_grupo!$C$4))</f>
        <v/>
      </c>
      <c r="U86" s="2" t="str">
        <f aca="false">IF($B86="","",COUNTIFS(Datos_items!$B:$B,$B86,Datos_items!$AA:$AA,U$4,Datos_items!$E:$E,Analisis_grupo!$C$4))</f>
        <v/>
      </c>
      <c r="V86" s="2" t="str">
        <f aca="false">IF($B86="","",COUNTIFS(Datos_items!$B:$B,$B86,Datos_items!$AA:$AA,V$4,Datos_items!$E:$E,Analisis_grupo!$C$4))</f>
        <v/>
      </c>
      <c r="W86" s="2" t="str">
        <f aca="false">IF($B86="","",COUNTIFS(Datos_items!$B:$B,$B86,Datos_items!$AA:$AA,W$4,Datos_items!$E:$E,Analisis_grupo!$C$4))</f>
        <v/>
      </c>
      <c r="X86" s="2" t="str">
        <f aca="false">IF($B86="","",COUNTIFS(Datos_items!$B:$B,$B86,Datos_items!$AA:$AA,X$4,Datos_items!$E:$E,Analisis_grupo!$C$4))</f>
        <v/>
      </c>
      <c r="Y86" s="2" t="str">
        <f aca="false">IF($B86="","",COUNTIFS(Datos_items!$B:$B,$B86,Datos_items!$AA:$AA,Y$4,Datos_items!$E:$E,Analisis_grupo!$C$4))</f>
        <v/>
      </c>
      <c r="Z86" s="2" t="str">
        <f aca="false">IF($B86="","",COUNTIFS(Datos_items!$B:$B,$B86,Datos_items!$AA:$AA,Z$4,Datos_items!$E:$E,Analisis_grupo!$C$4))</f>
        <v/>
      </c>
      <c r="AA86" s="2" t="str">
        <f aca="false">IF($B86="","",COUNTIFS(Datos_items!$B:$B,$B86,Datos_items!$AA:$AA,AA$4,Datos_items!$E:$E,Analisis_grupo!$C$4))</f>
        <v/>
      </c>
      <c r="AB86" s="2" t="str">
        <f aca="false">IF($B86="","",COUNTIFS(Datos_items!$B:$B,$B86,Datos_items!$AA:$AA,AB$4,Datos_items!$E:$E,Analisis_grupo!$C$4))</f>
        <v/>
      </c>
      <c r="AC86" s="2" t="str">
        <f aca="false">IF($B86="","",COUNTIFS(Datos_items!$B:$B,$B86,Datos_items!$AA:$AA,AC$4,Datos_items!$E:$E,Analisis_grupo!$C$4))</f>
        <v/>
      </c>
      <c r="AD86" s="2" t="str">
        <f aca="false">IF($B86="","",COUNTIFS(Datos_items!$B:$B,$B86,Datos_items!$AA:$AA,AD$4,Datos_items!$E:$E,Analisis_grupo!$C$4))</f>
        <v/>
      </c>
      <c r="AE86" s="2" t="str">
        <f aca="false">IF($B86="","",COUNTIFS(Datos_items!$B:$B,$B86,Datos_items!$AA:$AA,AE$4,Datos_items!$E:$E,Analisis_grupo!$C$4))</f>
        <v/>
      </c>
      <c r="AF86" s="2" t="str">
        <f aca="false">IF($B86="","",COUNTIFS(Datos_items!$B:$B,$B86,Datos_items!$AA:$AA,AF$4,Datos_items!$E:$E,Analisis_grupo!$C$4))</f>
        <v/>
      </c>
      <c r="AG86" s="2" t="str">
        <f aca="false">IF($B86="","",COUNTIFS(Datos_items!$B:$B,$B86,Datos_items!$AA:$AA,AG$4,Datos_items!$E:$E,Analisis_grupo!$C$4))</f>
        <v/>
      </c>
      <c r="AH86" s="2" t="str">
        <f aca="false">IF($B86="","",COUNTIFS(Datos_items!$B:$B,$B86,Datos_items!$AA:$AA,AH$4,Datos_items!$E:$E,Analisis_grupo!$C$4))</f>
        <v/>
      </c>
      <c r="AI86" s="2" t="str">
        <f aca="false">IF($B86="","",COUNTIFS(Datos_items!$B:$B,$B86,Datos_items!$AA:$AA,AI$4,Datos_items!$E:$E,Analisis_grupo!$C$4))</f>
        <v/>
      </c>
      <c r="AJ86" s="2" t="str">
        <f aca="false">IF($B86="","",COUNTIFS(Datos_items!$B:$B,$B86,Datos_items!$AA:$AA,AJ$4,Datos_items!$E:$E,Analisis_grupo!$C$4))</f>
        <v/>
      </c>
      <c r="AK86" s="2" t="str">
        <f aca="false">IF($B86="","",COUNTIFS(Datos_items!$B:$B,$B86,Datos_items!$AA:$AA,AK$4,Datos_items!$E:$E,Analisis_grupo!$C$4))</f>
        <v/>
      </c>
      <c r="AL86" s="2" t="str">
        <f aca="false">IF($B86="","",COUNTIFS(Datos_items!$B:$B,$B86,Datos_items!$AA:$AA,AL$4,Datos_items!$E:$E,Analisis_grupo!$C$4))</f>
        <v/>
      </c>
      <c r="AM86" s="2" t="str">
        <f aca="false">IF($B86="","",IF(MAX(Y86:AL86)=0,"",INDEX($Y$4:$AL$4,MATCH(MAX(Y86:AL86),Y86:AL86,0))))</f>
        <v/>
      </c>
      <c r="AN86" s="2" t="str">
        <f aca="false">IF($B86="","",COUNTIFS(Datos_problemas!$B:$B,$B86,Datos_problemas!$F:$F,"Práctica"))</f>
        <v/>
      </c>
      <c r="AO86" s="2" t="str">
        <f aca="false">IF($B86="","",SUMIFS(Datos_problemas!$AQ:$AQ,Datos_problemas!$B:$B,$B86,Datos_problemas!$F:$F,"Práctica"))</f>
        <v/>
      </c>
      <c r="AP86" s="2" t="str">
        <f aca="false">IF($B86="","",COUNTIFS(Datos_problemas!$B:$B,$B86,Datos_problemas!$F:$F,"Práctica",Datos_problemas!$AS:$AS,"Sí"))</f>
        <v/>
      </c>
    </row>
    <row r="87" customFormat="false" ht="15" hidden="false" customHeight="false" outlineLevel="0" collapsed="false">
      <c r="A87" s="2" t="n">
        <v>83</v>
      </c>
      <c r="B87" s="2" t="str">
        <f aca="false">IFERROR(INDEX(Datos_problemas!$B:$B,MATCH($A87,Datos_problemas!$AV:$AV,0)),"")</f>
        <v/>
      </c>
      <c r="C87" s="2" t="str">
        <f aca="false">IF($B87="","",INDEX(Datos_problemas!$C:$C,MATCH($A87,Datos_problemas!$AV:$AV,0)))</f>
        <v/>
      </c>
      <c r="D87" s="2" t="str">
        <f aca="false">IF($B87="","",INDEX(Datos_problemas!$D:$D,MATCH($A87,Datos_problemas!$AV:$AV,0)))</f>
        <v/>
      </c>
      <c r="E87" s="2" t="str">
        <f aca="false">IF($B87="","",COUNTIFS(Datos_problemas!$B:$B,$B87,Datos_problemas!$F:$F,"Evaluación"))</f>
        <v/>
      </c>
      <c r="F87" s="20" t="str">
        <f aca="false">IF($B87="","",IFERROR(AVERAGEIFS(Datos_problemas!$AE:$AE,Datos_problemas!$B:$B,$B87,Datos_problemas!$F:$F,"Evaluación"),""))</f>
        <v/>
      </c>
      <c r="G87" s="20" t="str">
        <f aca="false">IF($B87="","",IFERROR(AVERAGEIFS(Datos_problemas!$AE:$AE,Datos_problemas!$B:$B,$B87,Datos_problemas!$F:$F,"Evaluación",Datos_problemas!$E:$E,"Diagnóstico"),""))</f>
        <v/>
      </c>
      <c r="H87" s="20" t="str">
        <f aca="false">IF($B87="","",IFERROR(AVERAGEIFS(Datos_problemas!$AE:$AE,Datos_problemas!$B:$B,$B87,Datos_problemas!$F:$F,"Evaluación",Datos_problemas!$E:$E,"Final"),""))</f>
        <v/>
      </c>
      <c r="I87" s="21" t="str">
        <f aca="false">IF(OR(G87="",H87=""),"",IF(G87&gt;=10,"",(H87-G87)/(10-G87)))</f>
        <v/>
      </c>
      <c r="J87" s="18" t="str">
        <f aca="false">IF($B87="","",IFERROR(SUMIFS(Datos_items!$Z:$Z,Datos_items!$B:$B,$B87,Datos_items!$O:$O,J$4,Datos_items!$E:$E,Analisis_grupo!$C$4)/COUNTIFS(Datos_items!$B:$B,$B87,Datos_items!$O:$O,J$4,Datos_items!$E:$E,Analisis_grupo!$C$4),""))</f>
        <v/>
      </c>
      <c r="K87" s="18" t="str">
        <f aca="false">IF($B87="","",IFERROR(SUMIFS(Datos_items!$Z:$Z,Datos_items!$B:$B,$B87,Datos_items!$O:$O,K$4,Datos_items!$E:$E,Analisis_grupo!$C$4)/COUNTIFS(Datos_items!$B:$B,$B87,Datos_items!$O:$O,K$4,Datos_items!$E:$E,Analisis_grupo!$C$4),""))</f>
        <v/>
      </c>
      <c r="L87" s="18" t="str">
        <f aca="false">IF($B87="","",IFERROR(SUMIFS(Datos_items!$Z:$Z,Datos_items!$B:$B,$B87,Datos_items!$O:$O,L$4,Datos_items!$E:$E,Analisis_grupo!$C$4)/COUNTIFS(Datos_items!$B:$B,$B87,Datos_items!$O:$O,L$4,Datos_items!$E:$E,Analisis_grupo!$C$4),""))</f>
        <v/>
      </c>
      <c r="M87" s="18" t="str">
        <f aca="false">IF($B87="","",IFERROR(SUMIFS(Datos_items!$Z:$Z,Datos_items!$B:$B,$B87,Datos_items!$O:$O,M$4,Datos_items!$E:$E,Analisis_grupo!$C$4)/COUNTIFS(Datos_items!$B:$B,$B87,Datos_items!$O:$O,M$4,Datos_items!$E:$E,Analisis_grupo!$C$4),""))</f>
        <v/>
      </c>
      <c r="N87" s="18" t="str">
        <f aca="false">IF($B87="","",IFERROR(SUMIFS(Datos_items!$Z:$Z,Datos_items!$B:$B,$B87,Datos_items!$O:$O,N$4,Datos_items!$E:$E,Analisis_grupo!$C$4)/COUNTIFS(Datos_items!$B:$B,$B87,Datos_items!$O:$O,N$4,Datos_items!$E:$E,Analisis_grupo!$C$4),""))</f>
        <v/>
      </c>
      <c r="O87" s="18" t="str">
        <f aca="false">IF($B87="","",IFERROR(SUMIFS(Datos_items!$Z:$Z,Datos_items!$B:$B,$B87,Datos_items!$O:$O,O$4,Datos_items!$E:$E,Analisis_grupo!$C$4)/COUNTIFS(Datos_items!$B:$B,$B87,Datos_items!$O:$O,O$4,Datos_items!$E:$E,Analisis_grupo!$C$4),""))</f>
        <v/>
      </c>
      <c r="P87" s="18" t="str">
        <f aca="false">IF($B87="","",IFERROR(SUMIFS(Datos_items!$Z:$Z,Datos_items!$B:$B,$B87,Datos_items!$O:$O,P$4,Datos_items!$E:$E,Analisis_grupo!$C$4)/COUNTIFS(Datos_items!$B:$B,$B87,Datos_items!$O:$O,P$4,Datos_items!$E:$E,Analisis_grupo!$C$4),""))</f>
        <v/>
      </c>
      <c r="Q87" s="18" t="str">
        <f aca="false">IF($B87="","",IFERROR(SUMIFS(Datos_items!$Z:$Z,Datos_items!$B:$B,$B87,Datos_items!$O:$O,Q$4,Datos_items!$E:$E,Analisis_grupo!$C$4)/COUNTIFS(Datos_items!$B:$B,$B87,Datos_items!$O:$O,Q$4,Datos_items!$E:$E,Analisis_grupo!$C$4),""))</f>
        <v/>
      </c>
      <c r="R87" s="2" t="str">
        <f aca="false">IF(COUNT(J87:Q87)=0,"",IF(MIN(J87:Q87)&gt;=Analisis_grupo!$B$7,"(ninguna)",INDEX($J$4:$Q$4,MATCH(MIN(J87:Q87),J87:Q87,0))))</f>
        <v/>
      </c>
      <c r="S87" s="2" t="str">
        <f aca="false">IF($B87="","",COUNTIF(J87:Q87,"&lt;"&amp;Analisis_grupo!$B$7))</f>
        <v/>
      </c>
      <c r="T87" s="2" t="str">
        <f aca="false">IF($B87="","",COUNTIFS(Datos_items!$B:$B,$B87,Datos_items!$AA:$AA,T$4,Datos_items!$E:$E,Analisis_grupo!$C$4))</f>
        <v/>
      </c>
      <c r="U87" s="2" t="str">
        <f aca="false">IF($B87="","",COUNTIFS(Datos_items!$B:$B,$B87,Datos_items!$AA:$AA,U$4,Datos_items!$E:$E,Analisis_grupo!$C$4))</f>
        <v/>
      </c>
      <c r="V87" s="2" t="str">
        <f aca="false">IF($B87="","",COUNTIFS(Datos_items!$B:$B,$B87,Datos_items!$AA:$AA,V$4,Datos_items!$E:$E,Analisis_grupo!$C$4))</f>
        <v/>
      </c>
      <c r="W87" s="2" t="str">
        <f aca="false">IF($B87="","",COUNTIFS(Datos_items!$B:$B,$B87,Datos_items!$AA:$AA,W$4,Datos_items!$E:$E,Analisis_grupo!$C$4))</f>
        <v/>
      </c>
      <c r="X87" s="2" t="str">
        <f aca="false">IF($B87="","",COUNTIFS(Datos_items!$B:$B,$B87,Datos_items!$AA:$AA,X$4,Datos_items!$E:$E,Analisis_grupo!$C$4))</f>
        <v/>
      </c>
      <c r="Y87" s="2" t="str">
        <f aca="false">IF($B87="","",COUNTIFS(Datos_items!$B:$B,$B87,Datos_items!$AA:$AA,Y$4,Datos_items!$E:$E,Analisis_grupo!$C$4))</f>
        <v/>
      </c>
      <c r="Z87" s="2" t="str">
        <f aca="false">IF($B87="","",COUNTIFS(Datos_items!$B:$B,$B87,Datos_items!$AA:$AA,Z$4,Datos_items!$E:$E,Analisis_grupo!$C$4))</f>
        <v/>
      </c>
      <c r="AA87" s="2" t="str">
        <f aca="false">IF($B87="","",COUNTIFS(Datos_items!$B:$B,$B87,Datos_items!$AA:$AA,AA$4,Datos_items!$E:$E,Analisis_grupo!$C$4))</f>
        <v/>
      </c>
      <c r="AB87" s="2" t="str">
        <f aca="false">IF($B87="","",COUNTIFS(Datos_items!$B:$B,$B87,Datos_items!$AA:$AA,AB$4,Datos_items!$E:$E,Analisis_grupo!$C$4))</f>
        <v/>
      </c>
      <c r="AC87" s="2" t="str">
        <f aca="false">IF($B87="","",COUNTIFS(Datos_items!$B:$B,$B87,Datos_items!$AA:$AA,AC$4,Datos_items!$E:$E,Analisis_grupo!$C$4))</f>
        <v/>
      </c>
      <c r="AD87" s="2" t="str">
        <f aca="false">IF($B87="","",COUNTIFS(Datos_items!$B:$B,$B87,Datos_items!$AA:$AA,AD$4,Datos_items!$E:$E,Analisis_grupo!$C$4))</f>
        <v/>
      </c>
      <c r="AE87" s="2" t="str">
        <f aca="false">IF($B87="","",COUNTIFS(Datos_items!$B:$B,$B87,Datos_items!$AA:$AA,AE$4,Datos_items!$E:$E,Analisis_grupo!$C$4))</f>
        <v/>
      </c>
      <c r="AF87" s="2" t="str">
        <f aca="false">IF($B87="","",COUNTIFS(Datos_items!$B:$B,$B87,Datos_items!$AA:$AA,AF$4,Datos_items!$E:$E,Analisis_grupo!$C$4))</f>
        <v/>
      </c>
      <c r="AG87" s="2" t="str">
        <f aca="false">IF($B87="","",COUNTIFS(Datos_items!$B:$B,$B87,Datos_items!$AA:$AA,AG$4,Datos_items!$E:$E,Analisis_grupo!$C$4))</f>
        <v/>
      </c>
      <c r="AH87" s="2" t="str">
        <f aca="false">IF($B87="","",COUNTIFS(Datos_items!$B:$B,$B87,Datos_items!$AA:$AA,AH$4,Datos_items!$E:$E,Analisis_grupo!$C$4))</f>
        <v/>
      </c>
      <c r="AI87" s="2" t="str">
        <f aca="false">IF($B87="","",COUNTIFS(Datos_items!$B:$B,$B87,Datos_items!$AA:$AA,AI$4,Datos_items!$E:$E,Analisis_grupo!$C$4))</f>
        <v/>
      </c>
      <c r="AJ87" s="2" t="str">
        <f aca="false">IF($B87="","",COUNTIFS(Datos_items!$B:$B,$B87,Datos_items!$AA:$AA,AJ$4,Datos_items!$E:$E,Analisis_grupo!$C$4))</f>
        <v/>
      </c>
      <c r="AK87" s="2" t="str">
        <f aca="false">IF($B87="","",COUNTIFS(Datos_items!$B:$B,$B87,Datos_items!$AA:$AA,AK$4,Datos_items!$E:$E,Analisis_grupo!$C$4))</f>
        <v/>
      </c>
      <c r="AL87" s="2" t="str">
        <f aca="false">IF($B87="","",COUNTIFS(Datos_items!$B:$B,$B87,Datos_items!$AA:$AA,AL$4,Datos_items!$E:$E,Analisis_grupo!$C$4))</f>
        <v/>
      </c>
      <c r="AM87" s="2" t="str">
        <f aca="false">IF($B87="","",IF(MAX(Y87:AL87)=0,"",INDEX($Y$4:$AL$4,MATCH(MAX(Y87:AL87),Y87:AL87,0))))</f>
        <v/>
      </c>
      <c r="AN87" s="2" t="str">
        <f aca="false">IF($B87="","",COUNTIFS(Datos_problemas!$B:$B,$B87,Datos_problemas!$F:$F,"Práctica"))</f>
        <v/>
      </c>
      <c r="AO87" s="2" t="str">
        <f aca="false">IF($B87="","",SUMIFS(Datos_problemas!$AQ:$AQ,Datos_problemas!$B:$B,$B87,Datos_problemas!$F:$F,"Práctica"))</f>
        <v/>
      </c>
      <c r="AP87" s="2" t="str">
        <f aca="false">IF($B87="","",COUNTIFS(Datos_problemas!$B:$B,$B87,Datos_problemas!$F:$F,"Práctica",Datos_problemas!$AS:$AS,"Sí"))</f>
        <v/>
      </c>
    </row>
    <row r="88" customFormat="false" ht="15" hidden="false" customHeight="false" outlineLevel="0" collapsed="false">
      <c r="A88" s="2" t="n">
        <v>84</v>
      </c>
      <c r="B88" s="2" t="str">
        <f aca="false">IFERROR(INDEX(Datos_problemas!$B:$B,MATCH($A88,Datos_problemas!$AV:$AV,0)),"")</f>
        <v/>
      </c>
      <c r="C88" s="2" t="str">
        <f aca="false">IF($B88="","",INDEX(Datos_problemas!$C:$C,MATCH($A88,Datos_problemas!$AV:$AV,0)))</f>
        <v/>
      </c>
      <c r="D88" s="2" t="str">
        <f aca="false">IF($B88="","",INDEX(Datos_problemas!$D:$D,MATCH($A88,Datos_problemas!$AV:$AV,0)))</f>
        <v/>
      </c>
      <c r="E88" s="2" t="str">
        <f aca="false">IF($B88="","",COUNTIFS(Datos_problemas!$B:$B,$B88,Datos_problemas!$F:$F,"Evaluación"))</f>
        <v/>
      </c>
      <c r="F88" s="20" t="str">
        <f aca="false">IF($B88="","",IFERROR(AVERAGEIFS(Datos_problemas!$AE:$AE,Datos_problemas!$B:$B,$B88,Datos_problemas!$F:$F,"Evaluación"),""))</f>
        <v/>
      </c>
      <c r="G88" s="20" t="str">
        <f aca="false">IF($B88="","",IFERROR(AVERAGEIFS(Datos_problemas!$AE:$AE,Datos_problemas!$B:$B,$B88,Datos_problemas!$F:$F,"Evaluación",Datos_problemas!$E:$E,"Diagnóstico"),""))</f>
        <v/>
      </c>
      <c r="H88" s="20" t="str">
        <f aca="false">IF($B88="","",IFERROR(AVERAGEIFS(Datos_problemas!$AE:$AE,Datos_problemas!$B:$B,$B88,Datos_problemas!$F:$F,"Evaluación",Datos_problemas!$E:$E,"Final"),""))</f>
        <v/>
      </c>
      <c r="I88" s="21" t="str">
        <f aca="false">IF(OR(G88="",H88=""),"",IF(G88&gt;=10,"",(H88-G88)/(10-G88)))</f>
        <v/>
      </c>
      <c r="J88" s="18" t="str">
        <f aca="false">IF($B88="","",IFERROR(SUMIFS(Datos_items!$Z:$Z,Datos_items!$B:$B,$B88,Datos_items!$O:$O,J$4,Datos_items!$E:$E,Analisis_grupo!$C$4)/COUNTIFS(Datos_items!$B:$B,$B88,Datos_items!$O:$O,J$4,Datos_items!$E:$E,Analisis_grupo!$C$4),""))</f>
        <v/>
      </c>
      <c r="K88" s="18" t="str">
        <f aca="false">IF($B88="","",IFERROR(SUMIFS(Datos_items!$Z:$Z,Datos_items!$B:$B,$B88,Datos_items!$O:$O,K$4,Datos_items!$E:$E,Analisis_grupo!$C$4)/COUNTIFS(Datos_items!$B:$B,$B88,Datos_items!$O:$O,K$4,Datos_items!$E:$E,Analisis_grupo!$C$4),""))</f>
        <v/>
      </c>
      <c r="L88" s="18" t="str">
        <f aca="false">IF($B88="","",IFERROR(SUMIFS(Datos_items!$Z:$Z,Datos_items!$B:$B,$B88,Datos_items!$O:$O,L$4,Datos_items!$E:$E,Analisis_grupo!$C$4)/COUNTIFS(Datos_items!$B:$B,$B88,Datos_items!$O:$O,L$4,Datos_items!$E:$E,Analisis_grupo!$C$4),""))</f>
        <v/>
      </c>
      <c r="M88" s="18" t="str">
        <f aca="false">IF($B88="","",IFERROR(SUMIFS(Datos_items!$Z:$Z,Datos_items!$B:$B,$B88,Datos_items!$O:$O,M$4,Datos_items!$E:$E,Analisis_grupo!$C$4)/COUNTIFS(Datos_items!$B:$B,$B88,Datos_items!$O:$O,M$4,Datos_items!$E:$E,Analisis_grupo!$C$4),""))</f>
        <v/>
      </c>
      <c r="N88" s="18" t="str">
        <f aca="false">IF($B88="","",IFERROR(SUMIFS(Datos_items!$Z:$Z,Datos_items!$B:$B,$B88,Datos_items!$O:$O,N$4,Datos_items!$E:$E,Analisis_grupo!$C$4)/COUNTIFS(Datos_items!$B:$B,$B88,Datos_items!$O:$O,N$4,Datos_items!$E:$E,Analisis_grupo!$C$4),""))</f>
        <v/>
      </c>
      <c r="O88" s="18" t="str">
        <f aca="false">IF($B88="","",IFERROR(SUMIFS(Datos_items!$Z:$Z,Datos_items!$B:$B,$B88,Datos_items!$O:$O,O$4,Datos_items!$E:$E,Analisis_grupo!$C$4)/COUNTIFS(Datos_items!$B:$B,$B88,Datos_items!$O:$O,O$4,Datos_items!$E:$E,Analisis_grupo!$C$4),""))</f>
        <v/>
      </c>
      <c r="P88" s="18" t="str">
        <f aca="false">IF($B88="","",IFERROR(SUMIFS(Datos_items!$Z:$Z,Datos_items!$B:$B,$B88,Datos_items!$O:$O,P$4,Datos_items!$E:$E,Analisis_grupo!$C$4)/COUNTIFS(Datos_items!$B:$B,$B88,Datos_items!$O:$O,P$4,Datos_items!$E:$E,Analisis_grupo!$C$4),""))</f>
        <v/>
      </c>
      <c r="Q88" s="18" t="str">
        <f aca="false">IF($B88="","",IFERROR(SUMIFS(Datos_items!$Z:$Z,Datos_items!$B:$B,$B88,Datos_items!$O:$O,Q$4,Datos_items!$E:$E,Analisis_grupo!$C$4)/COUNTIFS(Datos_items!$B:$B,$B88,Datos_items!$O:$O,Q$4,Datos_items!$E:$E,Analisis_grupo!$C$4),""))</f>
        <v/>
      </c>
      <c r="R88" s="2" t="str">
        <f aca="false">IF(COUNT(J88:Q88)=0,"",IF(MIN(J88:Q88)&gt;=Analisis_grupo!$B$7,"(ninguna)",INDEX($J$4:$Q$4,MATCH(MIN(J88:Q88),J88:Q88,0))))</f>
        <v/>
      </c>
      <c r="S88" s="2" t="str">
        <f aca="false">IF($B88="","",COUNTIF(J88:Q88,"&lt;"&amp;Analisis_grupo!$B$7))</f>
        <v/>
      </c>
      <c r="T88" s="2" t="str">
        <f aca="false">IF($B88="","",COUNTIFS(Datos_items!$B:$B,$B88,Datos_items!$AA:$AA,T$4,Datos_items!$E:$E,Analisis_grupo!$C$4))</f>
        <v/>
      </c>
      <c r="U88" s="2" t="str">
        <f aca="false">IF($B88="","",COUNTIFS(Datos_items!$B:$B,$B88,Datos_items!$AA:$AA,U$4,Datos_items!$E:$E,Analisis_grupo!$C$4))</f>
        <v/>
      </c>
      <c r="V88" s="2" t="str">
        <f aca="false">IF($B88="","",COUNTIFS(Datos_items!$B:$B,$B88,Datos_items!$AA:$AA,V$4,Datos_items!$E:$E,Analisis_grupo!$C$4))</f>
        <v/>
      </c>
      <c r="W88" s="2" t="str">
        <f aca="false">IF($B88="","",COUNTIFS(Datos_items!$B:$B,$B88,Datos_items!$AA:$AA,W$4,Datos_items!$E:$E,Analisis_grupo!$C$4))</f>
        <v/>
      </c>
      <c r="X88" s="2" t="str">
        <f aca="false">IF($B88="","",COUNTIFS(Datos_items!$B:$B,$B88,Datos_items!$AA:$AA,X$4,Datos_items!$E:$E,Analisis_grupo!$C$4))</f>
        <v/>
      </c>
      <c r="Y88" s="2" t="str">
        <f aca="false">IF($B88="","",COUNTIFS(Datos_items!$B:$B,$B88,Datos_items!$AA:$AA,Y$4,Datos_items!$E:$E,Analisis_grupo!$C$4))</f>
        <v/>
      </c>
      <c r="Z88" s="2" t="str">
        <f aca="false">IF($B88="","",COUNTIFS(Datos_items!$B:$B,$B88,Datos_items!$AA:$AA,Z$4,Datos_items!$E:$E,Analisis_grupo!$C$4))</f>
        <v/>
      </c>
      <c r="AA88" s="2" t="str">
        <f aca="false">IF($B88="","",COUNTIFS(Datos_items!$B:$B,$B88,Datos_items!$AA:$AA,AA$4,Datos_items!$E:$E,Analisis_grupo!$C$4))</f>
        <v/>
      </c>
      <c r="AB88" s="2" t="str">
        <f aca="false">IF($B88="","",COUNTIFS(Datos_items!$B:$B,$B88,Datos_items!$AA:$AA,AB$4,Datos_items!$E:$E,Analisis_grupo!$C$4))</f>
        <v/>
      </c>
      <c r="AC88" s="2" t="str">
        <f aca="false">IF($B88="","",COUNTIFS(Datos_items!$B:$B,$B88,Datos_items!$AA:$AA,AC$4,Datos_items!$E:$E,Analisis_grupo!$C$4))</f>
        <v/>
      </c>
      <c r="AD88" s="2" t="str">
        <f aca="false">IF($B88="","",COUNTIFS(Datos_items!$B:$B,$B88,Datos_items!$AA:$AA,AD$4,Datos_items!$E:$E,Analisis_grupo!$C$4))</f>
        <v/>
      </c>
      <c r="AE88" s="2" t="str">
        <f aca="false">IF($B88="","",COUNTIFS(Datos_items!$B:$B,$B88,Datos_items!$AA:$AA,AE$4,Datos_items!$E:$E,Analisis_grupo!$C$4))</f>
        <v/>
      </c>
      <c r="AF88" s="2" t="str">
        <f aca="false">IF($B88="","",COUNTIFS(Datos_items!$B:$B,$B88,Datos_items!$AA:$AA,AF$4,Datos_items!$E:$E,Analisis_grupo!$C$4))</f>
        <v/>
      </c>
      <c r="AG88" s="2" t="str">
        <f aca="false">IF($B88="","",COUNTIFS(Datos_items!$B:$B,$B88,Datos_items!$AA:$AA,AG$4,Datos_items!$E:$E,Analisis_grupo!$C$4))</f>
        <v/>
      </c>
      <c r="AH88" s="2" t="str">
        <f aca="false">IF($B88="","",COUNTIFS(Datos_items!$B:$B,$B88,Datos_items!$AA:$AA,AH$4,Datos_items!$E:$E,Analisis_grupo!$C$4))</f>
        <v/>
      </c>
      <c r="AI88" s="2" t="str">
        <f aca="false">IF($B88="","",COUNTIFS(Datos_items!$B:$B,$B88,Datos_items!$AA:$AA,AI$4,Datos_items!$E:$E,Analisis_grupo!$C$4))</f>
        <v/>
      </c>
      <c r="AJ88" s="2" t="str">
        <f aca="false">IF($B88="","",COUNTIFS(Datos_items!$B:$B,$B88,Datos_items!$AA:$AA,AJ$4,Datos_items!$E:$E,Analisis_grupo!$C$4))</f>
        <v/>
      </c>
      <c r="AK88" s="2" t="str">
        <f aca="false">IF($B88="","",COUNTIFS(Datos_items!$B:$B,$B88,Datos_items!$AA:$AA,AK$4,Datos_items!$E:$E,Analisis_grupo!$C$4))</f>
        <v/>
      </c>
      <c r="AL88" s="2" t="str">
        <f aca="false">IF($B88="","",COUNTIFS(Datos_items!$B:$B,$B88,Datos_items!$AA:$AA,AL$4,Datos_items!$E:$E,Analisis_grupo!$C$4))</f>
        <v/>
      </c>
      <c r="AM88" s="2" t="str">
        <f aca="false">IF($B88="","",IF(MAX(Y88:AL88)=0,"",INDEX($Y$4:$AL$4,MATCH(MAX(Y88:AL88),Y88:AL88,0))))</f>
        <v/>
      </c>
      <c r="AN88" s="2" t="str">
        <f aca="false">IF($B88="","",COUNTIFS(Datos_problemas!$B:$B,$B88,Datos_problemas!$F:$F,"Práctica"))</f>
        <v/>
      </c>
      <c r="AO88" s="2" t="str">
        <f aca="false">IF($B88="","",SUMIFS(Datos_problemas!$AQ:$AQ,Datos_problemas!$B:$B,$B88,Datos_problemas!$F:$F,"Práctica"))</f>
        <v/>
      </c>
      <c r="AP88" s="2" t="str">
        <f aca="false">IF($B88="","",COUNTIFS(Datos_problemas!$B:$B,$B88,Datos_problemas!$F:$F,"Práctica",Datos_problemas!$AS:$AS,"Sí"))</f>
        <v/>
      </c>
    </row>
    <row r="89" customFormat="false" ht="15" hidden="false" customHeight="false" outlineLevel="0" collapsed="false">
      <c r="A89" s="2" t="n">
        <v>85</v>
      </c>
      <c r="B89" s="2" t="str">
        <f aca="false">IFERROR(INDEX(Datos_problemas!$B:$B,MATCH($A89,Datos_problemas!$AV:$AV,0)),"")</f>
        <v/>
      </c>
      <c r="C89" s="2" t="str">
        <f aca="false">IF($B89="","",INDEX(Datos_problemas!$C:$C,MATCH($A89,Datos_problemas!$AV:$AV,0)))</f>
        <v/>
      </c>
      <c r="D89" s="2" t="str">
        <f aca="false">IF($B89="","",INDEX(Datos_problemas!$D:$D,MATCH($A89,Datos_problemas!$AV:$AV,0)))</f>
        <v/>
      </c>
      <c r="E89" s="2" t="str">
        <f aca="false">IF($B89="","",COUNTIFS(Datos_problemas!$B:$B,$B89,Datos_problemas!$F:$F,"Evaluación"))</f>
        <v/>
      </c>
      <c r="F89" s="20" t="str">
        <f aca="false">IF($B89="","",IFERROR(AVERAGEIFS(Datos_problemas!$AE:$AE,Datos_problemas!$B:$B,$B89,Datos_problemas!$F:$F,"Evaluación"),""))</f>
        <v/>
      </c>
      <c r="G89" s="20" t="str">
        <f aca="false">IF($B89="","",IFERROR(AVERAGEIFS(Datos_problemas!$AE:$AE,Datos_problemas!$B:$B,$B89,Datos_problemas!$F:$F,"Evaluación",Datos_problemas!$E:$E,"Diagnóstico"),""))</f>
        <v/>
      </c>
      <c r="H89" s="20" t="str">
        <f aca="false">IF($B89="","",IFERROR(AVERAGEIFS(Datos_problemas!$AE:$AE,Datos_problemas!$B:$B,$B89,Datos_problemas!$F:$F,"Evaluación",Datos_problemas!$E:$E,"Final"),""))</f>
        <v/>
      </c>
      <c r="I89" s="21" t="str">
        <f aca="false">IF(OR(G89="",H89=""),"",IF(G89&gt;=10,"",(H89-G89)/(10-G89)))</f>
        <v/>
      </c>
      <c r="J89" s="18" t="str">
        <f aca="false">IF($B89="","",IFERROR(SUMIFS(Datos_items!$Z:$Z,Datos_items!$B:$B,$B89,Datos_items!$O:$O,J$4,Datos_items!$E:$E,Analisis_grupo!$C$4)/COUNTIFS(Datos_items!$B:$B,$B89,Datos_items!$O:$O,J$4,Datos_items!$E:$E,Analisis_grupo!$C$4),""))</f>
        <v/>
      </c>
      <c r="K89" s="18" t="str">
        <f aca="false">IF($B89="","",IFERROR(SUMIFS(Datos_items!$Z:$Z,Datos_items!$B:$B,$B89,Datos_items!$O:$O,K$4,Datos_items!$E:$E,Analisis_grupo!$C$4)/COUNTIFS(Datos_items!$B:$B,$B89,Datos_items!$O:$O,K$4,Datos_items!$E:$E,Analisis_grupo!$C$4),""))</f>
        <v/>
      </c>
      <c r="L89" s="18" t="str">
        <f aca="false">IF($B89="","",IFERROR(SUMIFS(Datos_items!$Z:$Z,Datos_items!$B:$B,$B89,Datos_items!$O:$O,L$4,Datos_items!$E:$E,Analisis_grupo!$C$4)/COUNTIFS(Datos_items!$B:$B,$B89,Datos_items!$O:$O,L$4,Datos_items!$E:$E,Analisis_grupo!$C$4),""))</f>
        <v/>
      </c>
      <c r="M89" s="18" t="str">
        <f aca="false">IF($B89="","",IFERROR(SUMIFS(Datos_items!$Z:$Z,Datos_items!$B:$B,$B89,Datos_items!$O:$O,M$4,Datos_items!$E:$E,Analisis_grupo!$C$4)/COUNTIFS(Datos_items!$B:$B,$B89,Datos_items!$O:$O,M$4,Datos_items!$E:$E,Analisis_grupo!$C$4),""))</f>
        <v/>
      </c>
      <c r="N89" s="18" t="str">
        <f aca="false">IF($B89="","",IFERROR(SUMIFS(Datos_items!$Z:$Z,Datos_items!$B:$B,$B89,Datos_items!$O:$O,N$4,Datos_items!$E:$E,Analisis_grupo!$C$4)/COUNTIFS(Datos_items!$B:$B,$B89,Datos_items!$O:$O,N$4,Datos_items!$E:$E,Analisis_grupo!$C$4),""))</f>
        <v/>
      </c>
      <c r="O89" s="18" t="str">
        <f aca="false">IF($B89="","",IFERROR(SUMIFS(Datos_items!$Z:$Z,Datos_items!$B:$B,$B89,Datos_items!$O:$O,O$4,Datos_items!$E:$E,Analisis_grupo!$C$4)/COUNTIFS(Datos_items!$B:$B,$B89,Datos_items!$O:$O,O$4,Datos_items!$E:$E,Analisis_grupo!$C$4),""))</f>
        <v/>
      </c>
      <c r="P89" s="18" t="str">
        <f aca="false">IF($B89="","",IFERROR(SUMIFS(Datos_items!$Z:$Z,Datos_items!$B:$B,$B89,Datos_items!$O:$O,P$4,Datos_items!$E:$E,Analisis_grupo!$C$4)/COUNTIFS(Datos_items!$B:$B,$B89,Datos_items!$O:$O,P$4,Datos_items!$E:$E,Analisis_grupo!$C$4),""))</f>
        <v/>
      </c>
      <c r="Q89" s="18" t="str">
        <f aca="false">IF($B89="","",IFERROR(SUMIFS(Datos_items!$Z:$Z,Datos_items!$B:$B,$B89,Datos_items!$O:$O,Q$4,Datos_items!$E:$E,Analisis_grupo!$C$4)/COUNTIFS(Datos_items!$B:$B,$B89,Datos_items!$O:$O,Q$4,Datos_items!$E:$E,Analisis_grupo!$C$4),""))</f>
        <v/>
      </c>
      <c r="R89" s="2" t="str">
        <f aca="false">IF(COUNT(J89:Q89)=0,"",IF(MIN(J89:Q89)&gt;=Analisis_grupo!$B$7,"(ninguna)",INDEX($J$4:$Q$4,MATCH(MIN(J89:Q89),J89:Q89,0))))</f>
        <v/>
      </c>
      <c r="S89" s="2" t="str">
        <f aca="false">IF($B89="","",COUNTIF(J89:Q89,"&lt;"&amp;Analisis_grupo!$B$7))</f>
        <v/>
      </c>
      <c r="T89" s="2" t="str">
        <f aca="false">IF($B89="","",COUNTIFS(Datos_items!$B:$B,$B89,Datos_items!$AA:$AA,T$4,Datos_items!$E:$E,Analisis_grupo!$C$4))</f>
        <v/>
      </c>
      <c r="U89" s="2" t="str">
        <f aca="false">IF($B89="","",COUNTIFS(Datos_items!$B:$B,$B89,Datos_items!$AA:$AA,U$4,Datos_items!$E:$E,Analisis_grupo!$C$4))</f>
        <v/>
      </c>
      <c r="V89" s="2" t="str">
        <f aca="false">IF($B89="","",COUNTIFS(Datos_items!$B:$B,$B89,Datos_items!$AA:$AA,V$4,Datos_items!$E:$E,Analisis_grupo!$C$4))</f>
        <v/>
      </c>
      <c r="W89" s="2" t="str">
        <f aca="false">IF($B89="","",COUNTIFS(Datos_items!$B:$B,$B89,Datos_items!$AA:$AA,W$4,Datos_items!$E:$E,Analisis_grupo!$C$4))</f>
        <v/>
      </c>
      <c r="X89" s="2" t="str">
        <f aca="false">IF($B89="","",COUNTIFS(Datos_items!$B:$B,$B89,Datos_items!$AA:$AA,X$4,Datos_items!$E:$E,Analisis_grupo!$C$4))</f>
        <v/>
      </c>
      <c r="Y89" s="2" t="str">
        <f aca="false">IF($B89="","",COUNTIFS(Datos_items!$B:$B,$B89,Datos_items!$AA:$AA,Y$4,Datos_items!$E:$E,Analisis_grupo!$C$4))</f>
        <v/>
      </c>
      <c r="Z89" s="2" t="str">
        <f aca="false">IF($B89="","",COUNTIFS(Datos_items!$B:$B,$B89,Datos_items!$AA:$AA,Z$4,Datos_items!$E:$E,Analisis_grupo!$C$4))</f>
        <v/>
      </c>
      <c r="AA89" s="2" t="str">
        <f aca="false">IF($B89="","",COUNTIFS(Datos_items!$B:$B,$B89,Datos_items!$AA:$AA,AA$4,Datos_items!$E:$E,Analisis_grupo!$C$4))</f>
        <v/>
      </c>
      <c r="AB89" s="2" t="str">
        <f aca="false">IF($B89="","",COUNTIFS(Datos_items!$B:$B,$B89,Datos_items!$AA:$AA,AB$4,Datos_items!$E:$E,Analisis_grupo!$C$4))</f>
        <v/>
      </c>
      <c r="AC89" s="2" t="str">
        <f aca="false">IF($B89="","",COUNTIFS(Datos_items!$B:$B,$B89,Datos_items!$AA:$AA,AC$4,Datos_items!$E:$E,Analisis_grupo!$C$4))</f>
        <v/>
      </c>
      <c r="AD89" s="2" t="str">
        <f aca="false">IF($B89="","",COUNTIFS(Datos_items!$B:$B,$B89,Datos_items!$AA:$AA,AD$4,Datos_items!$E:$E,Analisis_grupo!$C$4))</f>
        <v/>
      </c>
      <c r="AE89" s="2" t="str">
        <f aca="false">IF($B89="","",COUNTIFS(Datos_items!$B:$B,$B89,Datos_items!$AA:$AA,AE$4,Datos_items!$E:$E,Analisis_grupo!$C$4))</f>
        <v/>
      </c>
      <c r="AF89" s="2" t="str">
        <f aca="false">IF($B89="","",COUNTIFS(Datos_items!$B:$B,$B89,Datos_items!$AA:$AA,AF$4,Datos_items!$E:$E,Analisis_grupo!$C$4))</f>
        <v/>
      </c>
      <c r="AG89" s="2" t="str">
        <f aca="false">IF($B89="","",COUNTIFS(Datos_items!$B:$B,$B89,Datos_items!$AA:$AA,AG$4,Datos_items!$E:$E,Analisis_grupo!$C$4))</f>
        <v/>
      </c>
      <c r="AH89" s="2" t="str">
        <f aca="false">IF($B89="","",COUNTIFS(Datos_items!$B:$B,$B89,Datos_items!$AA:$AA,AH$4,Datos_items!$E:$E,Analisis_grupo!$C$4))</f>
        <v/>
      </c>
      <c r="AI89" s="2" t="str">
        <f aca="false">IF($B89="","",COUNTIFS(Datos_items!$B:$B,$B89,Datos_items!$AA:$AA,AI$4,Datos_items!$E:$E,Analisis_grupo!$C$4))</f>
        <v/>
      </c>
      <c r="AJ89" s="2" t="str">
        <f aca="false">IF($B89="","",COUNTIFS(Datos_items!$B:$B,$B89,Datos_items!$AA:$AA,AJ$4,Datos_items!$E:$E,Analisis_grupo!$C$4))</f>
        <v/>
      </c>
      <c r="AK89" s="2" t="str">
        <f aca="false">IF($B89="","",COUNTIFS(Datos_items!$B:$B,$B89,Datos_items!$AA:$AA,AK$4,Datos_items!$E:$E,Analisis_grupo!$C$4))</f>
        <v/>
      </c>
      <c r="AL89" s="2" t="str">
        <f aca="false">IF($B89="","",COUNTIFS(Datos_items!$B:$B,$B89,Datos_items!$AA:$AA,AL$4,Datos_items!$E:$E,Analisis_grupo!$C$4))</f>
        <v/>
      </c>
      <c r="AM89" s="2" t="str">
        <f aca="false">IF($B89="","",IF(MAX(Y89:AL89)=0,"",INDEX($Y$4:$AL$4,MATCH(MAX(Y89:AL89),Y89:AL89,0))))</f>
        <v/>
      </c>
      <c r="AN89" s="2" t="str">
        <f aca="false">IF($B89="","",COUNTIFS(Datos_problemas!$B:$B,$B89,Datos_problemas!$F:$F,"Práctica"))</f>
        <v/>
      </c>
      <c r="AO89" s="2" t="str">
        <f aca="false">IF($B89="","",SUMIFS(Datos_problemas!$AQ:$AQ,Datos_problemas!$B:$B,$B89,Datos_problemas!$F:$F,"Práctica"))</f>
        <v/>
      </c>
      <c r="AP89" s="2" t="str">
        <f aca="false">IF($B89="","",COUNTIFS(Datos_problemas!$B:$B,$B89,Datos_problemas!$F:$F,"Práctica",Datos_problemas!$AS:$AS,"Sí"))</f>
        <v/>
      </c>
    </row>
    <row r="90" customFormat="false" ht="15" hidden="false" customHeight="false" outlineLevel="0" collapsed="false">
      <c r="A90" s="2" t="n">
        <v>86</v>
      </c>
      <c r="B90" s="2" t="str">
        <f aca="false">IFERROR(INDEX(Datos_problemas!$B:$B,MATCH($A90,Datos_problemas!$AV:$AV,0)),"")</f>
        <v/>
      </c>
      <c r="C90" s="2" t="str">
        <f aca="false">IF($B90="","",INDEX(Datos_problemas!$C:$C,MATCH($A90,Datos_problemas!$AV:$AV,0)))</f>
        <v/>
      </c>
      <c r="D90" s="2" t="str">
        <f aca="false">IF($B90="","",INDEX(Datos_problemas!$D:$D,MATCH($A90,Datos_problemas!$AV:$AV,0)))</f>
        <v/>
      </c>
      <c r="E90" s="2" t="str">
        <f aca="false">IF($B90="","",COUNTIFS(Datos_problemas!$B:$B,$B90,Datos_problemas!$F:$F,"Evaluación"))</f>
        <v/>
      </c>
      <c r="F90" s="20" t="str">
        <f aca="false">IF($B90="","",IFERROR(AVERAGEIFS(Datos_problemas!$AE:$AE,Datos_problemas!$B:$B,$B90,Datos_problemas!$F:$F,"Evaluación"),""))</f>
        <v/>
      </c>
      <c r="G90" s="20" t="str">
        <f aca="false">IF($B90="","",IFERROR(AVERAGEIFS(Datos_problemas!$AE:$AE,Datos_problemas!$B:$B,$B90,Datos_problemas!$F:$F,"Evaluación",Datos_problemas!$E:$E,"Diagnóstico"),""))</f>
        <v/>
      </c>
      <c r="H90" s="20" t="str">
        <f aca="false">IF($B90="","",IFERROR(AVERAGEIFS(Datos_problemas!$AE:$AE,Datos_problemas!$B:$B,$B90,Datos_problemas!$F:$F,"Evaluación",Datos_problemas!$E:$E,"Final"),""))</f>
        <v/>
      </c>
      <c r="I90" s="21" t="str">
        <f aca="false">IF(OR(G90="",H90=""),"",IF(G90&gt;=10,"",(H90-G90)/(10-G90)))</f>
        <v/>
      </c>
      <c r="J90" s="18" t="str">
        <f aca="false">IF($B90="","",IFERROR(SUMIFS(Datos_items!$Z:$Z,Datos_items!$B:$B,$B90,Datos_items!$O:$O,J$4,Datos_items!$E:$E,Analisis_grupo!$C$4)/COUNTIFS(Datos_items!$B:$B,$B90,Datos_items!$O:$O,J$4,Datos_items!$E:$E,Analisis_grupo!$C$4),""))</f>
        <v/>
      </c>
      <c r="K90" s="18" t="str">
        <f aca="false">IF($B90="","",IFERROR(SUMIFS(Datos_items!$Z:$Z,Datos_items!$B:$B,$B90,Datos_items!$O:$O,K$4,Datos_items!$E:$E,Analisis_grupo!$C$4)/COUNTIFS(Datos_items!$B:$B,$B90,Datos_items!$O:$O,K$4,Datos_items!$E:$E,Analisis_grupo!$C$4),""))</f>
        <v/>
      </c>
      <c r="L90" s="18" t="str">
        <f aca="false">IF($B90="","",IFERROR(SUMIFS(Datos_items!$Z:$Z,Datos_items!$B:$B,$B90,Datos_items!$O:$O,L$4,Datos_items!$E:$E,Analisis_grupo!$C$4)/COUNTIFS(Datos_items!$B:$B,$B90,Datos_items!$O:$O,L$4,Datos_items!$E:$E,Analisis_grupo!$C$4),""))</f>
        <v/>
      </c>
      <c r="M90" s="18" t="str">
        <f aca="false">IF($B90="","",IFERROR(SUMIFS(Datos_items!$Z:$Z,Datos_items!$B:$B,$B90,Datos_items!$O:$O,M$4,Datos_items!$E:$E,Analisis_grupo!$C$4)/COUNTIFS(Datos_items!$B:$B,$B90,Datos_items!$O:$O,M$4,Datos_items!$E:$E,Analisis_grupo!$C$4),""))</f>
        <v/>
      </c>
      <c r="N90" s="18" t="str">
        <f aca="false">IF($B90="","",IFERROR(SUMIFS(Datos_items!$Z:$Z,Datos_items!$B:$B,$B90,Datos_items!$O:$O,N$4,Datos_items!$E:$E,Analisis_grupo!$C$4)/COUNTIFS(Datos_items!$B:$B,$B90,Datos_items!$O:$O,N$4,Datos_items!$E:$E,Analisis_grupo!$C$4),""))</f>
        <v/>
      </c>
      <c r="O90" s="18" t="str">
        <f aca="false">IF($B90="","",IFERROR(SUMIFS(Datos_items!$Z:$Z,Datos_items!$B:$B,$B90,Datos_items!$O:$O,O$4,Datos_items!$E:$E,Analisis_grupo!$C$4)/COUNTIFS(Datos_items!$B:$B,$B90,Datos_items!$O:$O,O$4,Datos_items!$E:$E,Analisis_grupo!$C$4),""))</f>
        <v/>
      </c>
      <c r="P90" s="18" t="str">
        <f aca="false">IF($B90="","",IFERROR(SUMIFS(Datos_items!$Z:$Z,Datos_items!$B:$B,$B90,Datos_items!$O:$O,P$4,Datos_items!$E:$E,Analisis_grupo!$C$4)/COUNTIFS(Datos_items!$B:$B,$B90,Datos_items!$O:$O,P$4,Datos_items!$E:$E,Analisis_grupo!$C$4),""))</f>
        <v/>
      </c>
      <c r="Q90" s="18" t="str">
        <f aca="false">IF($B90="","",IFERROR(SUMIFS(Datos_items!$Z:$Z,Datos_items!$B:$B,$B90,Datos_items!$O:$O,Q$4,Datos_items!$E:$E,Analisis_grupo!$C$4)/COUNTIFS(Datos_items!$B:$B,$B90,Datos_items!$O:$O,Q$4,Datos_items!$E:$E,Analisis_grupo!$C$4),""))</f>
        <v/>
      </c>
      <c r="R90" s="2" t="str">
        <f aca="false">IF(COUNT(J90:Q90)=0,"",IF(MIN(J90:Q90)&gt;=Analisis_grupo!$B$7,"(ninguna)",INDEX($J$4:$Q$4,MATCH(MIN(J90:Q90),J90:Q90,0))))</f>
        <v/>
      </c>
      <c r="S90" s="2" t="str">
        <f aca="false">IF($B90="","",COUNTIF(J90:Q90,"&lt;"&amp;Analisis_grupo!$B$7))</f>
        <v/>
      </c>
      <c r="T90" s="2" t="str">
        <f aca="false">IF($B90="","",COUNTIFS(Datos_items!$B:$B,$B90,Datos_items!$AA:$AA,T$4,Datos_items!$E:$E,Analisis_grupo!$C$4))</f>
        <v/>
      </c>
      <c r="U90" s="2" t="str">
        <f aca="false">IF($B90="","",COUNTIFS(Datos_items!$B:$B,$B90,Datos_items!$AA:$AA,U$4,Datos_items!$E:$E,Analisis_grupo!$C$4))</f>
        <v/>
      </c>
      <c r="V90" s="2" t="str">
        <f aca="false">IF($B90="","",COUNTIFS(Datos_items!$B:$B,$B90,Datos_items!$AA:$AA,V$4,Datos_items!$E:$E,Analisis_grupo!$C$4))</f>
        <v/>
      </c>
      <c r="W90" s="2" t="str">
        <f aca="false">IF($B90="","",COUNTIFS(Datos_items!$B:$B,$B90,Datos_items!$AA:$AA,W$4,Datos_items!$E:$E,Analisis_grupo!$C$4))</f>
        <v/>
      </c>
      <c r="X90" s="2" t="str">
        <f aca="false">IF($B90="","",COUNTIFS(Datos_items!$B:$B,$B90,Datos_items!$AA:$AA,X$4,Datos_items!$E:$E,Analisis_grupo!$C$4))</f>
        <v/>
      </c>
      <c r="Y90" s="2" t="str">
        <f aca="false">IF($B90="","",COUNTIFS(Datos_items!$B:$B,$B90,Datos_items!$AA:$AA,Y$4,Datos_items!$E:$E,Analisis_grupo!$C$4))</f>
        <v/>
      </c>
      <c r="Z90" s="2" t="str">
        <f aca="false">IF($B90="","",COUNTIFS(Datos_items!$B:$B,$B90,Datos_items!$AA:$AA,Z$4,Datos_items!$E:$E,Analisis_grupo!$C$4))</f>
        <v/>
      </c>
      <c r="AA90" s="2" t="str">
        <f aca="false">IF($B90="","",COUNTIFS(Datos_items!$B:$B,$B90,Datos_items!$AA:$AA,AA$4,Datos_items!$E:$E,Analisis_grupo!$C$4))</f>
        <v/>
      </c>
      <c r="AB90" s="2" t="str">
        <f aca="false">IF($B90="","",COUNTIFS(Datos_items!$B:$B,$B90,Datos_items!$AA:$AA,AB$4,Datos_items!$E:$E,Analisis_grupo!$C$4))</f>
        <v/>
      </c>
      <c r="AC90" s="2" t="str">
        <f aca="false">IF($B90="","",COUNTIFS(Datos_items!$B:$B,$B90,Datos_items!$AA:$AA,AC$4,Datos_items!$E:$E,Analisis_grupo!$C$4))</f>
        <v/>
      </c>
      <c r="AD90" s="2" t="str">
        <f aca="false">IF($B90="","",COUNTIFS(Datos_items!$B:$B,$B90,Datos_items!$AA:$AA,AD$4,Datos_items!$E:$E,Analisis_grupo!$C$4))</f>
        <v/>
      </c>
      <c r="AE90" s="2" t="str">
        <f aca="false">IF($B90="","",COUNTIFS(Datos_items!$B:$B,$B90,Datos_items!$AA:$AA,AE$4,Datos_items!$E:$E,Analisis_grupo!$C$4))</f>
        <v/>
      </c>
      <c r="AF90" s="2" t="str">
        <f aca="false">IF($B90="","",COUNTIFS(Datos_items!$B:$B,$B90,Datos_items!$AA:$AA,AF$4,Datos_items!$E:$E,Analisis_grupo!$C$4))</f>
        <v/>
      </c>
      <c r="AG90" s="2" t="str">
        <f aca="false">IF($B90="","",COUNTIFS(Datos_items!$B:$B,$B90,Datos_items!$AA:$AA,AG$4,Datos_items!$E:$E,Analisis_grupo!$C$4))</f>
        <v/>
      </c>
      <c r="AH90" s="2" t="str">
        <f aca="false">IF($B90="","",COUNTIFS(Datos_items!$B:$B,$B90,Datos_items!$AA:$AA,AH$4,Datos_items!$E:$E,Analisis_grupo!$C$4))</f>
        <v/>
      </c>
      <c r="AI90" s="2" t="str">
        <f aca="false">IF($B90="","",COUNTIFS(Datos_items!$B:$B,$B90,Datos_items!$AA:$AA,AI$4,Datos_items!$E:$E,Analisis_grupo!$C$4))</f>
        <v/>
      </c>
      <c r="AJ90" s="2" t="str">
        <f aca="false">IF($B90="","",COUNTIFS(Datos_items!$B:$B,$B90,Datos_items!$AA:$AA,AJ$4,Datos_items!$E:$E,Analisis_grupo!$C$4))</f>
        <v/>
      </c>
      <c r="AK90" s="2" t="str">
        <f aca="false">IF($B90="","",COUNTIFS(Datos_items!$B:$B,$B90,Datos_items!$AA:$AA,AK$4,Datos_items!$E:$E,Analisis_grupo!$C$4))</f>
        <v/>
      </c>
      <c r="AL90" s="2" t="str">
        <f aca="false">IF($B90="","",COUNTIFS(Datos_items!$B:$B,$B90,Datos_items!$AA:$AA,AL$4,Datos_items!$E:$E,Analisis_grupo!$C$4))</f>
        <v/>
      </c>
      <c r="AM90" s="2" t="str">
        <f aca="false">IF($B90="","",IF(MAX(Y90:AL90)=0,"",INDEX($Y$4:$AL$4,MATCH(MAX(Y90:AL90),Y90:AL90,0))))</f>
        <v/>
      </c>
      <c r="AN90" s="2" t="str">
        <f aca="false">IF($B90="","",COUNTIFS(Datos_problemas!$B:$B,$B90,Datos_problemas!$F:$F,"Práctica"))</f>
        <v/>
      </c>
      <c r="AO90" s="2" t="str">
        <f aca="false">IF($B90="","",SUMIFS(Datos_problemas!$AQ:$AQ,Datos_problemas!$B:$B,$B90,Datos_problemas!$F:$F,"Práctica"))</f>
        <v/>
      </c>
      <c r="AP90" s="2" t="str">
        <f aca="false">IF($B90="","",COUNTIFS(Datos_problemas!$B:$B,$B90,Datos_problemas!$F:$F,"Práctica",Datos_problemas!$AS:$AS,"Sí"))</f>
        <v/>
      </c>
    </row>
    <row r="91" customFormat="false" ht="15" hidden="false" customHeight="false" outlineLevel="0" collapsed="false">
      <c r="A91" s="2" t="n">
        <v>87</v>
      </c>
      <c r="B91" s="2" t="str">
        <f aca="false">IFERROR(INDEX(Datos_problemas!$B:$B,MATCH($A91,Datos_problemas!$AV:$AV,0)),"")</f>
        <v/>
      </c>
      <c r="C91" s="2" t="str">
        <f aca="false">IF($B91="","",INDEX(Datos_problemas!$C:$C,MATCH($A91,Datos_problemas!$AV:$AV,0)))</f>
        <v/>
      </c>
      <c r="D91" s="2" t="str">
        <f aca="false">IF($B91="","",INDEX(Datos_problemas!$D:$D,MATCH($A91,Datos_problemas!$AV:$AV,0)))</f>
        <v/>
      </c>
      <c r="E91" s="2" t="str">
        <f aca="false">IF($B91="","",COUNTIFS(Datos_problemas!$B:$B,$B91,Datos_problemas!$F:$F,"Evaluación"))</f>
        <v/>
      </c>
      <c r="F91" s="20" t="str">
        <f aca="false">IF($B91="","",IFERROR(AVERAGEIFS(Datos_problemas!$AE:$AE,Datos_problemas!$B:$B,$B91,Datos_problemas!$F:$F,"Evaluación"),""))</f>
        <v/>
      </c>
      <c r="G91" s="20" t="str">
        <f aca="false">IF($B91="","",IFERROR(AVERAGEIFS(Datos_problemas!$AE:$AE,Datos_problemas!$B:$B,$B91,Datos_problemas!$F:$F,"Evaluación",Datos_problemas!$E:$E,"Diagnóstico"),""))</f>
        <v/>
      </c>
      <c r="H91" s="20" t="str">
        <f aca="false">IF($B91="","",IFERROR(AVERAGEIFS(Datos_problemas!$AE:$AE,Datos_problemas!$B:$B,$B91,Datos_problemas!$F:$F,"Evaluación",Datos_problemas!$E:$E,"Final"),""))</f>
        <v/>
      </c>
      <c r="I91" s="21" t="str">
        <f aca="false">IF(OR(G91="",H91=""),"",IF(G91&gt;=10,"",(H91-G91)/(10-G91)))</f>
        <v/>
      </c>
      <c r="J91" s="18" t="str">
        <f aca="false">IF($B91="","",IFERROR(SUMIFS(Datos_items!$Z:$Z,Datos_items!$B:$B,$B91,Datos_items!$O:$O,J$4,Datos_items!$E:$E,Analisis_grupo!$C$4)/COUNTIFS(Datos_items!$B:$B,$B91,Datos_items!$O:$O,J$4,Datos_items!$E:$E,Analisis_grupo!$C$4),""))</f>
        <v/>
      </c>
      <c r="K91" s="18" t="str">
        <f aca="false">IF($B91="","",IFERROR(SUMIFS(Datos_items!$Z:$Z,Datos_items!$B:$B,$B91,Datos_items!$O:$O,K$4,Datos_items!$E:$E,Analisis_grupo!$C$4)/COUNTIFS(Datos_items!$B:$B,$B91,Datos_items!$O:$O,K$4,Datos_items!$E:$E,Analisis_grupo!$C$4),""))</f>
        <v/>
      </c>
      <c r="L91" s="18" t="str">
        <f aca="false">IF($B91="","",IFERROR(SUMIFS(Datos_items!$Z:$Z,Datos_items!$B:$B,$B91,Datos_items!$O:$O,L$4,Datos_items!$E:$E,Analisis_grupo!$C$4)/COUNTIFS(Datos_items!$B:$B,$B91,Datos_items!$O:$O,L$4,Datos_items!$E:$E,Analisis_grupo!$C$4),""))</f>
        <v/>
      </c>
      <c r="M91" s="18" t="str">
        <f aca="false">IF($B91="","",IFERROR(SUMIFS(Datos_items!$Z:$Z,Datos_items!$B:$B,$B91,Datos_items!$O:$O,M$4,Datos_items!$E:$E,Analisis_grupo!$C$4)/COUNTIFS(Datos_items!$B:$B,$B91,Datos_items!$O:$O,M$4,Datos_items!$E:$E,Analisis_grupo!$C$4),""))</f>
        <v/>
      </c>
      <c r="N91" s="18" t="str">
        <f aca="false">IF($B91="","",IFERROR(SUMIFS(Datos_items!$Z:$Z,Datos_items!$B:$B,$B91,Datos_items!$O:$O,N$4,Datos_items!$E:$E,Analisis_grupo!$C$4)/COUNTIFS(Datos_items!$B:$B,$B91,Datos_items!$O:$O,N$4,Datos_items!$E:$E,Analisis_grupo!$C$4),""))</f>
        <v/>
      </c>
      <c r="O91" s="18" t="str">
        <f aca="false">IF($B91="","",IFERROR(SUMIFS(Datos_items!$Z:$Z,Datos_items!$B:$B,$B91,Datos_items!$O:$O,O$4,Datos_items!$E:$E,Analisis_grupo!$C$4)/COUNTIFS(Datos_items!$B:$B,$B91,Datos_items!$O:$O,O$4,Datos_items!$E:$E,Analisis_grupo!$C$4),""))</f>
        <v/>
      </c>
      <c r="P91" s="18" t="str">
        <f aca="false">IF($B91="","",IFERROR(SUMIFS(Datos_items!$Z:$Z,Datos_items!$B:$B,$B91,Datos_items!$O:$O,P$4,Datos_items!$E:$E,Analisis_grupo!$C$4)/COUNTIFS(Datos_items!$B:$B,$B91,Datos_items!$O:$O,P$4,Datos_items!$E:$E,Analisis_grupo!$C$4),""))</f>
        <v/>
      </c>
      <c r="Q91" s="18" t="str">
        <f aca="false">IF($B91="","",IFERROR(SUMIFS(Datos_items!$Z:$Z,Datos_items!$B:$B,$B91,Datos_items!$O:$O,Q$4,Datos_items!$E:$E,Analisis_grupo!$C$4)/COUNTIFS(Datos_items!$B:$B,$B91,Datos_items!$O:$O,Q$4,Datos_items!$E:$E,Analisis_grupo!$C$4),""))</f>
        <v/>
      </c>
      <c r="R91" s="2" t="str">
        <f aca="false">IF(COUNT(J91:Q91)=0,"",IF(MIN(J91:Q91)&gt;=Analisis_grupo!$B$7,"(ninguna)",INDEX($J$4:$Q$4,MATCH(MIN(J91:Q91),J91:Q91,0))))</f>
        <v/>
      </c>
      <c r="S91" s="2" t="str">
        <f aca="false">IF($B91="","",COUNTIF(J91:Q91,"&lt;"&amp;Analisis_grupo!$B$7))</f>
        <v/>
      </c>
      <c r="T91" s="2" t="str">
        <f aca="false">IF($B91="","",COUNTIFS(Datos_items!$B:$B,$B91,Datos_items!$AA:$AA,T$4,Datos_items!$E:$E,Analisis_grupo!$C$4))</f>
        <v/>
      </c>
      <c r="U91" s="2" t="str">
        <f aca="false">IF($B91="","",COUNTIFS(Datos_items!$B:$B,$B91,Datos_items!$AA:$AA,U$4,Datos_items!$E:$E,Analisis_grupo!$C$4))</f>
        <v/>
      </c>
      <c r="V91" s="2" t="str">
        <f aca="false">IF($B91="","",COUNTIFS(Datos_items!$B:$B,$B91,Datos_items!$AA:$AA,V$4,Datos_items!$E:$E,Analisis_grupo!$C$4))</f>
        <v/>
      </c>
      <c r="W91" s="2" t="str">
        <f aca="false">IF($B91="","",COUNTIFS(Datos_items!$B:$B,$B91,Datos_items!$AA:$AA,W$4,Datos_items!$E:$E,Analisis_grupo!$C$4))</f>
        <v/>
      </c>
      <c r="X91" s="2" t="str">
        <f aca="false">IF($B91="","",COUNTIFS(Datos_items!$B:$B,$B91,Datos_items!$AA:$AA,X$4,Datos_items!$E:$E,Analisis_grupo!$C$4))</f>
        <v/>
      </c>
      <c r="Y91" s="2" t="str">
        <f aca="false">IF($B91="","",COUNTIFS(Datos_items!$B:$B,$B91,Datos_items!$AA:$AA,Y$4,Datos_items!$E:$E,Analisis_grupo!$C$4))</f>
        <v/>
      </c>
      <c r="Z91" s="2" t="str">
        <f aca="false">IF($B91="","",COUNTIFS(Datos_items!$B:$B,$B91,Datos_items!$AA:$AA,Z$4,Datos_items!$E:$E,Analisis_grupo!$C$4))</f>
        <v/>
      </c>
      <c r="AA91" s="2" t="str">
        <f aca="false">IF($B91="","",COUNTIFS(Datos_items!$B:$B,$B91,Datos_items!$AA:$AA,AA$4,Datos_items!$E:$E,Analisis_grupo!$C$4))</f>
        <v/>
      </c>
      <c r="AB91" s="2" t="str">
        <f aca="false">IF($B91="","",COUNTIFS(Datos_items!$B:$B,$B91,Datos_items!$AA:$AA,AB$4,Datos_items!$E:$E,Analisis_grupo!$C$4))</f>
        <v/>
      </c>
      <c r="AC91" s="2" t="str">
        <f aca="false">IF($B91="","",COUNTIFS(Datos_items!$B:$B,$B91,Datos_items!$AA:$AA,AC$4,Datos_items!$E:$E,Analisis_grupo!$C$4))</f>
        <v/>
      </c>
      <c r="AD91" s="2" t="str">
        <f aca="false">IF($B91="","",COUNTIFS(Datos_items!$B:$B,$B91,Datos_items!$AA:$AA,AD$4,Datos_items!$E:$E,Analisis_grupo!$C$4))</f>
        <v/>
      </c>
      <c r="AE91" s="2" t="str">
        <f aca="false">IF($B91="","",COUNTIFS(Datos_items!$B:$B,$B91,Datos_items!$AA:$AA,AE$4,Datos_items!$E:$E,Analisis_grupo!$C$4))</f>
        <v/>
      </c>
      <c r="AF91" s="2" t="str">
        <f aca="false">IF($B91="","",COUNTIFS(Datos_items!$B:$B,$B91,Datos_items!$AA:$AA,AF$4,Datos_items!$E:$E,Analisis_grupo!$C$4))</f>
        <v/>
      </c>
      <c r="AG91" s="2" t="str">
        <f aca="false">IF($B91="","",COUNTIFS(Datos_items!$B:$B,$B91,Datos_items!$AA:$AA,AG$4,Datos_items!$E:$E,Analisis_grupo!$C$4))</f>
        <v/>
      </c>
      <c r="AH91" s="2" t="str">
        <f aca="false">IF($B91="","",COUNTIFS(Datos_items!$B:$B,$B91,Datos_items!$AA:$AA,AH$4,Datos_items!$E:$E,Analisis_grupo!$C$4))</f>
        <v/>
      </c>
      <c r="AI91" s="2" t="str">
        <f aca="false">IF($B91="","",COUNTIFS(Datos_items!$B:$B,$B91,Datos_items!$AA:$AA,AI$4,Datos_items!$E:$E,Analisis_grupo!$C$4))</f>
        <v/>
      </c>
      <c r="AJ91" s="2" t="str">
        <f aca="false">IF($B91="","",COUNTIFS(Datos_items!$B:$B,$B91,Datos_items!$AA:$AA,AJ$4,Datos_items!$E:$E,Analisis_grupo!$C$4))</f>
        <v/>
      </c>
      <c r="AK91" s="2" t="str">
        <f aca="false">IF($B91="","",COUNTIFS(Datos_items!$B:$B,$B91,Datos_items!$AA:$AA,AK$4,Datos_items!$E:$E,Analisis_grupo!$C$4))</f>
        <v/>
      </c>
      <c r="AL91" s="2" t="str">
        <f aca="false">IF($B91="","",COUNTIFS(Datos_items!$B:$B,$B91,Datos_items!$AA:$AA,AL$4,Datos_items!$E:$E,Analisis_grupo!$C$4))</f>
        <v/>
      </c>
      <c r="AM91" s="2" t="str">
        <f aca="false">IF($B91="","",IF(MAX(Y91:AL91)=0,"",INDEX($Y$4:$AL$4,MATCH(MAX(Y91:AL91),Y91:AL91,0))))</f>
        <v/>
      </c>
      <c r="AN91" s="2" t="str">
        <f aca="false">IF($B91="","",COUNTIFS(Datos_problemas!$B:$B,$B91,Datos_problemas!$F:$F,"Práctica"))</f>
        <v/>
      </c>
      <c r="AO91" s="2" t="str">
        <f aca="false">IF($B91="","",SUMIFS(Datos_problemas!$AQ:$AQ,Datos_problemas!$B:$B,$B91,Datos_problemas!$F:$F,"Práctica"))</f>
        <v/>
      </c>
      <c r="AP91" s="2" t="str">
        <f aca="false">IF($B91="","",COUNTIFS(Datos_problemas!$B:$B,$B91,Datos_problemas!$F:$F,"Práctica",Datos_problemas!$AS:$AS,"Sí"))</f>
        <v/>
      </c>
    </row>
    <row r="92" customFormat="false" ht="15" hidden="false" customHeight="false" outlineLevel="0" collapsed="false">
      <c r="A92" s="2" t="n">
        <v>88</v>
      </c>
      <c r="B92" s="2" t="str">
        <f aca="false">IFERROR(INDEX(Datos_problemas!$B:$B,MATCH($A92,Datos_problemas!$AV:$AV,0)),"")</f>
        <v/>
      </c>
      <c r="C92" s="2" t="str">
        <f aca="false">IF($B92="","",INDEX(Datos_problemas!$C:$C,MATCH($A92,Datos_problemas!$AV:$AV,0)))</f>
        <v/>
      </c>
      <c r="D92" s="2" t="str">
        <f aca="false">IF($B92="","",INDEX(Datos_problemas!$D:$D,MATCH($A92,Datos_problemas!$AV:$AV,0)))</f>
        <v/>
      </c>
      <c r="E92" s="2" t="str">
        <f aca="false">IF($B92="","",COUNTIFS(Datos_problemas!$B:$B,$B92,Datos_problemas!$F:$F,"Evaluación"))</f>
        <v/>
      </c>
      <c r="F92" s="20" t="str">
        <f aca="false">IF($B92="","",IFERROR(AVERAGEIFS(Datos_problemas!$AE:$AE,Datos_problemas!$B:$B,$B92,Datos_problemas!$F:$F,"Evaluación"),""))</f>
        <v/>
      </c>
      <c r="G92" s="20" t="str">
        <f aca="false">IF($B92="","",IFERROR(AVERAGEIFS(Datos_problemas!$AE:$AE,Datos_problemas!$B:$B,$B92,Datos_problemas!$F:$F,"Evaluación",Datos_problemas!$E:$E,"Diagnóstico"),""))</f>
        <v/>
      </c>
      <c r="H92" s="20" t="str">
        <f aca="false">IF($B92="","",IFERROR(AVERAGEIFS(Datos_problemas!$AE:$AE,Datos_problemas!$B:$B,$B92,Datos_problemas!$F:$F,"Evaluación",Datos_problemas!$E:$E,"Final"),""))</f>
        <v/>
      </c>
      <c r="I92" s="21" t="str">
        <f aca="false">IF(OR(G92="",H92=""),"",IF(G92&gt;=10,"",(H92-G92)/(10-G92)))</f>
        <v/>
      </c>
      <c r="J92" s="18" t="str">
        <f aca="false">IF($B92="","",IFERROR(SUMIFS(Datos_items!$Z:$Z,Datos_items!$B:$B,$B92,Datos_items!$O:$O,J$4,Datos_items!$E:$E,Analisis_grupo!$C$4)/COUNTIFS(Datos_items!$B:$B,$B92,Datos_items!$O:$O,J$4,Datos_items!$E:$E,Analisis_grupo!$C$4),""))</f>
        <v/>
      </c>
      <c r="K92" s="18" t="str">
        <f aca="false">IF($B92="","",IFERROR(SUMIFS(Datos_items!$Z:$Z,Datos_items!$B:$B,$B92,Datos_items!$O:$O,K$4,Datos_items!$E:$E,Analisis_grupo!$C$4)/COUNTIFS(Datos_items!$B:$B,$B92,Datos_items!$O:$O,K$4,Datos_items!$E:$E,Analisis_grupo!$C$4),""))</f>
        <v/>
      </c>
      <c r="L92" s="18" t="str">
        <f aca="false">IF($B92="","",IFERROR(SUMIFS(Datos_items!$Z:$Z,Datos_items!$B:$B,$B92,Datos_items!$O:$O,L$4,Datos_items!$E:$E,Analisis_grupo!$C$4)/COUNTIFS(Datos_items!$B:$B,$B92,Datos_items!$O:$O,L$4,Datos_items!$E:$E,Analisis_grupo!$C$4),""))</f>
        <v/>
      </c>
      <c r="M92" s="18" t="str">
        <f aca="false">IF($B92="","",IFERROR(SUMIFS(Datos_items!$Z:$Z,Datos_items!$B:$B,$B92,Datos_items!$O:$O,M$4,Datos_items!$E:$E,Analisis_grupo!$C$4)/COUNTIFS(Datos_items!$B:$B,$B92,Datos_items!$O:$O,M$4,Datos_items!$E:$E,Analisis_grupo!$C$4),""))</f>
        <v/>
      </c>
      <c r="N92" s="18" t="str">
        <f aca="false">IF($B92="","",IFERROR(SUMIFS(Datos_items!$Z:$Z,Datos_items!$B:$B,$B92,Datos_items!$O:$O,N$4,Datos_items!$E:$E,Analisis_grupo!$C$4)/COUNTIFS(Datos_items!$B:$B,$B92,Datos_items!$O:$O,N$4,Datos_items!$E:$E,Analisis_grupo!$C$4),""))</f>
        <v/>
      </c>
      <c r="O92" s="18" t="str">
        <f aca="false">IF($B92="","",IFERROR(SUMIFS(Datos_items!$Z:$Z,Datos_items!$B:$B,$B92,Datos_items!$O:$O,O$4,Datos_items!$E:$E,Analisis_grupo!$C$4)/COUNTIFS(Datos_items!$B:$B,$B92,Datos_items!$O:$O,O$4,Datos_items!$E:$E,Analisis_grupo!$C$4),""))</f>
        <v/>
      </c>
      <c r="P92" s="18" t="str">
        <f aca="false">IF($B92="","",IFERROR(SUMIFS(Datos_items!$Z:$Z,Datos_items!$B:$B,$B92,Datos_items!$O:$O,P$4,Datos_items!$E:$E,Analisis_grupo!$C$4)/COUNTIFS(Datos_items!$B:$B,$B92,Datos_items!$O:$O,P$4,Datos_items!$E:$E,Analisis_grupo!$C$4),""))</f>
        <v/>
      </c>
      <c r="Q92" s="18" t="str">
        <f aca="false">IF($B92="","",IFERROR(SUMIFS(Datos_items!$Z:$Z,Datos_items!$B:$B,$B92,Datos_items!$O:$O,Q$4,Datos_items!$E:$E,Analisis_grupo!$C$4)/COUNTIFS(Datos_items!$B:$B,$B92,Datos_items!$O:$O,Q$4,Datos_items!$E:$E,Analisis_grupo!$C$4),""))</f>
        <v/>
      </c>
      <c r="R92" s="2" t="str">
        <f aca="false">IF(COUNT(J92:Q92)=0,"",IF(MIN(J92:Q92)&gt;=Analisis_grupo!$B$7,"(ninguna)",INDEX($J$4:$Q$4,MATCH(MIN(J92:Q92),J92:Q92,0))))</f>
        <v/>
      </c>
      <c r="S92" s="2" t="str">
        <f aca="false">IF($B92="","",COUNTIF(J92:Q92,"&lt;"&amp;Analisis_grupo!$B$7))</f>
        <v/>
      </c>
      <c r="T92" s="2" t="str">
        <f aca="false">IF($B92="","",COUNTIFS(Datos_items!$B:$B,$B92,Datos_items!$AA:$AA,T$4,Datos_items!$E:$E,Analisis_grupo!$C$4))</f>
        <v/>
      </c>
      <c r="U92" s="2" t="str">
        <f aca="false">IF($B92="","",COUNTIFS(Datos_items!$B:$B,$B92,Datos_items!$AA:$AA,U$4,Datos_items!$E:$E,Analisis_grupo!$C$4))</f>
        <v/>
      </c>
      <c r="V92" s="2" t="str">
        <f aca="false">IF($B92="","",COUNTIFS(Datos_items!$B:$B,$B92,Datos_items!$AA:$AA,V$4,Datos_items!$E:$E,Analisis_grupo!$C$4))</f>
        <v/>
      </c>
      <c r="W92" s="2" t="str">
        <f aca="false">IF($B92="","",COUNTIFS(Datos_items!$B:$B,$B92,Datos_items!$AA:$AA,W$4,Datos_items!$E:$E,Analisis_grupo!$C$4))</f>
        <v/>
      </c>
      <c r="X92" s="2" t="str">
        <f aca="false">IF($B92="","",COUNTIFS(Datos_items!$B:$B,$B92,Datos_items!$AA:$AA,X$4,Datos_items!$E:$E,Analisis_grupo!$C$4))</f>
        <v/>
      </c>
      <c r="Y92" s="2" t="str">
        <f aca="false">IF($B92="","",COUNTIFS(Datos_items!$B:$B,$B92,Datos_items!$AA:$AA,Y$4,Datos_items!$E:$E,Analisis_grupo!$C$4))</f>
        <v/>
      </c>
      <c r="Z92" s="2" t="str">
        <f aca="false">IF($B92="","",COUNTIFS(Datos_items!$B:$B,$B92,Datos_items!$AA:$AA,Z$4,Datos_items!$E:$E,Analisis_grupo!$C$4))</f>
        <v/>
      </c>
      <c r="AA92" s="2" t="str">
        <f aca="false">IF($B92="","",COUNTIFS(Datos_items!$B:$B,$B92,Datos_items!$AA:$AA,AA$4,Datos_items!$E:$E,Analisis_grupo!$C$4))</f>
        <v/>
      </c>
      <c r="AB92" s="2" t="str">
        <f aca="false">IF($B92="","",COUNTIFS(Datos_items!$B:$B,$B92,Datos_items!$AA:$AA,AB$4,Datos_items!$E:$E,Analisis_grupo!$C$4))</f>
        <v/>
      </c>
      <c r="AC92" s="2" t="str">
        <f aca="false">IF($B92="","",COUNTIFS(Datos_items!$B:$B,$B92,Datos_items!$AA:$AA,AC$4,Datos_items!$E:$E,Analisis_grupo!$C$4))</f>
        <v/>
      </c>
      <c r="AD92" s="2" t="str">
        <f aca="false">IF($B92="","",COUNTIFS(Datos_items!$B:$B,$B92,Datos_items!$AA:$AA,AD$4,Datos_items!$E:$E,Analisis_grupo!$C$4))</f>
        <v/>
      </c>
      <c r="AE92" s="2" t="str">
        <f aca="false">IF($B92="","",COUNTIFS(Datos_items!$B:$B,$B92,Datos_items!$AA:$AA,AE$4,Datos_items!$E:$E,Analisis_grupo!$C$4))</f>
        <v/>
      </c>
      <c r="AF92" s="2" t="str">
        <f aca="false">IF($B92="","",COUNTIFS(Datos_items!$B:$B,$B92,Datos_items!$AA:$AA,AF$4,Datos_items!$E:$E,Analisis_grupo!$C$4))</f>
        <v/>
      </c>
      <c r="AG92" s="2" t="str">
        <f aca="false">IF($B92="","",COUNTIFS(Datos_items!$B:$B,$B92,Datos_items!$AA:$AA,AG$4,Datos_items!$E:$E,Analisis_grupo!$C$4))</f>
        <v/>
      </c>
      <c r="AH92" s="2" t="str">
        <f aca="false">IF($B92="","",COUNTIFS(Datos_items!$B:$B,$B92,Datos_items!$AA:$AA,AH$4,Datos_items!$E:$E,Analisis_grupo!$C$4))</f>
        <v/>
      </c>
      <c r="AI92" s="2" t="str">
        <f aca="false">IF($B92="","",COUNTIFS(Datos_items!$B:$B,$B92,Datos_items!$AA:$AA,AI$4,Datos_items!$E:$E,Analisis_grupo!$C$4))</f>
        <v/>
      </c>
      <c r="AJ92" s="2" t="str">
        <f aca="false">IF($B92="","",COUNTIFS(Datos_items!$B:$B,$B92,Datos_items!$AA:$AA,AJ$4,Datos_items!$E:$E,Analisis_grupo!$C$4))</f>
        <v/>
      </c>
      <c r="AK92" s="2" t="str">
        <f aca="false">IF($B92="","",COUNTIFS(Datos_items!$B:$B,$B92,Datos_items!$AA:$AA,AK$4,Datos_items!$E:$E,Analisis_grupo!$C$4))</f>
        <v/>
      </c>
      <c r="AL92" s="2" t="str">
        <f aca="false">IF($B92="","",COUNTIFS(Datos_items!$B:$B,$B92,Datos_items!$AA:$AA,AL$4,Datos_items!$E:$E,Analisis_grupo!$C$4))</f>
        <v/>
      </c>
      <c r="AM92" s="2" t="str">
        <f aca="false">IF($B92="","",IF(MAX(Y92:AL92)=0,"",INDEX($Y$4:$AL$4,MATCH(MAX(Y92:AL92),Y92:AL92,0))))</f>
        <v/>
      </c>
      <c r="AN92" s="2" t="str">
        <f aca="false">IF($B92="","",COUNTIFS(Datos_problemas!$B:$B,$B92,Datos_problemas!$F:$F,"Práctica"))</f>
        <v/>
      </c>
      <c r="AO92" s="2" t="str">
        <f aca="false">IF($B92="","",SUMIFS(Datos_problemas!$AQ:$AQ,Datos_problemas!$B:$B,$B92,Datos_problemas!$F:$F,"Práctica"))</f>
        <v/>
      </c>
      <c r="AP92" s="2" t="str">
        <f aca="false">IF($B92="","",COUNTIFS(Datos_problemas!$B:$B,$B92,Datos_problemas!$F:$F,"Práctica",Datos_problemas!$AS:$AS,"Sí"))</f>
        <v/>
      </c>
    </row>
    <row r="93" customFormat="false" ht="15" hidden="false" customHeight="false" outlineLevel="0" collapsed="false">
      <c r="A93" s="2" t="n">
        <v>89</v>
      </c>
      <c r="B93" s="2" t="str">
        <f aca="false">IFERROR(INDEX(Datos_problemas!$B:$B,MATCH($A93,Datos_problemas!$AV:$AV,0)),"")</f>
        <v/>
      </c>
      <c r="C93" s="2" t="str">
        <f aca="false">IF($B93="","",INDEX(Datos_problemas!$C:$C,MATCH($A93,Datos_problemas!$AV:$AV,0)))</f>
        <v/>
      </c>
      <c r="D93" s="2" t="str">
        <f aca="false">IF($B93="","",INDEX(Datos_problemas!$D:$D,MATCH($A93,Datos_problemas!$AV:$AV,0)))</f>
        <v/>
      </c>
      <c r="E93" s="2" t="str">
        <f aca="false">IF($B93="","",COUNTIFS(Datos_problemas!$B:$B,$B93,Datos_problemas!$F:$F,"Evaluación"))</f>
        <v/>
      </c>
      <c r="F93" s="20" t="str">
        <f aca="false">IF($B93="","",IFERROR(AVERAGEIFS(Datos_problemas!$AE:$AE,Datos_problemas!$B:$B,$B93,Datos_problemas!$F:$F,"Evaluación"),""))</f>
        <v/>
      </c>
      <c r="G93" s="20" t="str">
        <f aca="false">IF($B93="","",IFERROR(AVERAGEIFS(Datos_problemas!$AE:$AE,Datos_problemas!$B:$B,$B93,Datos_problemas!$F:$F,"Evaluación",Datos_problemas!$E:$E,"Diagnóstico"),""))</f>
        <v/>
      </c>
      <c r="H93" s="20" t="str">
        <f aca="false">IF($B93="","",IFERROR(AVERAGEIFS(Datos_problemas!$AE:$AE,Datos_problemas!$B:$B,$B93,Datos_problemas!$F:$F,"Evaluación",Datos_problemas!$E:$E,"Final"),""))</f>
        <v/>
      </c>
      <c r="I93" s="21" t="str">
        <f aca="false">IF(OR(G93="",H93=""),"",IF(G93&gt;=10,"",(H93-G93)/(10-G93)))</f>
        <v/>
      </c>
      <c r="J93" s="18" t="str">
        <f aca="false">IF($B93="","",IFERROR(SUMIFS(Datos_items!$Z:$Z,Datos_items!$B:$B,$B93,Datos_items!$O:$O,J$4,Datos_items!$E:$E,Analisis_grupo!$C$4)/COUNTIFS(Datos_items!$B:$B,$B93,Datos_items!$O:$O,J$4,Datos_items!$E:$E,Analisis_grupo!$C$4),""))</f>
        <v/>
      </c>
      <c r="K93" s="18" t="str">
        <f aca="false">IF($B93="","",IFERROR(SUMIFS(Datos_items!$Z:$Z,Datos_items!$B:$B,$B93,Datos_items!$O:$O,K$4,Datos_items!$E:$E,Analisis_grupo!$C$4)/COUNTIFS(Datos_items!$B:$B,$B93,Datos_items!$O:$O,K$4,Datos_items!$E:$E,Analisis_grupo!$C$4),""))</f>
        <v/>
      </c>
      <c r="L93" s="18" t="str">
        <f aca="false">IF($B93="","",IFERROR(SUMIFS(Datos_items!$Z:$Z,Datos_items!$B:$B,$B93,Datos_items!$O:$O,L$4,Datos_items!$E:$E,Analisis_grupo!$C$4)/COUNTIFS(Datos_items!$B:$B,$B93,Datos_items!$O:$O,L$4,Datos_items!$E:$E,Analisis_grupo!$C$4),""))</f>
        <v/>
      </c>
      <c r="M93" s="18" t="str">
        <f aca="false">IF($B93="","",IFERROR(SUMIFS(Datos_items!$Z:$Z,Datos_items!$B:$B,$B93,Datos_items!$O:$O,M$4,Datos_items!$E:$E,Analisis_grupo!$C$4)/COUNTIFS(Datos_items!$B:$B,$B93,Datos_items!$O:$O,M$4,Datos_items!$E:$E,Analisis_grupo!$C$4),""))</f>
        <v/>
      </c>
      <c r="N93" s="18" t="str">
        <f aca="false">IF($B93="","",IFERROR(SUMIFS(Datos_items!$Z:$Z,Datos_items!$B:$B,$B93,Datos_items!$O:$O,N$4,Datos_items!$E:$E,Analisis_grupo!$C$4)/COUNTIFS(Datos_items!$B:$B,$B93,Datos_items!$O:$O,N$4,Datos_items!$E:$E,Analisis_grupo!$C$4),""))</f>
        <v/>
      </c>
      <c r="O93" s="18" t="str">
        <f aca="false">IF($B93="","",IFERROR(SUMIFS(Datos_items!$Z:$Z,Datos_items!$B:$B,$B93,Datos_items!$O:$O,O$4,Datos_items!$E:$E,Analisis_grupo!$C$4)/COUNTIFS(Datos_items!$B:$B,$B93,Datos_items!$O:$O,O$4,Datos_items!$E:$E,Analisis_grupo!$C$4),""))</f>
        <v/>
      </c>
      <c r="P93" s="18" t="str">
        <f aca="false">IF($B93="","",IFERROR(SUMIFS(Datos_items!$Z:$Z,Datos_items!$B:$B,$B93,Datos_items!$O:$O,P$4,Datos_items!$E:$E,Analisis_grupo!$C$4)/COUNTIFS(Datos_items!$B:$B,$B93,Datos_items!$O:$O,P$4,Datos_items!$E:$E,Analisis_grupo!$C$4),""))</f>
        <v/>
      </c>
      <c r="Q93" s="18" t="str">
        <f aca="false">IF($B93="","",IFERROR(SUMIFS(Datos_items!$Z:$Z,Datos_items!$B:$B,$B93,Datos_items!$O:$O,Q$4,Datos_items!$E:$E,Analisis_grupo!$C$4)/COUNTIFS(Datos_items!$B:$B,$B93,Datos_items!$O:$O,Q$4,Datos_items!$E:$E,Analisis_grupo!$C$4),""))</f>
        <v/>
      </c>
      <c r="R93" s="2" t="str">
        <f aca="false">IF(COUNT(J93:Q93)=0,"",IF(MIN(J93:Q93)&gt;=Analisis_grupo!$B$7,"(ninguna)",INDEX($J$4:$Q$4,MATCH(MIN(J93:Q93),J93:Q93,0))))</f>
        <v/>
      </c>
      <c r="S93" s="2" t="str">
        <f aca="false">IF($B93="","",COUNTIF(J93:Q93,"&lt;"&amp;Analisis_grupo!$B$7))</f>
        <v/>
      </c>
      <c r="T93" s="2" t="str">
        <f aca="false">IF($B93="","",COUNTIFS(Datos_items!$B:$B,$B93,Datos_items!$AA:$AA,T$4,Datos_items!$E:$E,Analisis_grupo!$C$4))</f>
        <v/>
      </c>
      <c r="U93" s="2" t="str">
        <f aca="false">IF($B93="","",COUNTIFS(Datos_items!$B:$B,$B93,Datos_items!$AA:$AA,U$4,Datos_items!$E:$E,Analisis_grupo!$C$4))</f>
        <v/>
      </c>
      <c r="V93" s="2" t="str">
        <f aca="false">IF($B93="","",COUNTIFS(Datos_items!$B:$B,$B93,Datos_items!$AA:$AA,V$4,Datos_items!$E:$E,Analisis_grupo!$C$4))</f>
        <v/>
      </c>
      <c r="W93" s="2" t="str">
        <f aca="false">IF($B93="","",COUNTIFS(Datos_items!$B:$B,$B93,Datos_items!$AA:$AA,W$4,Datos_items!$E:$E,Analisis_grupo!$C$4))</f>
        <v/>
      </c>
      <c r="X93" s="2" t="str">
        <f aca="false">IF($B93="","",COUNTIFS(Datos_items!$B:$B,$B93,Datos_items!$AA:$AA,X$4,Datos_items!$E:$E,Analisis_grupo!$C$4))</f>
        <v/>
      </c>
      <c r="Y93" s="2" t="str">
        <f aca="false">IF($B93="","",COUNTIFS(Datos_items!$B:$B,$B93,Datos_items!$AA:$AA,Y$4,Datos_items!$E:$E,Analisis_grupo!$C$4))</f>
        <v/>
      </c>
      <c r="Z93" s="2" t="str">
        <f aca="false">IF($B93="","",COUNTIFS(Datos_items!$B:$B,$B93,Datos_items!$AA:$AA,Z$4,Datos_items!$E:$E,Analisis_grupo!$C$4))</f>
        <v/>
      </c>
      <c r="AA93" s="2" t="str">
        <f aca="false">IF($B93="","",COUNTIFS(Datos_items!$B:$B,$B93,Datos_items!$AA:$AA,AA$4,Datos_items!$E:$E,Analisis_grupo!$C$4))</f>
        <v/>
      </c>
      <c r="AB93" s="2" t="str">
        <f aca="false">IF($B93="","",COUNTIFS(Datos_items!$B:$B,$B93,Datos_items!$AA:$AA,AB$4,Datos_items!$E:$E,Analisis_grupo!$C$4))</f>
        <v/>
      </c>
      <c r="AC93" s="2" t="str">
        <f aca="false">IF($B93="","",COUNTIFS(Datos_items!$B:$B,$B93,Datos_items!$AA:$AA,AC$4,Datos_items!$E:$E,Analisis_grupo!$C$4))</f>
        <v/>
      </c>
      <c r="AD93" s="2" t="str">
        <f aca="false">IF($B93="","",COUNTIFS(Datos_items!$B:$B,$B93,Datos_items!$AA:$AA,AD$4,Datos_items!$E:$E,Analisis_grupo!$C$4))</f>
        <v/>
      </c>
      <c r="AE93" s="2" t="str">
        <f aca="false">IF($B93="","",COUNTIFS(Datos_items!$B:$B,$B93,Datos_items!$AA:$AA,AE$4,Datos_items!$E:$E,Analisis_grupo!$C$4))</f>
        <v/>
      </c>
      <c r="AF93" s="2" t="str">
        <f aca="false">IF($B93="","",COUNTIFS(Datos_items!$B:$B,$B93,Datos_items!$AA:$AA,AF$4,Datos_items!$E:$E,Analisis_grupo!$C$4))</f>
        <v/>
      </c>
      <c r="AG93" s="2" t="str">
        <f aca="false">IF($B93="","",COUNTIFS(Datos_items!$B:$B,$B93,Datos_items!$AA:$AA,AG$4,Datos_items!$E:$E,Analisis_grupo!$C$4))</f>
        <v/>
      </c>
      <c r="AH93" s="2" t="str">
        <f aca="false">IF($B93="","",COUNTIFS(Datos_items!$B:$B,$B93,Datos_items!$AA:$AA,AH$4,Datos_items!$E:$E,Analisis_grupo!$C$4))</f>
        <v/>
      </c>
      <c r="AI93" s="2" t="str">
        <f aca="false">IF($B93="","",COUNTIFS(Datos_items!$B:$B,$B93,Datos_items!$AA:$AA,AI$4,Datos_items!$E:$E,Analisis_grupo!$C$4))</f>
        <v/>
      </c>
      <c r="AJ93" s="2" t="str">
        <f aca="false">IF($B93="","",COUNTIFS(Datos_items!$B:$B,$B93,Datos_items!$AA:$AA,AJ$4,Datos_items!$E:$E,Analisis_grupo!$C$4))</f>
        <v/>
      </c>
      <c r="AK93" s="2" t="str">
        <f aca="false">IF($B93="","",COUNTIFS(Datos_items!$B:$B,$B93,Datos_items!$AA:$AA,AK$4,Datos_items!$E:$E,Analisis_grupo!$C$4))</f>
        <v/>
      </c>
      <c r="AL93" s="2" t="str">
        <f aca="false">IF($B93="","",COUNTIFS(Datos_items!$B:$B,$B93,Datos_items!$AA:$AA,AL$4,Datos_items!$E:$E,Analisis_grupo!$C$4))</f>
        <v/>
      </c>
      <c r="AM93" s="2" t="str">
        <f aca="false">IF($B93="","",IF(MAX(Y93:AL93)=0,"",INDEX($Y$4:$AL$4,MATCH(MAX(Y93:AL93),Y93:AL93,0))))</f>
        <v/>
      </c>
      <c r="AN93" s="2" t="str">
        <f aca="false">IF($B93="","",COUNTIFS(Datos_problemas!$B:$B,$B93,Datos_problemas!$F:$F,"Práctica"))</f>
        <v/>
      </c>
      <c r="AO93" s="2" t="str">
        <f aca="false">IF($B93="","",SUMIFS(Datos_problemas!$AQ:$AQ,Datos_problemas!$B:$B,$B93,Datos_problemas!$F:$F,"Práctica"))</f>
        <v/>
      </c>
      <c r="AP93" s="2" t="str">
        <f aca="false">IF($B93="","",COUNTIFS(Datos_problemas!$B:$B,$B93,Datos_problemas!$F:$F,"Práctica",Datos_problemas!$AS:$AS,"Sí"))</f>
        <v/>
      </c>
    </row>
    <row r="94" customFormat="false" ht="15" hidden="false" customHeight="false" outlineLevel="0" collapsed="false">
      <c r="A94" s="2" t="n">
        <v>90</v>
      </c>
      <c r="B94" s="2" t="str">
        <f aca="false">IFERROR(INDEX(Datos_problemas!$B:$B,MATCH($A94,Datos_problemas!$AV:$AV,0)),"")</f>
        <v/>
      </c>
      <c r="C94" s="2" t="str">
        <f aca="false">IF($B94="","",INDEX(Datos_problemas!$C:$C,MATCH($A94,Datos_problemas!$AV:$AV,0)))</f>
        <v/>
      </c>
      <c r="D94" s="2" t="str">
        <f aca="false">IF($B94="","",INDEX(Datos_problemas!$D:$D,MATCH($A94,Datos_problemas!$AV:$AV,0)))</f>
        <v/>
      </c>
      <c r="E94" s="2" t="str">
        <f aca="false">IF($B94="","",COUNTIFS(Datos_problemas!$B:$B,$B94,Datos_problemas!$F:$F,"Evaluación"))</f>
        <v/>
      </c>
      <c r="F94" s="20" t="str">
        <f aca="false">IF($B94="","",IFERROR(AVERAGEIFS(Datos_problemas!$AE:$AE,Datos_problemas!$B:$B,$B94,Datos_problemas!$F:$F,"Evaluación"),""))</f>
        <v/>
      </c>
      <c r="G94" s="20" t="str">
        <f aca="false">IF($B94="","",IFERROR(AVERAGEIFS(Datos_problemas!$AE:$AE,Datos_problemas!$B:$B,$B94,Datos_problemas!$F:$F,"Evaluación",Datos_problemas!$E:$E,"Diagnóstico"),""))</f>
        <v/>
      </c>
      <c r="H94" s="20" t="str">
        <f aca="false">IF($B94="","",IFERROR(AVERAGEIFS(Datos_problemas!$AE:$AE,Datos_problemas!$B:$B,$B94,Datos_problemas!$F:$F,"Evaluación",Datos_problemas!$E:$E,"Final"),""))</f>
        <v/>
      </c>
      <c r="I94" s="21" t="str">
        <f aca="false">IF(OR(G94="",H94=""),"",IF(G94&gt;=10,"",(H94-G94)/(10-G94)))</f>
        <v/>
      </c>
      <c r="J94" s="18" t="str">
        <f aca="false">IF($B94="","",IFERROR(SUMIFS(Datos_items!$Z:$Z,Datos_items!$B:$B,$B94,Datos_items!$O:$O,J$4,Datos_items!$E:$E,Analisis_grupo!$C$4)/COUNTIFS(Datos_items!$B:$B,$B94,Datos_items!$O:$O,J$4,Datos_items!$E:$E,Analisis_grupo!$C$4),""))</f>
        <v/>
      </c>
      <c r="K94" s="18" t="str">
        <f aca="false">IF($B94="","",IFERROR(SUMIFS(Datos_items!$Z:$Z,Datos_items!$B:$B,$B94,Datos_items!$O:$O,K$4,Datos_items!$E:$E,Analisis_grupo!$C$4)/COUNTIFS(Datos_items!$B:$B,$B94,Datos_items!$O:$O,K$4,Datos_items!$E:$E,Analisis_grupo!$C$4),""))</f>
        <v/>
      </c>
      <c r="L94" s="18" t="str">
        <f aca="false">IF($B94="","",IFERROR(SUMIFS(Datos_items!$Z:$Z,Datos_items!$B:$B,$B94,Datos_items!$O:$O,L$4,Datos_items!$E:$E,Analisis_grupo!$C$4)/COUNTIFS(Datos_items!$B:$B,$B94,Datos_items!$O:$O,L$4,Datos_items!$E:$E,Analisis_grupo!$C$4),""))</f>
        <v/>
      </c>
      <c r="M94" s="18" t="str">
        <f aca="false">IF($B94="","",IFERROR(SUMIFS(Datos_items!$Z:$Z,Datos_items!$B:$B,$B94,Datos_items!$O:$O,M$4,Datos_items!$E:$E,Analisis_grupo!$C$4)/COUNTIFS(Datos_items!$B:$B,$B94,Datos_items!$O:$O,M$4,Datos_items!$E:$E,Analisis_grupo!$C$4),""))</f>
        <v/>
      </c>
      <c r="N94" s="18" t="str">
        <f aca="false">IF($B94="","",IFERROR(SUMIFS(Datos_items!$Z:$Z,Datos_items!$B:$B,$B94,Datos_items!$O:$O,N$4,Datos_items!$E:$E,Analisis_grupo!$C$4)/COUNTIFS(Datos_items!$B:$B,$B94,Datos_items!$O:$O,N$4,Datos_items!$E:$E,Analisis_grupo!$C$4),""))</f>
        <v/>
      </c>
      <c r="O94" s="18" t="str">
        <f aca="false">IF($B94="","",IFERROR(SUMIFS(Datos_items!$Z:$Z,Datos_items!$B:$B,$B94,Datos_items!$O:$O,O$4,Datos_items!$E:$E,Analisis_grupo!$C$4)/COUNTIFS(Datos_items!$B:$B,$B94,Datos_items!$O:$O,O$4,Datos_items!$E:$E,Analisis_grupo!$C$4),""))</f>
        <v/>
      </c>
      <c r="P94" s="18" t="str">
        <f aca="false">IF($B94="","",IFERROR(SUMIFS(Datos_items!$Z:$Z,Datos_items!$B:$B,$B94,Datos_items!$O:$O,P$4,Datos_items!$E:$E,Analisis_grupo!$C$4)/COUNTIFS(Datos_items!$B:$B,$B94,Datos_items!$O:$O,P$4,Datos_items!$E:$E,Analisis_grupo!$C$4),""))</f>
        <v/>
      </c>
      <c r="Q94" s="18" t="str">
        <f aca="false">IF($B94="","",IFERROR(SUMIFS(Datos_items!$Z:$Z,Datos_items!$B:$B,$B94,Datos_items!$O:$O,Q$4,Datos_items!$E:$E,Analisis_grupo!$C$4)/COUNTIFS(Datos_items!$B:$B,$B94,Datos_items!$O:$O,Q$4,Datos_items!$E:$E,Analisis_grupo!$C$4),""))</f>
        <v/>
      </c>
      <c r="R94" s="2" t="str">
        <f aca="false">IF(COUNT(J94:Q94)=0,"",IF(MIN(J94:Q94)&gt;=Analisis_grupo!$B$7,"(ninguna)",INDEX($J$4:$Q$4,MATCH(MIN(J94:Q94),J94:Q94,0))))</f>
        <v/>
      </c>
      <c r="S94" s="2" t="str">
        <f aca="false">IF($B94="","",COUNTIF(J94:Q94,"&lt;"&amp;Analisis_grupo!$B$7))</f>
        <v/>
      </c>
      <c r="T94" s="2" t="str">
        <f aca="false">IF($B94="","",COUNTIFS(Datos_items!$B:$B,$B94,Datos_items!$AA:$AA,T$4,Datos_items!$E:$E,Analisis_grupo!$C$4))</f>
        <v/>
      </c>
      <c r="U94" s="2" t="str">
        <f aca="false">IF($B94="","",COUNTIFS(Datos_items!$B:$B,$B94,Datos_items!$AA:$AA,U$4,Datos_items!$E:$E,Analisis_grupo!$C$4))</f>
        <v/>
      </c>
      <c r="V94" s="2" t="str">
        <f aca="false">IF($B94="","",COUNTIFS(Datos_items!$B:$B,$B94,Datos_items!$AA:$AA,V$4,Datos_items!$E:$E,Analisis_grupo!$C$4))</f>
        <v/>
      </c>
      <c r="W94" s="2" t="str">
        <f aca="false">IF($B94="","",COUNTIFS(Datos_items!$B:$B,$B94,Datos_items!$AA:$AA,W$4,Datos_items!$E:$E,Analisis_grupo!$C$4))</f>
        <v/>
      </c>
      <c r="X94" s="2" t="str">
        <f aca="false">IF($B94="","",COUNTIFS(Datos_items!$B:$B,$B94,Datos_items!$AA:$AA,X$4,Datos_items!$E:$E,Analisis_grupo!$C$4))</f>
        <v/>
      </c>
      <c r="Y94" s="2" t="str">
        <f aca="false">IF($B94="","",COUNTIFS(Datos_items!$B:$B,$B94,Datos_items!$AA:$AA,Y$4,Datos_items!$E:$E,Analisis_grupo!$C$4))</f>
        <v/>
      </c>
      <c r="Z94" s="2" t="str">
        <f aca="false">IF($B94="","",COUNTIFS(Datos_items!$B:$B,$B94,Datos_items!$AA:$AA,Z$4,Datos_items!$E:$E,Analisis_grupo!$C$4))</f>
        <v/>
      </c>
      <c r="AA94" s="2" t="str">
        <f aca="false">IF($B94="","",COUNTIFS(Datos_items!$B:$B,$B94,Datos_items!$AA:$AA,AA$4,Datos_items!$E:$E,Analisis_grupo!$C$4))</f>
        <v/>
      </c>
      <c r="AB94" s="2" t="str">
        <f aca="false">IF($B94="","",COUNTIFS(Datos_items!$B:$B,$B94,Datos_items!$AA:$AA,AB$4,Datos_items!$E:$E,Analisis_grupo!$C$4))</f>
        <v/>
      </c>
      <c r="AC94" s="2" t="str">
        <f aca="false">IF($B94="","",COUNTIFS(Datos_items!$B:$B,$B94,Datos_items!$AA:$AA,AC$4,Datos_items!$E:$E,Analisis_grupo!$C$4))</f>
        <v/>
      </c>
      <c r="AD94" s="2" t="str">
        <f aca="false">IF($B94="","",COUNTIFS(Datos_items!$B:$B,$B94,Datos_items!$AA:$AA,AD$4,Datos_items!$E:$E,Analisis_grupo!$C$4))</f>
        <v/>
      </c>
      <c r="AE94" s="2" t="str">
        <f aca="false">IF($B94="","",COUNTIFS(Datos_items!$B:$B,$B94,Datos_items!$AA:$AA,AE$4,Datos_items!$E:$E,Analisis_grupo!$C$4))</f>
        <v/>
      </c>
      <c r="AF94" s="2" t="str">
        <f aca="false">IF($B94="","",COUNTIFS(Datos_items!$B:$B,$B94,Datos_items!$AA:$AA,AF$4,Datos_items!$E:$E,Analisis_grupo!$C$4))</f>
        <v/>
      </c>
      <c r="AG94" s="2" t="str">
        <f aca="false">IF($B94="","",COUNTIFS(Datos_items!$B:$B,$B94,Datos_items!$AA:$AA,AG$4,Datos_items!$E:$E,Analisis_grupo!$C$4))</f>
        <v/>
      </c>
      <c r="AH94" s="2" t="str">
        <f aca="false">IF($B94="","",COUNTIFS(Datos_items!$B:$B,$B94,Datos_items!$AA:$AA,AH$4,Datos_items!$E:$E,Analisis_grupo!$C$4))</f>
        <v/>
      </c>
      <c r="AI94" s="2" t="str">
        <f aca="false">IF($B94="","",COUNTIFS(Datos_items!$B:$B,$B94,Datos_items!$AA:$AA,AI$4,Datos_items!$E:$E,Analisis_grupo!$C$4))</f>
        <v/>
      </c>
      <c r="AJ94" s="2" t="str">
        <f aca="false">IF($B94="","",COUNTIFS(Datos_items!$B:$B,$B94,Datos_items!$AA:$AA,AJ$4,Datos_items!$E:$E,Analisis_grupo!$C$4))</f>
        <v/>
      </c>
      <c r="AK94" s="2" t="str">
        <f aca="false">IF($B94="","",COUNTIFS(Datos_items!$B:$B,$B94,Datos_items!$AA:$AA,AK$4,Datos_items!$E:$E,Analisis_grupo!$C$4))</f>
        <v/>
      </c>
      <c r="AL94" s="2" t="str">
        <f aca="false">IF($B94="","",COUNTIFS(Datos_items!$B:$B,$B94,Datos_items!$AA:$AA,AL$4,Datos_items!$E:$E,Analisis_grupo!$C$4))</f>
        <v/>
      </c>
      <c r="AM94" s="2" t="str">
        <f aca="false">IF($B94="","",IF(MAX(Y94:AL94)=0,"",INDEX($Y$4:$AL$4,MATCH(MAX(Y94:AL94),Y94:AL94,0))))</f>
        <v/>
      </c>
      <c r="AN94" s="2" t="str">
        <f aca="false">IF($B94="","",COUNTIFS(Datos_problemas!$B:$B,$B94,Datos_problemas!$F:$F,"Práctica"))</f>
        <v/>
      </c>
      <c r="AO94" s="2" t="str">
        <f aca="false">IF($B94="","",SUMIFS(Datos_problemas!$AQ:$AQ,Datos_problemas!$B:$B,$B94,Datos_problemas!$F:$F,"Práctica"))</f>
        <v/>
      </c>
      <c r="AP94" s="2" t="str">
        <f aca="false">IF($B94="","",COUNTIFS(Datos_problemas!$B:$B,$B94,Datos_problemas!$F:$F,"Práctica",Datos_problemas!$AS:$AS,"Sí"))</f>
        <v/>
      </c>
    </row>
    <row r="95" customFormat="false" ht="15" hidden="false" customHeight="false" outlineLevel="0" collapsed="false">
      <c r="A95" s="2" t="n">
        <v>91</v>
      </c>
      <c r="B95" s="2" t="str">
        <f aca="false">IFERROR(INDEX(Datos_problemas!$B:$B,MATCH($A95,Datos_problemas!$AV:$AV,0)),"")</f>
        <v/>
      </c>
      <c r="C95" s="2" t="str">
        <f aca="false">IF($B95="","",INDEX(Datos_problemas!$C:$C,MATCH($A95,Datos_problemas!$AV:$AV,0)))</f>
        <v/>
      </c>
      <c r="D95" s="2" t="str">
        <f aca="false">IF($B95="","",INDEX(Datos_problemas!$D:$D,MATCH($A95,Datos_problemas!$AV:$AV,0)))</f>
        <v/>
      </c>
      <c r="E95" s="2" t="str">
        <f aca="false">IF($B95="","",COUNTIFS(Datos_problemas!$B:$B,$B95,Datos_problemas!$F:$F,"Evaluación"))</f>
        <v/>
      </c>
      <c r="F95" s="20" t="str">
        <f aca="false">IF($B95="","",IFERROR(AVERAGEIFS(Datos_problemas!$AE:$AE,Datos_problemas!$B:$B,$B95,Datos_problemas!$F:$F,"Evaluación"),""))</f>
        <v/>
      </c>
      <c r="G95" s="20" t="str">
        <f aca="false">IF($B95="","",IFERROR(AVERAGEIFS(Datos_problemas!$AE:$AE,Datos_problemas!$B:$B,$B95,Datos_problemas!$F:$F,"Evaluación",Datos_problemas!$E:$E,"Diagnóstico"),""))</f>
        <v/>
      </c>
      <c r="H95" s="20" t="str">
        <f aca="false">IF($B95="","",IFERROR(AVERAGEIFS(Datos_problemas!$AE:$AE,Datos_problemas!$B:$B,$B95,Datos_problemas!$F:$F,"Evaluación",Datos_problemas!$E:$E,"Final"),""))</f>
        <v/>
      </c>
      <c r="I95" s="21" t="str">
        <f aca="false">IF(OR(G95="",H95=""),"",IF(G95&gt;=10,"",(H95-G95)/(10-G95)))</f>
        <v/>
      </c>
      <c r="J95" s="18" t="str">
        <f aca="false">IF($B95="","",IFERROR(SUMIFS(Datos_items!$Z:$Z,Datos_items!$B:$B,$B95,Datos_items!$O:$O,J$4,Datos_items!$E:$E,Analisis_grupo!$C$4)/COUNTIFS(Datos_items!$B:$B,$B95,Datos_items!$O:$O,J$4,Datos_items!$E:$E,Analisis_grupo!$C$4),""))</f>
        <v/>
      </c>
      <c r="K95" s="18" t="str">
        <f aca="false">IF($B95="","",IFERROR(SUMIFS(Datos_items!$Z:$Z,Datos_items!$B:$B,$B95,Datos_items!$O:$O,K$4,Datos_items!$E:$E,Analisis_grupo!$C$4)/COUNTIFS(Datos_items!$B:$B,$B95,Datos_items!$O:$O,K$4,Datos_items!$E:$E,Analisis_grupo!$C$4),""))</f>
        <v/>
      </c>
      <c r="L95" s="18" t="str">
        <f aca="false">IF($B95="","",IFERROR(SUMIFS(Datos_items!$Z:$Z,Datos_items!$B:$B,$B95,Datos_items!$O:$O,L$4,Datos_items!$E:$E,Analisis_grupo!$C$4)/COUNTIFS(Datos_items!$B:$B,$B95,Datos_items!$O:$O,L$4,Datos_items!$E:$E,Analisis_grupo!$C$4),""))</f>
        <v/>
      </c>
      <c r="M95" s="18" t="str">
        <f aca="false">IF($B95="","",IFERROR(SUMIFS(Datos_items!$Z:$Z,Datos_items!$B:$B,$B95,Datos_items!$O:$O,M$4,Datos_items!$E:$E,Analisis_grupo!$C$4)/COUNTIFS(Datos_items!$B:$B,$B95,Datos_items!$O:$O,M$4,Datos_items!$E:$E,Analisis_grupo!$C$4),""))</f>
        <v/>
      </c>
      <c r="N95" s="18" t="str">
        <f aca="false">IF($B95="","",IFERROR(SUMIFS(Datos_items!$Z:$Z,Datos_items!$B:$B,$B95,Datos_items!$O:$O,N$4,Datos_items!$E:$E,Analisis_grupo!$C$4)/COUNTIFS(Datos_items!$B:$B,$B95,Datos_items!$O:$O,N$4,Datos_items!$E:$E,Analisis_grupo!$C$4),""))</f>
        <v/>
      </c>
      <c r="O95" s="18" t="str">
        <f aca="false">IF($B95="","",IFERROR(SUMIFS(Datos_items!$Z:$Z,Datos_items!$B:$B,$B95,Datos_items!$O:$O,O$4,Datos_items!$E:$E,Analisis_grupo!$C$4)/COUNTIFS(Datos_items!$B:$B,$B95,Datos_items!$O:$O,O$4,Datos_items!$E:$E,Analisis_grupo!$C$4),""))</f>
        <v/>
      </c>
      <c r="P95" s="18" t="str">
        <f aca="false">IF($B95="","",IFERROR(SUMIFS(Datos_items!$Z:$Z,Datos_items!$B:$B,$B95,Datos_items!$O:$O,P$4,Datos_items!$E:$E,Analisis_grupo!$C$4)/COUNTIFS(Datos_items!$B:$B,$B95,Datos_items!$O:$O,P$4,Datos_items!$E:$E,Analisis_grupo!$C$4),""))</f>
        <v/>
      </c>
      <c r="Q95" s="18" t="str">
        <f aca="false">IF($B95="","",IFERROR(SUMIFS(Datos_items!$Z:$Z,Datos_items!$B:$B,$B95,Datos_items!$O:$O,Q$4,Datos_items!$E:$E,Analisis_grupo!$C$4)/COUNTIFS(Datos_items!$B:$B,$B95,Datos_items!$O:$O,Q$4,Datos_items!$E:$E,Analisis_grupo!$C$4),""))</f>
        <v/>
      </c>
      <c r="R95" s="2" t="str">
        <f aca="false">IF(COUNT(J95:Q95)=0,"",IF(MIN(J95:Q95)&gt;=Analisis_grupo!$B$7,"(ninguna)",INDEX($J$4:$Q$4,MATCH(MIN(J95:Q95),J95:Q95,0))))</f>
        <v/>
      </c>
      <c r="S95" s="2" t="str">
        <f aca="false">IF($B95="","",COUNTIF(J95:Q95,"&lt;"&amp;Analisis_grupo!$B$7))</f>
        <v/>
      </c>
      <c r="T95" s="2" t="str">
        <f aca="false">IF($B95="","",COUNTIFS(Datos_items!$B:$B,$B95,Datos_items!$AA:$AA,T$4,Datos_items!$E:$E,Analisis_grupo!$C$4))</f>
        <v/>
      </c>
      <c r="U95" s="2" t="str">
        <f aca="false">IF($B95="","",COUNTIFS(Datos_items!$B:$B,$B95,Datos_items!$AA:$AA,U$4,Datos_items!$E:$E,Analisis_grupo!$C$4))</f>
        <v/>
      </c>
      <c r="V95" s="2" t="str">
        <f aca="false">IF($B95="","",COUNTIFS(Datos_items!$B:$B,$B95,Datos_items!$AA:$AA,V$4,Datos_items!$E:$E,Analisis_grupo!$C$4))</f>
        <v/>
      </c>
      <c r="W95" s="2" t="str">
        <f aca="false">IF($B95="","",COUNTIFS(Datos_items!$B:$B,$B95,Datos_items!$AA:$AA,W$4,Datos_items!$E:$E,Analisis_grupo!$C$4))</f>
        <v/>
      </c>
      <c r="X95" s="2" t="str">
        <f aca="false">IF($B95="","",COUNTIFS(Datos_items!$B:$B,$B95,Datos_items!$AA:$AA,X$4,Datos_items!$E:$E,Analisis_grupo!$C$4))</f>
        <v/>
      </c>
      <c r="Y95" s="2" t="str">
        <f aca="false">IF($B95="","",COUNTIFS(Datos_items!$B:$B,$B95,Datos_items!$AA:$AA,Y$4,Datos_items!$E:$E,Analisis_grupo!$C$4))</f>
        <v/>
      </c>
      <c r="Z95" s="2" t="str">
        <f aca="false">IF($B95="","",COUNTIFS(Datos_items!$B:$B,$B95,Datos_items!$AA:$AA,Z$4,Datos_items!$E:$E,Analisis_grupo!$C$4))</f>
        <v/>
      </c>
      <c r="AA95" s="2" t="str">
        <f aca="false">IF($B95="","",COUNTIFS(Datos_items!$B:$B,$B95,Datos_items!$AA:$AA,AA$4,Datos_items!$E:$E,Analisis_grupo!$C$4))</f>
        <v/>
      </c>
      <c r="AB95" s="2" t="str">
        <f aca="false">IF($B95="","",COUNTIFS(Datos_items!$B:$B,$B95,Datos_items!$AA:$AA,AB$4,Datos_items!$E:$E,Analisis_grupo!$C$4))</f>
        <v/>
      </c>
      <c r="AC95" s="2" t="str">
        <f aca="false">IF($B95="","",COUNTIFS(Datos_items!$B:$B,$B95,Datos_items!$AA:$AA,AC$4,Datos_items!$E:$E,Analisis_grupo!$C$4))</f>
        <v/>
      </c>
      <c r="AD95" s="2" t="str">
        <f aca="false">IF($B95="","",COUNTIFS(Datos_items!$B:$B,$B95,Datos_items!$AA:$AA,AD$4,Datos_items!$E:$E,Analisis_grupo!$C$4))</f>
        <v/>
      </c>
      <c r="AE95" s="2" t="str">
        <f aca="false">IF($B95="","",COUNTIFS(Datos_items!$B:$B,$B95,Datos_items!$AA:$AA,AE$4,Datos_items!$E:$E,Analisis_grupo!$C$4))</f>
        <v/>
      </c>
      <c r="AF95" s="2" t="str">
        <f aca="false">IF($B95="","",COUNTIFS(Datos_items!$B:$B,$B95,Datos_items!$AA:$AA,AF$4,Datos_items!$E:$E,Analisis_grupo!$C$4))</f>
        <v/>
      </c>
      <c r="AG95" s="2" t="str">
        <f aca="false">IF($B95="","",COUNTIFS(Datos_items!$B:$B,$B95,Datos_items!$AA:$AA,AG$4,Datos_items!$E:$E,Analisis_grupo!$C$4))</f>
        <v/>
      </c>
      <c r="AH95" s="2" t="str">
        <f aca="false">IF($B95="","",COUNTIFS(Datos_items!$B:$B,$B95,Datos_items!$AA:$AA,AH$4,Datos_items!$E:$E,Analisis_grupo!$C$4))</f>
        <v/>
      </c>
      <c r="AI95" s="2" t="str">
        <f aca="false">IF($B95="","",COUNTIFS(Datos_items!$B:$B,$B95,Datos_items!$AA:$AA,AI$4,Datos_items!$E:$E,Analisis_grupo!$C$4))</f>
        <v/>
      </c>
      <c r="AJ95" s="2" t="str">
        <f aca="false">IF($B95="","",COUNTIFS(Datos_items!$B:$B,$B95,Datos_items!$AA:$AA,AJ$4,Datos_items!$E:$E,Analisis_grupo!$C$4))</f>
        <v/>
      </c>
      <c r="AK95" s="2" t="str">
        <f aca="false">IF($B95="","",COUNTIFS(Datos_items!$B:$B,$B95,Datos_items!$AA:$AA,AK$4,Datos_items!$E:$E,Analisis_grupo!$C$4))</f>
        <v/>
      </c>
      <c r="AL95" s="2" t="str">
        <f aca="false">IF($B95="","",COUNTIFS(Datos_items!$B:$B,$B95,Datos_items!$AA:$AA,AL$4,Datos_items!$E:$E,Analisis_grupo!$C$4))</f>
        <v/>
      </c>
      <c r="AM95" s="2" t="str">
        <f aca="false">IF($B95="","",IF(MAX(Y95:AL95)=0,"",INDEX($Y$4:$AL$4,MATCH(MAX(Y95:AL95),Y95:AL95,0))))</f>
        <v/>
      </c>
      <c r="AN95" s="2" t="str">
        <f aca="false">IF($B95="","",COUNTIFS(Datos_problemas!$B:$B,$B95,Datos_problemas!$F:$F,"Práctica"))</f>
        <v/>
      </c>
      <c r="AO95" s="2" t="str">
        <f aca="false">IF($B95="","",SUMIFS(Datos_problemas!$AQ:$AQ,Datos_problemas!$B:$B,$B95,Datos_problemas!$F:$F,"Práctica"))</f>
        <v/>
      </c>
      <c r="AP95" s="2" t="str">
        <f aca="false">IF($B95="","",COUNTIFS(Datos_problemas!$B:$B,$B95,Datos_problemas!$F:$F,"Práctica",Datos_problemas!$AS:$AS,"Sí"))</f>
        <v/>
      </c>
    </row>
    <row r="96" customFormat="false" ht="15" hidden="false" customHeight="false" outlineLevel="0" collapsed="false">
      <c r="A96" s="2" t="n">
        <v>92</v>
      </c>
      <c r="B96" s="2" t="str">
        <f aca="false">IFERROR(INDEX(Datos_problemas!$B:$B,MATCH($A96,Datos_problemas!$AV:$AV,0)),"")</f>
        <v/>
      </c>
      <c r="C96" s="2" t="str">
        <f aca="false">IF($B96="","",INDEX(Datos_problemas!$C:$C,MATCH($A96,Datos_problemas!$AV:$AV,0)))</f>
        <v/>
      </c>
      <c r="D96" s="2" t="str">
        <f aca="false">IF($B96="","",INDEX(Datos_problemas!$D:$D,MATCH($A96,Datos_problemas!$AV:$AV,0)))</f>
        <v/>
      </c>
      <c r="E96" s="2" t="str">
        <f aca="false">IF($B96="","",COUNTIFS(Datos_problemas!$B:$B,$B96,Datos_problemas!$F:$F,"Evaluación"))</f>
        <v/>
      </c>
      <c r="F96" s="20" t="str">
        <f aca="false">IF($B96="","",IFERROR(AVERAGEIFS(Datos_problemas!$AE:$AE,Datos_problemas!$B:$B,$B96,Datos_problemas!$F:$F,"Evaluación"),""))</f>
        <v/>
      </c>
      <c r="G96" s="20" t="str">
        <f aca="false">IF($B96="","",IFERROR(AVERAGEIFS(Datos_problemas!$AE:$AE,Datos_problemas!$B:$B,$B96,Datos_problemas!$F:$F,"Evaluación",Datos_problemas!$E:$E,"Diagnóstico"),""))</f>
        <v/>
      </c>
      <c r="H96" s="20" t="str">
        <f aca="false">IF($B96="","",IFERROR(AVERAGEIFS(Datos_problemas!$AE:$AE,Datos_problemas!$B:$B,$B96,Datos_problemas!$F:$F,"Evaluación",Datos_problemas!$E:$E,"Final"),""))</f>
        <v/>
      </c>
      <c r="I96" s="21" t="str">
        <f aca="false">IF(OR(G96="",H96=""),"",IF(G96&gt;=10,"",(H96-G96)/(10-G96)))</f>
        <v/>
      </c>
      <c r="J96" s="18" t="str">
        <f aca="false">IF($B96="","",IFERROR(SUMIFS(Datos_items!$Z:$Z,Datos_items!$B:$B,$B96,Datos_items!$O:$O,J$4,Datos_items!$E:$E,Analisis_grupo!$C$4)/COUNTIFS(Datos_items!$B:$B,$B96,Datos_items!$O:$O,J$4,Datos_items!$E:$E,Analisis_grupo!$C$4),""))</f>
        <v/>
      </c>
      <c r="K96" s="18" t="str">
        <f aca="false">IF($B96="","",IFERROR(SUMIFS(Datos_items!$Z:$Z,Datos_items!$B:$B,$B96,Datos_items!$O:$O,K$4,Datos_items!$E:$E,Analisis_grupo!$C$4)/COUNTIFS(Datos_items!$B:$B,$B96,Datos_items!$O:$O,K$4,Datos_items!$E:$E,Analisis_grupo!$C$4),""))</f>
        <v/>
      </c>
      <c r="L96" s="18" t="str">
        <f aca="false">IF($B96="","",IFERROR(SUMIFS(Datos_items!$Z:$Z,Datos_items!$B:$B,$B96,Datos_items!$O:$O,L$4,Datos_items!$E:$E,Analisis_grupo!$C$4)/COUNTIFS(Datos_items!$B:$B,$B96,Datos_items!$O:$O,L$4,Datos_items!$E:$E,Analisis_grupo!$C$4),""))</f>
        <v/>
      </c>
      <c r="M96" s="18" t="str">
        <f aca="false">IF($B96="","",IFERROR(SUMIFS(Datos_items!$Z:$Z,Datos_items!$B:$B,$B96,Datos_items!$O:$O,M$4,Datos_items!$E:$E,Analisis_grupo!$C$4)/COUNTIFS(Datos_items!$B:$B,$B96,Datos_items!$O:$O,M$4,Datos_items!$E:$E,Analisis_grupo!$C$4),""))</f>
        <v/>
      </c>
      <c r="N96" s="18" t="str">
        <f aca="false">IF($B96="","",IFERROR(SUMIFS(Datos_items!$Z:$Z,Datos_items!$B:$B,$B96,Datos_items!$O:$O,N$4,Datos_items!$E:$E,Analisis_grupo!$C$4)/COUNTIFS(Datos_items!$B:$B,$B96,Datos_items!$O:$O,N$4,Datos_items!$E:$E,Analisis_grupo!$C$4),""))</f>
        <v/>
      </c>
      <c r="O96" s="18" t="str">
        <f aca="false">IF($B96="","",IFERROR(SUMIFS(Datos_items!$Z:$Z,Datos_items!$B:$B,$B96,Datos_items!$O:$O,O$4,Datos_items!$E:$E,Analisis_grupo!$C$4)/COUNTIFS(Datos_items!$B:$B,$B96,Datos_items!$O:$O,O$4,Datos_items!$E:$E,Analisis_grupo!$C$4),""))</f>
        <v/>
      </c>
      <c r="P96" s="18" t="str">
        <f aca="false">IF($B96="","",IFERROR(SUMIFS(Datos_items!$Z:$Z,Datos_items!$B:$B,$B96,Datos_items!$O:$O,P$4,Datos_items!$E:$E,Analisis_grupo!$C$4)/COUNTIFS(Datos_items!$B:$B,$B96,Datos_items!$O:$O,P$4,Datos_items!$E:$E,Analisis_grupo!$C$4),""))</f>
        <v/>
      </c>
      <c r="Q96" s="18" t="str">
        <f aca="false">IF($B96="","",IFERROR(SUMIFS(Datos_items!$Z:$Z,Datos_items!$B:$B,$B96,Datos_items!$O:$O,Q$4,Datos_items!$E:$E,Analisis_grupo!$C$4)/COUNTIFS(Datos_items!$B:$B,$B96,Datos_items!$O:$O,Q$4,Datos_items!$E:$E,Analisis_grupo!$C$4),""))</f>
        <v/>
      </c>
      <c r="R96" s="2" t="str">
        <f aca="false">IF(COUNT(J96:Q96)=0,"",IF(MIN(J96:Q96)&gt;=Analisis_grupo!$B$7,"(ninguna)",INDEX($J$4:$Q$4,MATCH(MIN(J96:Q96),J96:Q96,0))))</f>
        <v/>
      </c>
      <c r="S96" s="2" t="str">
        <f aca="false">IF($B96="","",COUNTIF(J96:Q96,"&lt;"&amp;Analisis_grupo!$B$7))</f>
        <v/>
      </c>
      <c r="T96" s="2" t="str">
        <f aca="false">IF($B96="","",COUNTIFS(Datos_items!$B:$B,$B96,Datos_items!$AA:$AA,T$4,Datos_items!$E:$E,Analisis_grupo!$C$4))</f>
        <v/>
      </c>
      <c r="U96" s="2" t="str">
        <f aca="false">IF($B96="","",COUNTIFS(Datos_items!$B:$B,$B96,Datos_items!$AA:$AA,U$4,Datos_items!$E:$E,Analisis_grupo!$C$4))</f>
        <v/>
      </c>
      <c r="V96" s="2" t="str">
        <f aca="false">IF($B96="","",COUNTIFS(Datos_items!$B:$B,$B96,Datos_items!$AA:$AA,V$4,Datos_items!$E:$E,Analisis_grupo!$C$4))</f>
        <v/>
      </c>
      <c r="W96" s="2" t="str">
        <f aca="false">IF($B96="","",COUNTIFS(Datos_items!$B:$B,$B96,Datos_items!$AA:$AA,W$4,Datos_items!$E:$E,Analisis_grupo!$C$4))</f>
        <v/>
      </c>
      <c r="X96" s="2" t="str">
        <f aca="false">IF($B96="","",COUNTIFS(Datos_items!$B:$B,$B96,Datos_items!$AA:$AA,X$4,Datos_items!$E:$E,Analisis_grupo!$C$4))</f>
        <v/>
      </c>
      <c r="Y96" s="2" t="str">
        <f aca="false">IF($B96="","",COUNTIFS(Datos_items!$B:$B,$B96,Datos_items!$AA:$AA,Y$4,Datos_items!$E:$E,Analisis_grupo!$C$4))</f>
        <v/>
      </c>
      <c r="Z96" s="2" t="str">
        <f aca="false">IF($B96="","",COUNTIFS(Datos_items!$B:$B,$B96,Datos_items!$AA:$AA,Z$4,Datos_items!$E:$E,Analisis_grupo!$C$4))</f>
        <v/>
      </c>
      <c r="AA96" s="2" t="str">
        <f aca="false">IF($B96="","",COUNTIFS(Datos_items!$B:$B,$B96,Datos_items!$AA:$AA,AA$4,Datos_items!$E:$E,Analisis_grupo!$C$4))</f>
        <v/>
      </c>
      <c r="AB96" s="2" t="str">
        <f aca="false">IF($B96="","",COUNTIFS(Datos_items!$B:$B,$B96,Datos_items!$AA:$AA,AB$4,Datos_items!$E:$E,Analisis_grupo!$C$4))</f>
        <v/>
      </c>
      <c r="AC96" s="2" t="str">
        <f aca="false">IF($B96="","",COUNTIFS(Datos_items!$B:$B,$B96,Datos_items!$AA:$AA,AC$4,Datos_items!$E:$E,Analisis_grupo!$C$4))</f>
        <v/>
      </c>
      <c r="AD96" s="2" t="str">
        <f aca="false">IF($B96="","",COUNTIFS(Datos_items!$B:$B,$B96,Datos_items!$AA:$AA,AD$4,Datos_items!$E:$E,Analisis_grupo!$C$4))</f>
        <v/>
      </c>
      <c r="AE96" s="2" t="str">
        <f aca="false">IF($B96="","",COUNTIFS(Datos_items!$B:$B,$B96,Datos_items!$AA:$AA,AE$4,Datos_items!$E:$E,Analisis_grupo!$C$4))</f>
        <v/>
      </c>
      <c r="AF96" s="2" t="str">
        <f aca="false">IF($B96="","",COUNTIFS(Datos_items!$B:$B,$B96,Datos_items!$AA:$AA,AF$4,Datos_items!$E:$E,Analisis_grupo!$C$4))</f>
        <v/>
      </c>
      <c r="AG96" s="2" t="str">
        <f aca="false">IF($B96="","",COUNTIFS(Datos_items!$B:$B,$B96,Datos_items!$AA:$AA,AG$4,Datos_items!$E:$E,Analisis_grupo!$C$4))</f>
        <v/>
      </c>
      <c r="AH96" s="2" t="str">
        <f aca="false">IF($B96="","",COUNTIFS(Datos_items!$B:$B,$B96,Datos_items!$AA:$AA,AH$4,Datos_items!$E:$E,Analisis_grupo!$C$4))</f>
        <v/>
      </c>
      <c r="AI96" s="2" t="str">
        <f aca="false">IF($B96="","",COUNTIFS(Datos_items!$B:$B,$B96,Datos_items!$AA:$AA,AI$4,Datos_items!$E:$E,Analisis_grupo!$C$4))</f>
        <v/>
      </c>
      <c r="AJ96" s="2" t="str">
        <f aca="false">IF($B96="","",COUNTIFS(Datos_items!$B:$B,$B96,Datos_items!$AA:$AA,AJ$4,Datos_items!$E:$E,Analisis_grupo!$C$4))</f>
        <v/>
      </c>
      <c r="AK96" s="2" t="str">
        <f aca="false">IF($B96="","",COUNTIFS(Datos_items!$B:$B,$B96,Datos_items!$AA:$AA,AK$4,Datos_items!$E:$E,Analisis_grupo!$C$4))</f>
        <v/>
      </c>
      <c r="AL96" s="2" t="str">
        <f aca="false">IF($B96="","",COUNTIFS(Datos_items!$B:$B,$B96,Datos_items!$AA:$AA,AL$4,Datos_items!$E:$E,Analisis_grupo!$C$4))</f>
        <v/>
      </c>
      <c r="AM96" s="2" t="str">
        <f aca="false">IF($B96="","",IF(MAX(Y96:AL96)=0,"",INDEX($Y$4:$AL$4,MATCH(MAX(Y96:AL96),Y96:AL96,0))))</f>
        <v/>
      </c>
      <c r="AN96" s="2" t="str">
        <f aca="false">IF($B96="","",COUNTIFS(Datos_problemas!$B:$B,$B96,Datos_problemas!$F:$F,"Práctica"))</f>
        <v/>
      </c>
      <c r="AO96" s="2" t="str">
        <f aca="false">IF($B96="","",SUMIFS(Datos_problemas!$AQ:$AQ,Datos_problemas!$B:$B,$B96,Datos_problemas!$F:$F,"Práctica"))</f>
        <v/>
      </c>
      <c r="AP96" s="2" t="str">
        <f aca="false">IF($B96="","",COUNTIFS(Datos_problemas!$B:$B,$B96,Datos_problemas!$F:$F,"Práctica",Datos_problemas!$AS:$AS,"Sí"))</f>
        <v/>
      </c>
    </row>
    <row r="97" customFormat="false" ht="15" hidden="false" customHeight="false" outlineLevel="0" collapsed="false">
      <c r="A97" s="2" t="n">
        <v>93</v>
      </c>
      <c r="B97" s="2" t="str">
        <f aca="false">IFERROR(INDEX(Datos_problemas!$B:$B,MATCH($A97,Datos_problemas!$AV:$AV,0)),"")</f>
        <v/>
      </c>
      <c r="C97" s="2" t="str">
        <f aca="false">IF($B97="","",INDEX(Datos_problemas!$C:$C,MATCH($A97,Datos_problemas!$AV:$AV,0)))</f>
        <v/>
      </c>
      <c r="D97" s="2" t="str">
        <f aca="false">IF($B97="","",INDEX(Datos_problemas!$D:$D,MATCH($A97,Datos_problemas!$AV:$AV,0)))</f>
        <v/>
      </c>
      <c r="E97" s="2" t="str">
        <f aca="false">IF($B97="","",COUNTIFS(Datos_problemas!$B:$B,$B97,Datos_problemas!$F:$F,"Evaluación"))</f>
        <v/>
      </c>
      <c r="F97" s="20" t="str">
        <f aca="false">IF($B97="","",IFERROR(AVERAGEIFS(Datos_problemas!$AE:$AE,Datos_problemas!$B:$B,$B97,Datos_problemas!$F:$F,"Evaluación"),""))</f>
        <v/>
      </c>
      <c r="G97" s="20" t="str">
        <f aca="false">IF($B97="","",IFERROR(AVERAGEIFS(Datos_problemas!$AE:$AE,Datos_problemas!$B:$B,$B97,Datos_problemas!$F:$F,"Evaluación",Datos_problemas!$E:$E,"Diagnóstico"),""))</f>
        <v/>
      </c>
      <c r="H97" s="20" t="str">
        <f aca="false">IF($B97="","",IFERROR(AVERAGEIFS(Datos_problemas!$AE:$AE,Datos_problemas!$B:$B,$B97,Datos_problemas!$F:$F,"Evaluación",Datos_problemas!$E:$E,"Final"),""))</f>
        <v/>
      </c>
      <c r="I97" s="21" t="str">
        <f aca="false">IF(OR(G97="",H97=""),"",IF(G97&gt;=10,"",(H97-G97)/(10-G97)))</f>
        <v/>
      </c>
      <c r="J97" s="18" t="str">
        <f aca="false">IF($B97="","",IFERROR(SUMIFS(Datos_items!$Z:$Z,Datos_items!$B:$B,$B97,Datos_items!$O:$O,J$4,Datos_items!$E:$E,Analisis_grupo!$C$4)/COUNTIFS(Datos_items!$B:$B,$B97,Datos_items!$O:$O,J$4,Datos_items!$E:$E,Analisis_grupo!$C$4),""))</f>
        <v/>
      </c>
      <c r="K97" s="18" t="str">
        <f aca="false">IF($B97="","",IFERROR(SUMIFS(Datos_items!$Z:$Z,Datos_items!$B:$B,$B97,Datos_items!$O:$O,K$4,Datos_items!$E:$E,Analisis_grupo!$C$4)/COUNTIFS(Datos_items!$B:$B,$B97,Datos_items!$O:$O,K$4,Datos_items!$E:$E,Analisis_grupo!$C$4),""))</f>
        <v/>
      </c>
      <c r="L97" s="18" t="str">
        <f aca="false">IF($B97="","",IFERROR(SUMIFS(Datos_items!$Z:$Z,Datos_items!$B:$B,$B97,Datos_items!$O:$O,L$4,Datos_items!$E:$E,Analisis_grupo!$C$4)/COUNTIFS(Datos_items!$B:$B,$B97,Datos_items!$O:$O,L$4,Datos_items!$E:$E,Analisis_grupo!$C$4),""))</f>
        <v/>
      </c>
      <c r="M97" s="18" t="str">
        <f aca="false">IF($B97="","",IFERROR(SUMIFS(Datos_items!$Z:$Z,Datos_items!$B:$B,$B97,Datos_items!$O:$O,M$4,Datos_items!$E:$E,Analisis_grupo!$C$4)/COUNTIFS(Datos_items!$B:$B,$B97,Datos_items!$O:$O,M$4,Datos_items!$E:$E,Analisis_grupo!$C$4),""))</f>
        <v/>
      </c>
      <c r="N97" s="18" t="str">
        <f aca="false">IF($B97="","",IFERROR(SUMIFS(Datos_items!$Z:$Z,Datos_items!$B:$B,$B97,Datos_items!$O:$O,N$4,Datos_items!$E:$E,Analisis_grupo!$C$4)/COUNTIFS(Datos_items!$B:$B,$B97,Datos_items!$O:$O,N$4,Datos_items!$E:$E,Analisis_grupo!$C$4),""))</f>
        <v/>
      </c>
      <c r="O97" s="18" t="str">
        <f aca="false">IF($B97="","",IFERROR(SUMIFS(Datos_items!$Z:$Z,Datos_items!$B:$B,$B97,Datos_items!$O:$O,O$4,Datos_items!$E:$E,Analisis_grupo!$C$4)/COUNTIFS(Datos_items!$B:$B,$B97,Datos_items!$O:$O,O$4,Datos_items!$E:$E,Analisis_grupo!$C$4),""))</f>
        <v/>
      </c>
      <c r="P97" s="18" t="str">
        <f aca="false">IF($B97="","",IFERROR(SUMIFS(Datos_items!$Z:$Z,Datos_items!$B:$B,$B97,Datos_items!$O:$O,P$4,Datos_items!$E:$E,Analisis_grupo!$C$4)/COUNTIFS(Datos_items!$B:$B,$B97,Datos_items!$O:$O,P$4,Datos_items!$E:$E,Analisis_grupo!$C$4),""))</f>
        <v/>
      </c>
      <c r="Q97" s="18" t="str">
        <f aca="false">IF($B97="","",IFERROR(SUMIFS(Datos_items!$Z:$Z,Datos_items!$B:$B,$B97,Datos_items!$O:$O,Q$4,Datos_items!$E:$E,Analisis_grupo!$C$4)/COUNTIFS(Datos_items!$B:$B,$B97,Datos_items!$O:$O,Q$4,Datos_items!$E:$E,Analisis_grupo!$C$4),""))</f>
        <v/>
      </c>
      <c r="R97" s="2" t="str">
        <f aca="false">IF(COUNT(J97:Q97)=0,"",IF(MIN(J97:Q97)&gt;=Analisis_grupo!$B$7,"(ninguna)",INDEX($J$4:$Q$4,MATCH(MIN(J97:Q97),J97:Q97,0))))</f>
        <v/>
      </c>
      <c r="S97" s="2" t="str">
        <f aca="false">IF($B97="","",COUNTIF(J97:Q97,"&lt;"&amp;Analisis_grupo!$B$7))</f>
        <v/>
      </c>
      <c r="T97" s="2" t="str">
        <f aca="false">IF($B97="","",COUNTIFS(Datos_items!$B:$B,$B97,Datos_items!$AA:$AA,T$4,Datos_items!$E:$E,Analisis_grupo!$C$4))</f>
        <v/>
      </c>
      <c r="U97" s="2" t="str">
        <f aca="false">IF($B97="","",COUNTIFS(Datos_items!$B:$B,$B97,Datos_items!$AA:$AA,U$4,Datos_items!$E:$E,Analisis_grupo!$C$4))</f>
        <v/>
      </c>
      <c r="V97" s="2" t="str">
        <f aca="false">IF($B97="","",COUNTIFS(Datos_items!$B:$B,$B97,Datos_items!$AA:$AA,V$4,Datos_items!$E:$E,Analisis_grupo!$C$4))</f>
        <v/>
      </c>
      <c r="W97" s="2" t="str">
        <f aca="false">IF($B97="","",COUNTIFS(Datos_items!$B:$B,$B97,Datos_items!$AA:$AA,W$4,Datos_items!$E:$E,Analisis_grupo!$C$4))</f>
        <v/>
      </c>
      <c r="X97" s="2" t="str">
        <f aca="false">IF($B97="","",COUNTIFS(Datos_items!$B:$B,$B97,Datos_items!$AA:$AA,X$4,Datos_items!$E:$E,Analisis_grupo!$C$4))</f>
        <v/>
      </c>
      <c r="Y97" s="2" t="str">
        <f aca="false">IF($B97="","",COUNTIFS(Datos_items!$B:$B,$B97,Datos_items!$AA:$AA,Y$4,Datos_items!$E:$E,Analisis_grupo!$C$4))</f>
        <v/>
      </c>
      <c r="Z97" s="2" t="str">
        <f aca="false">IF($B97="","",COUNTIFS(Datos_items!$B:$B,$B97,Datos_items!$AA:$AA,Z$4,Datos_items!$E:$E,Analisis_grupo!$C$4))</f>
        <v/>
      </c>
      <c r="AA97" s="2" t="str">
        <f aca="false">IF($B97="","",COUNTIFS(Datos_items!$B:$B,$B97,Datos_items!$AA:$AA,AA$4,Datos_items!$E:$E,Analisis_grupo!$C$4))</f>
        <v/>
      </c>
      <c r="AB97" s="2" t="str">
        <f aca="false">IF($B97="","",COUNTIFS(Datos_items!$B:$B,$B97,Datos_items!$AA:$AA,AB$4,Datos_items!$E:$E,Analisis_grupo!$C$4))</f>
        <v/>
      </c>
      <c r="AC97" s="2" t="str">
        <f aca="false">IF($B97="","",COUNTIFS(Datos_items!$B:$B,$B97,Datos_items!$AA:$AA,AC$4,Datos_items!$E:$E,Analisis_grupo!$C$4))</f>
        <v/>
      </c>
      <c r="AD97" s="2" t="str">
        <f aca="false">IF($B97="","",COUNTIFS(Datos_items!$B:$B,$B97,Datos_items!$AA:$AA,AD$4,Datos_items!$E:$E,Analisis_grupo!$C$4))</f>
        <v/>
      </c>
      <c r="AE97" s="2" t="str">
        <f aca="false">IF($B97="","",COUNTIFS(Datos_items!$B:$B,$B97,Datos_items!$AA:$AA,AE$4,Datos_items!$E:$E,Analisis_grupo!$C$4))</f>
        <v/>
      </c>
      <c r="AF97" s="2" t="str">
        <f aca="false">IF($B97="","",COUNTIFS(Datos_items!$B:$B,$B97,Datos_items!$AA:$AA,AF$4,Datos_items!$E:$E,Analisis_grupo!$C$4))</f>
        <v/>
      </c>
      <c r="AG97" s="2" t="str">
        <f aca="false">IF($B97="","",COUNTIFS(Datos_items!$B:$B,$B97,Datos_items!$AA:$AA,AG$4,Datos_items!$E:$E,Analisis_grupo!$C$4))</f>
        <v/>
      </c>
      <c r="AH97" s="2" t="str">
        <f aca="false">IF($B97="","",COUNTIFS(Datos_items!$B:$B,$B97,Datos_items!$AA:$AA,AH$4,Datos_items!$E:$E,Analisis_grupo!$C$4))</f>
        <v/>
      </c>
      <c r="AI97" s="2" t="str">
        <f aca="false">IF($B97="","",COUNTIFS(Datos_items!$B:$B,$B97,Datos_items!$AA:$AA,AI$4,Datos_items!$E:$E,Analisis_grupo!$C$4))</f>
        <v/>
      </c>
      <c r="AJ97" s="2" t="str">
        <f aca="false">IF($B97="","",COUNTIFS(Datos_items!$B:$B,$B97,Datos_items!$AA:$AA,AJ$4,Datos_items!$E:$E,Analisis_grupo!$C$4))</f>
        <v/>
      </c>
      <c r="AK97" s="2" t="str">
        <f aca="false">IF($B97="","",COUNTIFS(Datos_items!$B:$B,$B97,Datos_items!$AA:$AA,AK$4,Datos_items!$E:$E,Analisis_grupo!$C$4))</f>
        <v/>
      </c>
      <c r="AL97" s="2" t="str">
        <f aca="false">IF($B97="","",COUNTIFS(Datos_items!$B:$B,$B97,Datos_items!$AA:$AA,AL$4,Datos_items!$E:$E,Analisis_grupo!$C$4))</f>
        <v/>
      </c>
      <c r="AM97" s="2" t="str">
        <f aca="false">IF($B97="","",IF(MAX(Y97:AL97)=0,"",INDEX($Y$4:$AL$4,MATCH(MAX(Y97:AL97),Y97:AL97,0))))</f>
        <v/>
      </c>
      <c r="AN97" s="2" t="str">
        <f aca="false">IF($B97="","",COUNTIFS(Datos_problemas!$B:$B,$B97,Datos_problemas!$F:$F,"Práctica"))</f>
        <v/>
      </c>
      <c r="AO97" s="2" t="str">
        <f aca="false">IF($B97="","",SUMIFS(Datos_problemas!$AQ:$AQ,Datos_problemas!$B:$B,$B97,Datos_problemas!$F:$F,"Práctica"))</f>
        <v/>
      </c>
      <c r="AP97" s="2" t="str">
        <f aca="false">IF($B97="","",COUNTIFS(Datos_problemas!$B:$B,$B97,Datos_problemas!$F:$F,"Práctica",Datos_problemas!$AS:$AS,"Sí"))</f>
        <v/>
      </c>
    </row>
    <row r="98" customFormat="false" ht="15" hidden="false" customHeight="false" outlineLevel="0" collapsed="false">
      <c r="A98" s="2" t="n">
        <v>94</v>
      </c>
      <c r="B98" s="2" t="str">
        <f aca="false">IFERROR(INDEX(Datos_problemas!$B:$B,MATCH($A98,Datos_problemas!$AV:$AV,0)),"")</f>
        <v/>
      </c>
      <c r="C98" s="2" t="str">
        <f aca="false">IF($B98="","",INDEX(Datos_problemas!$C:$C,MATCH($A98,Datos_problemas!$AV:$AV,0)))</f>
        <v/>
      </c>
      <c r="D98" s="2" t="str">
        <f aca="false">IF($B98="","",INDEX(Datos_problemas!$D:$D,MATCH($A98,Datos_problemas!$AV:$AV,0)))</f>
        <v/>
      </c>
      <c r="E98" s="2" t="str">
        <f aca="false">IF($B98="","",COUNTIFS(Datos_problemas!$B:$B,$B98,Datos_problemas!$F:$F,"Evaluación"))</f>
        <v/>
      </c>
      <c r="F98" s="20" t="str">
        <f aca="false">IF($B98="","",IFERROR(AVERAGEIFS(Datos_problemas!$AE:$AE,Datos_problemas!$B:$B,$B98,Datos_problemas!$F:$F,"Evaluación"),""))</f>
        <v/>
      </c>
      <c r="G98" s="20" t="str">
        <f aca="false">IF($B98="","",IFERROR(AVERAGEIFS(Datos_problemas!$AE:$AE,Datos_problemas!$B:$B,$B98,Datos_problemas!$F:$F,"Evaluación",Datos_problemas!$E:$E,"Diagnóstico"),""))</f>
        <v/>
      </c>
      <c r="H98" s="20" t="str">
        <f aca="false">IF($B98="","",IFERROR(AVERAGEIFS(Datos_problemas!$AE:$AE,Datos_problemas!$B:$B,$B98,Datos_problemas!$F:$F,"Evaluación",Datos_problemas!$E:$E,"Final"),""))</f>
        <v/>
      </c>
      <c r="I98" s="21" t="str">
        <f aca="false">IF(OR(G98="",H98=""),"",IF(G98&gt;=10,"",(H98-G98)/(10-G98)))</f>
        <v/>
      </c>
      <c r="J98" s="18" t="str">
        <f aca="false">IF($B98="","",IFERROR(SUMIFS(Datos_items!$Z:$Z,Datos_items!$B:$B,$B98,Datos_items!$O:$O,J$4,Datos_items!$E:$E,Analisis_grupo!$C$4)/COUNTIFS(Datos_items!$B:$B,$B98,Datos_items!$O:$O,J$4,Datos_items!$E:$E,Analisis_grupo!$C$4),""))</f>
        <v/>
      </c>
      <c r="K98" s="18" t="str">
        <f aca="false">IF($B98="","",IFERROR(SUMIFS(Datos_items!$Z:$Z,Datos_items!$B:$B,$B98,Datos_items!$O:$O,K$4,Datos_items!$E:$E,Analisis_grupo!$C$4)/COUNTIFS(Datos_items!$B:$B,$B98,Datos_items!$O:$O,K$4,Datos_items!$E:$E,Analisis_grupo!$C$4),""))</f>
        <v/>
      </c>
      <c r="L98" s="18" t="str">
        <f aca="false">IF($B98="","",IFERROR(SUMIFS(Datos_items!$Z:$Z,Datos_items!$B:$B,$B98,Datos_items!$O:$O,L$4,Datos_items!$E:$E,Analisis_grupo!$C$4)/COUNTIFS(Datos_items!$B:$B,$B98,Datos_items!$O:$O,L$4,Datos_items!$E:$E,Analisis_grupo!$C$4),""))</f>
        <v/>
      </c>
      <c r="M98" s="18" t="str">
        <f aca="false">IF($B98="","",IFERROR(SUMIFS(Datos_items!$Z:$Z,Datos_items!$B:$B,$B98,Datos_items!$O:$O,M$4,Datos_items!$E:$E,Analisis_grupo!$C$4)/COUNTIFS(Datos_items!$B:$B,$B98,Datos_items!$O:$O,M$4,Datos_items!$E:$E,Analisis_grupo!$C$4),""))</f>
        <v/>
      </c>
      <c r="N98" s="18" t="str">
        <f aca="false">IF($B98="","",IFERROR(SUMIFS(Datos_items!$Z:$Z,Datos_items!$B:$B,$B98,Datos_items!$O:$O,N$4,Datos_items!$E:$E,Analisis_grupo!$C$4)/COUNTIFS(Datos_items!$B:$B,$B98,Datos_items!$O:$O,N$4,Datos_items!$E:$E,Analisis_grupo!$C$4),""))</f>
        <v/>
      </c>
      <c r="O98" s="18" t="str">
        <f aca="false">IF($B98="","",IFERROR(SUMIFS(Datos_items!$Z:$Z,Datos_items!$B:$B,$B98,Datos_items!$O:$O,O$4,Datos_items!$E:$E,Analisis_grupo!$C$4)/COUNTIFS(Datos_items!$B:$B,$B98,Datos_items!$O:$O,O$4,Datos_items!$E:$E,Analisis_grupo!$C$4),""))</f>
        <v/>
      </c>
      <c r="P98" s="18" t="str">
        <f aca="false">IF($B98="","",IFERROR(SUMIFS(Datos_items!$Z:$Z,Datos_items!$B:$B,$B98,Datos_items!$O:$O,P$4,Datos_items!$E:$E,Analisis_grupo!$C$4)/COUNTIFS(Datos_items!$B:$B,$B98,Datos_items!$O:$O,P$4,Datos_items!$E:$E,Analisis_grupo!$C$4),""))</f>
        <v/>
      </c>
      <c r="Q98" s="18" t="str">
        <f aca="false">IF($B98="","",IFERROR(SUMIFS(Datos_items!$Z:$Z,Datos_items!$B:$B,$B98,Datos_items!$O:$O,Q$4,Datos_items!$E:$E,Analisis_grupo!$C$4)/COUNTIFS(Datos_items!$B:$B,$B98,Datos_items!$O:$O,Q$4,Datos_items!$E:$E,Analisis_grupo!$C$4),""))</f>
        <v/>
      </c>
      <c r="R98" s="2" t="str">
        <f aca="false">IF(COUNT(J98:Q98)=0,"",IF(MIN(J98:Q98)&gt;=Analisis_grupo!$B$7,"(ninguna)",INDEX($J$4:$Q$4,MATCH(MIN(J98:Q98),J98:Q98,0))))</f>
        <v/>
      </c>
      <c r="S98" s="2" t="str">
        <f aca="false">IF($B98="","",COUNTIF(J98:Q98,"&lt;"&amp;Analisis_grupo!$B$7))</f>
        <v/>
      </c>
      <c r="T98" s="2" t="str">
        <f aca="false">IF($B98="","",COUNTIFS(Datos_items!$B:$B,$B98,Datos_items!$AA:$AA,T$4,Datos_items!$E:$E,Analisis_grupo!$C$4))</f>
        <v/>
      </c>
      <c r="U98" s="2" t="str">
        <f aca="false">IF($B98="","",COUNTIFS(Datos_items!$B:$B,$B98,Datos_items!$AA:$AA,U$4,Datos_items!$E:$E,Analisis_grupo!$C$4))</f>
        <v/>
      </c>
      <c r="V98" s="2" t="str">
        <f aca="false">IF($B98="","",COUNTIFS(Datos_items!$B:$B,$B98,Datos_items!$AA:$AA,V$4,Datos_items!$E:$E,Analisis_grupo!$C$4))</f>
        <v/>
      </c>
      <c r="W98" s="2" t="str">
        <f aca="false">IF($B98="","",COUNTIFS(Datos_items!$B:$B,$B98,Datos_items!$AA:$AA,W$4,Datos_items!$E:$E,Analisis_grupo!$C$4))</f>
        <v/>
      </c>
      <c r="X98" s="2" t="str">
        <f aca="false">IF($B98="","",COUNTIFS(Datos_items!$B:$B,$B98,Datos_items!$AA:$AA,X$4,Datos_items!$E:$E,Analisis_grupo!$C$4))</f>
        <v/>
      </c>
      <c r="Y98" s="2" t="str">
        <f aca="false">IF($B98="","",COUNTIFS(Datos_items!$B:$B,$B98,Datos_items!$AA:$AA,Y$4,Datos_items!$E:$E,Analisis_grupo!$C$4))</f>
        <v/>
      </c>
      <c r="Z98" s="2" t="str">
        <f aca="false">IF($B98="","",COUNTIFS(Datos_items!$B:$B,$B98,Datos_items!$AA:$AA,Z$4,Datos_items!$E:$E,Analisis_grupo!$C$4))</f>
        <v/>
      </c>
      <c r="AA98" s="2" t="str">
        <f aca="false">IF($B98="","",COUNTIFS(Datos_items!$B:$B,$B98,Datos_items!$AA:$AA,AA$4,Datos_items!$E:$E,Analisis_grupo!$C$4))</f>
        <v/>
      </c>
      <c r="AB98" s="2" t="str">
        <f aca="false">IF($B98="","",COUNTIFS(Datos_items!$B:$B,$B98,Datos_items!$AA:$AA,AB$4,Datos_items!$E:$E,Analisis_grupo!$C$4))</f>
        <v/>
      </c>
      <c r="AC98" s="2" t="str">
        <f aca="false">IF($B98="","",COUNTIFS(Datos_items!$B:$B,$B98,Datos_items!$AA:$AA,AC$4,Datos_items!$E:$E,Analisis_grupo!$C$4))</f>
        <v/>
      </c>
      <c r="AD98" s="2" t="str">
        <f aca="false">IF($B98="","",COUNTIFS(Datos_items!$B:$B,$B98,Datos_items!$AA:$AA,AD$4,Datos_items!$E:$E,Analisis_grupo!$C$4))</f>
        <v/>
      </c>
      <c r="AE98" s="2" t="str">
        <f aca="false">IF($B98="","",COUNTIFS(Datos_items!$B:$B,$B98,Datos_items!$AA:$AA,AE$4,Datos_items!$E:$E,Analisis_grupo!$C$4))</f>
        <v/>
      </c>
      <c r="AF98" s="2" t="str">
        <f aca="false">IF($B98="","",COUNTIFS(Datos_items!$B:$B,$B98,Datos_items!$AA:$AA,AF$4,Datos_items!$E:$E,Analisis_grupo!$C$4))</f>
        <v/>
      </c>
      <c r="AG98" s="2" t="str">
        <f aca="false">IF($B98="","",COUNTIFS(Datos_items!$B:$B,$B98,Datos_items!$AA:$AA,AG$4,Datos_items!$E:$E,Analisis_grupo!$C$4))</f>
        <v/>
      </c>
      <c r="AH98" s="2" t="str">
        <f aca="false">IF($B98="","",COUNTIFS(Datos_items!$B:$B,$B98,Datos_items!$AA:$AA,AH$4,Datos_items!$E:$E,Analisis_grupo!$C$4))</f>
        <v/>
      </c>
      <c r="AI98" s="2" t="str">
        <f aca="false">IF($B98="","",COUNTIFS(Datos_items!$B:$B,$B98,Datos_items!$AA:$AA,AI$4,Datos_items!$E:$E,Analisis_grupo!$C$4))</f>
        <v/>
      </c>
      <c r="AJ98" s="2" t="str">
        <f aca="false">IF($B98="","",COUNTIFS(Datos_items!$B:$B,$B98,Datos_items!$AA:$AA,AJ$4,Datos_items!$E:$E,Analisis_grupo!$C$4))</f>
        <v/>
      </c>
      <c r="AK98" s="2" t="str">
        <f aca="false">IF($B98="","",COUNTIFS(Datos_items!$B:$B,$B98,Datos_items!$AA:$AA,AK$4,Datos_items!$E:$E,Analisis_grupo!$C$4))</f>
        <v/>
      </c>
      <c r="AL98" s="2" t="str">
        <f aca="false">IF($B98="","",COUNTIFS(Datos_items!$B:$B,$B98,Datos_items!$AA:$AA,AL$4,Datos_items!$E:$E,Analisis_grupo!$C$4))</f>
        <v/>
      </c>
      <c r="AM98" s="2" t="str">
        <f aca="false">IF($B98="","",IF(MAX(Y98:AL98)=0,"",INDEX($Y$4:$AL$4,MATCH(MAX(Y98:AL98),Y98:AL98,0))))</f>
        <v/>
      </c>
      <c r="AN98" s="2" t="str">
        <f aca="false">IF($B98="","",COUNTIFS(Datos_problemas!$B:$B,$B98,Datos_problemas!$F:$F,"Práctica"))</f>
        <v/>
      </c>
      <c r="AO98" s="2" t="str">
        <f aca="false">IF($B98="","",SUMIFS(Datos_problemas!$AQ:$AQ,Datos_problemas!$B:$B,$B98,Datos_problemas!$F:$F,"Práctica"))</f>
        <v/>
      </c>
      <c r="AP98" s="2" t="str">
        <f aca="false">IF($B98="","",COUNTIFS(Datos_problemas!$B:$B,$B98,Datos_problemas!$F:$F,"Práctica",Datos_problemas!$AS:$AS,"Sí"))</f>
        <v/>
      </c>
    </row>
    <row r="99" customFormat="false" ht="15" hidden="false" customHeight="false" outlineLevel="0" collapsed="false">
      <c r="A99" s="2" t="n">
        <v>95</v>
      </c>
      <c r="B99" s="2" t="str">
        <f aca="false">IFERROR(INDEX(Datos_problemas!$B:$B,MATCH($A99,Datos_problemas!$AV:$AV,0)),"")</f>
        <v/>
      </c>
      <c r="C99" s="2" t="str">
        <f aca="false">IF($B99="","",INDEX(Datos_problemas!$C:$C,MATCH($A99,Datos_problemas!$AV:$AV,0)))</f>
        <v/>
      </c>
      <c r="D99" s="2" t="str">
        <f aca="false">IF($B99="","",INDEX(Datos_problemas!$D:$D,MATCH($A99,Datos_problemas!$AV:$AV,0)))</f>
        <v/>
      </c>
      <c r="E99" s="2" t="str">
        <f aca="false">IF($B99="","",COUNTIFS(Datos_problemas!$B:$B,$B99,Datos_problemas!$F:$F,"Evaluación"))</f>
        <v/>
      </c>
      <c r="F99" s="20" t="str">
        <f aca="false">IF($B99="","",IFERROR(AVERAGEIFS(Datos_problemas!$AE:$AE,Datos_problemas!$B:$B,$B99,Datos_problemas!$F:$F,"Evaluación"),""))</f>
        <v/>
      </c>
      <c r="G99" s="20" t="str">
        <f aca="false">IF($B99="","",IFERROR(AVERAGEIFS(Datos_problemas!$AE:$AE,Datos_problemas!$B:$B,$B99,Datos_problemas!$F:$F,"Evaluación",Datos_problemas!$E:$E,"Diagnóstico"),""))</f>
        <v/>
      </c>
      <c r="H99" s="20" t="str">
        <f aca="false">IF($B99="","",IFERROR(AVERAGEIFS(Datos_problemas!$AE:$AE,Datos_problemas!$B:$B,$B99,Datos_problemas!$F:$F,"Evaluación",Datos_problemas!$E:$E,"Final"),""))</f>
        <v/>
      </c>
      <c r="I99" s="21" t="str">
        <f aca="false">IF(OR(G99="",H99=""),"",IF(G99&gt;=10,"",(H99-G99)/(10-G99)))</f>
        <v/>
      </c>
      <c r="J99" s="18" t="str">
        <f aca="false">IF($B99="","",IFERROR(SUMIFS(Datos_items!$Z:$Z,Datos_items!$B:$B,$B99,Datos_items!$O:$O,J$4,Datos_items!$E:$E,Analisis_grupo!$C$4)/COUNTIFS(Datos_items!$B:$B,$B99,Datos_items!$O:$O,J$4,Datos_items!$E:$E,Analisis_grupo!$C$4),""))</f>
        <v/>
      </c>
      <c r="K99" s="18" t="str">
        <f aca="false">IF($B99="","",IFERROR(SUMIFS(Datos_items!$Z:$Z,Datos_items!$B:$B,$B99,Datos_items!$O:$O,K$4,Datos_items!$E:$E,Analisis_grupo!$C$4)/COUNTIFS(Datos_items!$B:$B,$B99,Datos_items!$O:$O,K$4,Datos_items!$E:$E,Analisis_grupo!$C$4),""))</f>
        <v/>
      </c>
      <c r="L99" s="18" t="str">
        <f aca="false">IF($B99="","",IFERROR(SUMIFS(Datos_items!$Z:$Z,Datos_items!$B:$B,$B99,Datos_items!$O:$O,L$4,Datos_items!$E:$E,Analisis_grupo!$C$4)/COUNTIFS(Datos_items!$B:$B,$B99,Datos_items!$O:$O,L$4,Datos_items!$E:$E,Analisis_grupo!$C$4),""))</f>
        <v/>
      </c>
      <c r="M99" s="18" t="str">
        <f aca="false">IF($B99="","",IFERROR(SUMIFS(Datos_items!$Z:$Z,Datos_items!$B:$B,$B99,Datos_items!$O:$O,M$4,Datos_items!$E:$E,Analisis_grupo!$C$4)/COUNTIFS(Datos_items!$B:$B,$B99,Datos_items!$O:$O,M$4,Datos_items!$E:$E,Analisis_grupo!$C$4),""))</f>
        <v/>
      </c>
      <c r="N99" s="18" t="str">
        <f aca="false">IF($B99="","",IFERROR(SUMIFS(Datos_items!$Z:$Z,Datos_items!$B:$B,$B99,Datos_items!$O:$O,N$4,Datos_items!$E:$E,Analisis_grupo!$C$4)/COUNTIFS(Datos_items!$B:$B,$B99,Datos_items!$O:$O,N$4,Datos_items!$E:$E,Analisis_grupo!$C$4),""))</f>
        <v/>
      </c>
      <c r="O99" s="18" t="str">
        <f aca="false">IF($B99="","",IFERROR(SUMIFS(Datos_items!$Z:$Z,Datos_items!$B:$B,$B99,Datos_items!$O:$O,O$4,Datos_items!$E:$E,Analisis_grupo!$C$4)/COUNTIFS(Datos_items!$B:$B,$B99,Datos_items!$O:$O,O$4,Datos_items!$E:$E,Analisis_grupo!$C$4),""))</f>
        <v/>
      </c>
      <c r="P99" s="18" t="str">
        <f aca="false">IF($B99="","",IFERROR(SUMIFS(Datos_items!$Z:$Z,Datos_items!$B:$B,$B99,Datos_items!$O:$O,P$4,Datos_items!$E:$E,Analisis_grupo!$C$4)/COUNTIFS(Datos_items!$B:$B,$B99,Datos_items!$O:$O,P$4,Datos_items!$E:$E,Analisis_grupo!$C$4),""))</f>
        <v/>
      </c>
      <c r="Q99" s="18" t="str">
        <f aca="false">IF($B99="","",IFERROR(SUMIFS(Datos_items!$Z:$Z,Datos_items!$B:$B,$B99,Datos_items!$O:$O,Q$4,Datos_items!$E:$E,Analisis_grupo!$C$4)/COUNTIFS(Datos_items!$B:$B,$B99,Datos_items!$O:$O,Q$4,Datos_items!$E:$E,Analisis_grupo!$C$4),""))</f>
        <v/>
      </c>
      <c r="R99" s="2" t="str">
        <f aca="false">IF(COUNT(J99:Q99)=0,"",IF(MIN(J99:Q99)&gt;=Analisis_grupo!$B$7,"(ninguna)",INDEX($J$4:$Q$4,MATCH(MIN(J99:Q99),J99:Q99,0))))</f>
        <v/>
      </c>
      <c r="S99" s="2" t="str">
        <f aca="false">IF($B99="","",COUNTIF(J99:Q99,"&lt;"&amp;Analisis_grupo!$B$7))</f>
        <v/>
      </c>
      <c r="T99" s="2" t="str">
        <f aca="false">IF($B99="","",COUNTIFS(Datos_items!$B:$B,$B99,Datos_items!$AA:$AA,T$4,Datos_items!$E:$E,Analisis_grupo!$C$4))</f>
        <v/>
      </c>
      <c r="U99" s="2" t="str">
        <f aca="false">IF($B99="","",COUNTIFS(Datos_items!$B:$B,$B99,Datos_items!$AA:$AA,U$4,Datos_items!$E:$E,Analisis_grupo!$C$4))</f>
        <v/>
      </c>
      <c r="V99" s="2" t="str">
        <f aca="false">IF($B99="","",COUNTIFS(Datos_items!$B:$B,$B99,Datos_items!$AA:$AA,V$4,Datos_items!$E:$E,Analisis_grupo!$C$4))</f>
        <v/>
      </c>
      <c r="W99" s="2" t="str">
        <f aca="false">IF($B99="","",COUNTIFS(Datos_items!$B:$B,$B99,Datos_items!$AA:$AA,W$4,Datos_items!$E:$E,Analisis_grupo!$C$4))</f>
        <v/>
      </c>
      <c r="X99" s="2" t="str">
        <f aca="false">IF($B99="","",COUNTIFS(Datos_items!$B:$B,$B99,Datos_items!$AA:$AA,X$4,Datos_items!$E:$E,Analisis_grupo!$C$4))</f>
        <v/>
      </c>
      <c r="Y99" s="2" t="str">
        <f aca="false">IF($B99="","",COUNTIFS(Datos_items!$B:$B,$B99,Datos_items!$AA:$AA,Y$4,Datos_items!$E:$E,Analisis_grupo!$C$4))</f>
        <v/>
      </c>
      <c r="Z99" s="2" t="str">
        <f aca="false">IF($B99="","",COUNTIFS(Datos_items!$B:$B,$B99,Datos_items!$AA:$AA,Z$4,Datos_items!$E:$E,Analisis_grupo!$C$4))</f>
        <v/>
      </c>
      <c r="AA99" s="2" t="str">
        <f aca="false">IF($B99="","",COUNTIFS(Datos_items!$B:$B,$B99,Datos_items!$AA:$AA,AA$4,Datos_items!$E:$E,Analisis_grupo!$C$4))</f>
        <v/>
      </c>
      <c r="AB99" s="2" t="str">
        <f aca="false">IF($B99="","",COUNTIFS(Datos_items!$B:$B,$B99,Datos_items!$AA:$AA,AB$4,Datos_items!$E:$E,Analisis_grupo!$C$4))</f>
        <v/>
      </c>
      <c r="AC99" s="2" t="str">
        <f aca="false">IF($B99="","",COUNTIFS(Datos_items!$B:$B,$B99,Datos_items!$AA:$AA,AC$4,Datos_items!$E:$E,Analisis_grupo!$C$4))</f>
        <v/>
      </c>
      <c r="AD99" s="2" t="str">
        <f aca="false">IF($B99="","",COUNTIFS(Datos_items!$B:$B,$B99,Datos_items!$AA:$AA,AD$4,Datos_items!$E:$E,Analisis_grupo!$C$4))</f>
        <v/>
      </c>
      <c r="AE99" s="2" t="str">
        <f aca="false">IF($B99="","",COUNTIFS(Datos_items!$B:$B,$B99,Datos_items!$AA:$AA,AE$4,Datos_items!$E:$E,Analisis_grupo!$C$4))</f>
        <v/>
      </c>
      <c r="AF99" s="2" t="str">
        <f aca="false">IF($B99="","",COUNTIFS(Datos_items!$B:$B,$B99,Datos_items!$AA:$AA,AF$4,Datos_items!$E:$E,Analisis_grupo!$C$4))</f>
        <v/>
      </c>
      <c r="AG99" s="2" t="str">
        <f aca="false">IF($B99="","",COUNTIFS(Datos_items!$B:$B,$B99,Datos_items!$AA:$AA,AG$4,Datos_items!$E:$E,Analisis_grupo!$C$4))</f>
        <v/>
      </c>
      <c r="AH99" s="2" t="str">
        <f aca="false">IF($B99="","",COUNTIFS(Datos_items!$B:$B,$B99,Datos_items!$AA:$AA,AH$4,Datos_items!$E:$E,Analisis_grupo!$C$4))</f>
        <v/>
      </c>
      <c r="AI99" s="2" t="str">
        <f aca="false">IF($B99="","",COUNTIFS(Datos_items!$B:$B,$B99,Datos_items!$AA:$AA,AI$4,Datos_items!$E:$E,Analisis_grupo!$C$4))</f>
        <v/>
      </c>
      <c r="AJ99" s="2" t="str">
        <f aca="false">IF($B99="","",COUNTIFS(Datos_items!$B:$B,$B99,Datos_items!$AA:$AA,AJ$4,Datos_items!$E:$E,Analisis_grupo!$C$4))</f>
        <v/>
      </c>
      <c r="AK99" s="2" t="str">
        <f aca="false">IF($B99="","",COUNTIFS(Datos_items!$B:$B,$B99,Datos_items!$AA:$AA,AK$4,Datos_items!$E:$E,Analisis_grupo!$C$4))</f>
        <v/>
      </c>
      <c r="AL99" s="2" t="str">
        <f aca="false">IF($B99="","",COUNTIFS(Datos_items!$B:$B,$B99,Datos_items!$AA:$AA,AL$4,Datos_items!$E:$E,Analisis_grupo!$C$4))</f>
        <v/>
      </c>
      <c r="AM99" s="2" t="str">
        <f aca="false">IF($B99="","",IF(MAX(Y99:AL99)=0,"",INDEX($Y$4:$AL$4,MATCH(MAX(Y99:AL99),Y99:AL99,0))))</f>
        <v/>
      </c>
      <c r="AN99" s="2" t="str">
        <f aca="false">IF($B99="","",COUNTIFS(Datos_problemas!$B:$B,$B99,Datos_problemas!$F:$F,"Práctica"))</f>
        <v/>
      </c>
      <c r="AO99" s="2" t="str">
        <f aca="false">IF($B99="","",SUMIFS(Datos_problemas!$AQ:$AQ,Datos_problemas!$B:$B,$B99,Datos_problemas!$F:$F,"Práctica"))</f>
        <v/>
      </c>
      <c r="AP99" s="2" t="str">
        <f aca="false">IF($B99="","",COUNTIFS(Datos_problemas!$B:$B,$B99,Datos_problemas!$F:$F,"Práctica",Datos_problemas!$AS:$AS,"Sí"))</f>
        <v/>
      </c>
    </row>
    <row r="100" customFormat="false" ht="15" hidden="false" customHeight="false" outlineLevel="0" collapsed="false">
      <c r="A100" s="2" t="n">
        <v>96</v>
      </c>
      <c r="B100" s="2" t="str">
        <f aca="false">IFERROR(INDEX(Datos_problemas!$B:$B,MATCH($A100,Datos_problemas!$AV:$AV,0)),"")</f>
        <v/>
      </c>
      <c r="C100" s="2" t="str">
        <f aca="false">IF($B100="","",INDEX(Datos_problemas!$C:$C,MATCH($A100,Datos_problemas!$AV:$AV,0)))</f>
        <v/>
      </c>
      <c r="D100" s="2" t="str">
        <f aca="false">IF($B100="","",INDEX(Datos_problemas!$D:$D,MATCH($A100,Datos_problemas!$AV:$AV,0)))</f>
        <v/>
      </c>
      <c r="E100" s="2" t="str">
        <f aca="false">IF($B100="","",COUNTIFS(Datos_problemas!$B:$B,$B100,Datos_problemas!$F:$F,"Evaluación"))</f>
        <v/>
      </c>
      <c r="F100" s="20" t="str">
        <f aca="false">IF($B100="","",IFERROR(AVERAGEIFS(Datos_problemas!$AE:$AE,Datos_problemas!$B:$B,$B100,Datos_problemas!$F:$F,"Evaluación"),""))</f>
        <v/>
      </c>
      <c r="G100" s="20" t="str">
        <f aca="false">IF($B100="","",IFERROR(AVERAGEIFS(Datos_problemas!$AE:$AE,Datos_problemas!$B:$B,$B100,Datos_problemas!$F:$F,"Evaluación",Datos_problemas!$E:$E,"Diagnóstico"),""))</f>
        <v/>
      </c>
      <c r="H100" s="20" t="str">
        <f aca="false">IF($B100="","",IFERROR(AVERAGEIFS(Datos_problemas!$AE:$AE,Datos_problemas!$B:$B,$B100,Datos_problemas!$F:$F,"Evaluación",Datos_problemas!$E:$E,"Final"),""))</f>
        <v/>
      </c>
      <c r="I100" s="21" t="str">
        <f aca="false">IF(OR(G100="",H100=""),"",IF(G100&gt;=10,"",(H100-G100)/(10-G100)))</f>
        <v/>
      </c>
      <c r="J100" s="18" t="str">
        <f aca="false">IF($B100="","",IFERROR(SUMIFS(Datos_items!$Z:$Z,Datos_items!$B:$B,$B100,Datos_items!$O:$O,J$4,Datos_items!$E:$E,Analisis_grupo!$C$4)/COUNTIFS(Datos_items!$B:$B,$B100,Datos_items!$O:$O,J$4,Datos_items!$E:$E,Analisis_grupo!$C$4),""))</f>
        <v/>
      </c>
      <c r="K100" s="18" t="str">
        <f aca="false">IF($B100="","",IFERROR(SUMIFS(Datos_items!$Z:$Z,Datos_items!$B:$B,$B100,Datos_items!$O:$O,K$4,Datos_items!$E:$E,Analisis_grupo!$C$4)/COUNTIFS(Datos_items!$B:$B,$B100,Datos_items!$O:$O,K$4,Datos_items!$E:$E,Analisis_grupo!$C$4),""))</f>
        <v/>
      </c>
      <c r="L100" s="18" t="str">
        <f aca="false">IF($B100="","",IFERROR(SUMIFS(Datos_items!$Z:$Z,Datos_items!$B:$B,$B100,Datos_items!$O:$O,L$4,Datos_items!$E:$E,Analisis_grupo!$C$4)/COUNTIFS(Datos_items!$B:$B,$B100,Datos_items!$O:$O,L$4,Datos_items!$E:$E,Analisis_grupo!$C$4),""))</f>
        <v/>
      </c>
      <c r="M100" s="18" t="str">
        <f aca="false">IF($B100="","",IFERROR(SUMIFS(Datos_items!$Z:$Z,Datos_items!$B:$B,$B100,Datos_items!$O:$O,M$4,Datos_items!$E:$E,Analisis_grupo!$C$4)/COUNTIFS(Datos_items!$B:$B,$B100,Datos_items!$O:$O,M$4,Datos_items!$E:$E,Analisis_grupo!$C$4),""))</f>
        <v/>
      </c>
      <c r="N100" s="18" t="str">
        <f aca="false">IF($B100="","",IFERROR(SUMIFS(Datos_items!$Z:$Z,Datos_items!$B:$B,$B100,Datos_items!$O:$O,N$4,Datos_items!$E:$E,Analisis_grupo!$C$4)/COUNTIFS(Datos_items!$B:$B,$B100,Datos_items!$O:$O,N$4,Datos_items!$E:$E,Analisis_grupo!$C$4),""))</f>
        <v/>
      </c>
      <c r="O100" s="18" t="str">
        <f aca="false">IF($B100="","",IFERROR(SUMIFS(Datos_items!$Z:$Z,Datos_items!$B:$B,$B100,Datos_items!$O:$O,O$4,Datos_items!$E:$E,Analisis_grupo!$C$4)/COUNTIFS(Datos_items!$B:$B,$B100,Datos_items!$O:$O,O$4,Datos_items!$E:$E,Analisis_grupo!$C$4),""))</f>
        <v/>
      </c>
      <c r="P100" s="18" t="str">
        <f aca="false">IF($B100="","",IFERROR(SUMIFS(Datos_items!$Z:$Z,Datos_items!$B:$B,$B100,Datos_items!$O:$O,P$4,Datos_items!$E:$E,Analisis_grupo!$C$4)/COUNTIFS(Datos_items!$B:$B,$B100,Datos_items!$O:$O,P$4,Datos_items!$E:$E,Analisis_grupo!$C$4),""))</f>
        <v/>
      </c>
      <c r="Q100" s="18" t="str">
        <f aca="false">IF($B100="","",IFERROR(SUMIFS(Datos_items!$Z:$Z,Datos_items!$B:$B,$B100,Datos_items!$O:$O,Q$4,Datos_items!$E:$E,Analisis_grupo!$C$4)/COUNTIFS(Datos_items!$B:$B,$B100,Datos_items!$O:$O,Q$4,Datos_items!$E:$E,Analisis_grupo!$C$4),""))</f>
        <v/>
      </c>
      <c r="R100" s="2" t="str">
        <f aca="false">IF(COUNT(J100:Q100)=0,"",IF(MIN(J100:Q100)&gt;=Analisis_grupo!$B$7,"(ninguna)",INDEX($J$4:$Q$4,MATCH(MIN(J100:Q100),J100:Q100,0))))</f>
        <v/>
      </c>
      <c r="S100" s="2" t="str">
        <f aca="false">IF($B100="","",COUNTIF(J100:Q100,"&lt;"&amp;Analisis_grupo!$B$7))</f>
        <v/>
      </c>
      <c r="T100" s="2" t="str">
        <f aca="false">IF($B100="","",COUNTIFS(Datos_items!$B:$B,$B100,Datos_items!$AA:$AA,T$4,Datos_items!$E:$E,Analisis_grupo!$C$4))</f>
        <v/>
      </c>
      <c r="U100" s="2" t="str">
        <f aca="false">IF($B100="","",COUNTIFS(Datos_items!$B:$B,$B100,Datos_items!$AA:$AA,U$4,Datos_items!$E:$E,Analisis_grupo!$C$4))</f>
        <v/>
      </c>
      <c r="V100" s="2" t="str">
        <f aca="false">IF($B100="","",COUNTIFS(Datos_items!$B:$B,$B100,Datos_items!$AA:$AA,V$4,Datos_items!$E:$E,Analisis_grupo!$C$4))</f>
        <v/>
      </c>
      <c r="W100" s="2" t="str">
        <f aca="false">IF($B100="","",COUNTIFS(Datos_items!$B:$B,$B100,Datos_items!$AA:$AA,W$4,Datos_items!$E:$E,Analisis_grupo!$C$4))</f>
        <v/>
      </c>
      <c r="X100" s="2" t="str">
        <f aca="false">IF($B100="","",COUNTIFS(Datos_items!$B:$B,$B100,Datos_items!$AA:$AA,X$4,Datos_items!$E:$E,Analisis_grupo!$C$4))</f>
        <v/>
      </c>
      <c r="Y100" s="2" t="str">
        <f aca="false">IF($B100="","",COUNTIFS(Datos_items!$B:$B,$B100,Datos_items!$AA:$AA,Y$4,Datos_items!$E:$E,Analisis_grupo!$C$4))</f>
        <v/>
      </c>
      <c r="Z100" s="2" t="str">
        <f aca="false">IF($B100="","",COUNTIFS(Datos_items!$B:$B,$B100,Datos_items!$AA:$AA,Z$4,Datos_items!$E:$E,Analisis_grupo!$C$4))</f>
        <v/>
      </c>
      <c r="AA100" s="2" t="str">
        <f aca="false">IF($B100="","",COUNTIFS(Datos_items!$B:$B,$B100,Datos_items!$AA:$AA,AA$4,Datos_items!$E:$E,Analisis_grupo!$C$4))</f>
        <v/>
      </c>
      <c r="AB100" s="2" t="str">
        <f aca="false">IF($B100="","",COUNTIFS(Datos_items!$B:$B,$B100,Datos_items!$AA:$AA,AB$4,Datos_items!$E:$E,Analisis_grupo!$C$4))</f>
        <v/>
      </c>
      <c r="AC100" s="2" t="str">
        <f aca="false">IF($B100="","",COUNTIFS(Datos_items!$B:$B,$B100,Datos_items!$AA:$AA,AC$4,Datos_items!$E:$E,Analisis_grupo!$C$4))</f>
        <v/>
      </c>
      <c r="AD100" s="2" t="str">
        <f aca="false">IF($B100="","",COUNTIFS(Datos_items!$B:$B,$B100,Datos_items!$AA:$AA,AD$4,Datos_items!$E:$E,Analisis_grupo!$C$4))</f>
        <v/>
      </c>
      <c r="AE100" s="2" t="str">
        <f aca="false">IF($B100="","",COUNTIFS(Datos_items!$B:$B,$B100,Datos_items!$AA:$AA,AE$4,Datos_items!$E:$E,Analisis_grupo!$C$4))</f>
        <v/>
      </c>
      <c r="AF100" s="2" t="str">
        <f aca="false">IF($B100="","",COUNTIFS(Datos_items!$B:$B,$B100,Datos_items!$AA:$AA,AF$4,Datos_items!$E:$E,Analisis_grupo!$C$4))</f>
        <v/>
      </c>
      <c r="AG100" s="2" t="str">
        <f aca="false">IF($B100="","",COUNTIFS(Datos_items!$B:$B,$B100,Datos_items!$AA:$AA,AG$4,Datos_items!$E:$E,Analisis_grupo!$C$4))</f>
        <v/>
      </c>
      <c r="AH100" s="2" t="str">
        <f aca="false">IF($B100="","",COUNTIFS(Datos_items!$B:$B,$B100,Datos_items!$AA:$AA,AH$4,Datos_items!$E:$E,Analisis_grupo!$C$4))</f>
        <v/>
      </c>
      <c r="AI100" s="2" t="str">
        <f aca="false">IF($B100="","",COUNTIFS(Datos_items!$B:$B,$B100,Datos_items!$AA:$AA,AI$4,Datos_items!$E:$E,Analisis_grupo!$C$4))</f>
        <v/>
      </c>
      <c r="AJ100" s="2" t="str">
        <f aca="false">IF($B100="","",COUNTIFS(Datos_items!$B:$B,$B100,Datos_items!$AA:$AA,AJ$4,Datos_items!$E:$E,Analisis_grupo!$C$4))</f>
        <v/>
      </c>
      <c r="AK100" s="2" t="str">
        <f aca="false">IF($B100="","",COUNTIFS(Datos_items!$B:$B,$B100,Datos_items!$AA:$AA,AK$4,Datos_items!$E:$E,Analisis_grupo!$C$4))</f>
        <v/>
      </c>
      <c r="AL100" s="2" t="str">
        <f aca="false">IF($B100="","",COUNTIFS(Datos_items!$B:$B,$B100,Datos_items!$AA:$AA,AL$4,Datos_items!$E:$E,Analisis_grupo!$C$4))</f>
        <v/>
      </c>
      <c r="AM100" s="2" t="str">
        <f aca="false">IF($B100="","",IF(MAX(Y100:AL100)=0,"",INDEX($Y$4:$AL$4,MATCH(MAX(Y100:AL100),Y100:AL100,0))))</f>
        <v/>
      </c>
      <c r="AN100" s="2" t="str">
        <f aca="false">IF($B100="","",COUNTIFS(Datos_problemas!$B:$B,$B100,Datos_problemas!$F:$F,"Práctica"))</f>
        <v/>
      </c>
      <c r="AO100" s="2" t="str">
        <f aca="false">IF($B100="","",SUMIFS(Datos_problemas!$AQ:$AQ,Datos_problemas!$B:$B,$B100,Datos_problemas!$F:$F,"Práctica"))</f>
        <v/>
      </c>
      <c r="AP100" s="2" t="str">
        <f aca="false">IF($B100="","",COUNTIFS(Datos_problemas!$B:$B,$B100,Datos_problemas!$F:$F,"Práctica",Datos_problemas!$AS:$AS,"Sí"))</f>
        <v/>
      </c>
    </row>
    <row r="101" customFormat="false" ht="15" hidden="false" customHeight="false" outlineLevel="0" collapsed="false">
      <c r="A101" s="2" t="n">
        <v>97</v>
      </c>
      <c r="B101" s="2" t="str">
        <f aca="false">IFERROR(INDEX(Datos_problemas!$B:$B,MATCH($A101,Datos_problemas!$AV:$AV,0)),"")</f>
        <v/>
      </c>
      <c r="C101" s="2" t="str">
        <f aca="false">IF($B101="","",INDEX(Datos_problemas!$C:$C,MATCH($A101,Datos_problemas!$AV:$AV,0)))</f>
        <v/>
      </c>
      <c r="D101" s="2" t="str">
        <f aca="false">IF($B101="","",INDEX(Datos_problemas!$D:$D,MATCH($A101,Datos_problemas!$AV:$AV,0)))</f>
        <v/>
      </c>
      <c r="E101" s="2" t="str">
        <f aca="false">IF($B101="","",COUNTIFS(Datos_problemas!$B:$B,$B101,Datos_problemas!$F:$F,"Evaluación"))</f>
        <v/>
      </c>
      <c r="F101" s="20" t="str">
        <f aca="false">IF($B101="","",IFERROR(AVERAGEIFS(Datos_problemas!$AE:$AE,Datos_problemas!$B:$B,$B101,Datos_problemas!$F:$F,"Evaluación"),""))</f>
        <v/>
      </c>
      <c r="G101" s="20" t="str">
        <f aca="false">IF($B101="","",IFERROR(AVERAGEIFS(Datos_problemas!$AE:$AE,Datos_problemas!$B:$B,$B101,Datos_problemas!$F:$F,"Evaluación",Datos_problemas!$E:$E,"Diagnóstico"),""))</f>
        <v/>
      </c>
      <c r="H101" s="20" t="str">
        <f aca="false">IF($B101="","",IFERROR(AVERAGEIFS(Datos_problemas!$AE:$AE,Datos_problemas!$B:$B,$B101,Datos_problemas!$F:$F,"Evaluación",Datos_problemas!$E:$E,"Final"),""))</f>
        <v/>
      </c>
      <c r="I101" s="21" t="str">
        <f aca="false">IF(OR(G101="",H101=""),"",IF(G101&gt;=10,"",(H101-G101)/(10-G101)))</f>
        <v/>
      </c>
      <c r="J101" s="18" t="str">
        <f aca="false">IF($B101="","",IFERROR(SUMIFS(Datos_items!$Z:$Z,Datos_items!$B:$B,$B101,Datos_items!$O:$O,J$4,Datos_items!$E:$E,Analisis_grupo!$C$4)/COUNTIFS(Datos_items!$B:$B,$B101,Datos_items!$O:$O,J$4,Datos_items!$E:$E,Analisis_grupo!$C$4),""))</f>
        <v/>
      </c>
      <c r="K101" s="18" t="str">
        <f aca="false">IF($B101="","",IFERROR(SUMIFS(Datos_items!$Z:$Z,Datos_items!$B:$B,$B101,Datos_items!$O:$O,K$4,Datos_items!$E:$E,Analisis_grupo!$C$4)/COUNTIFS(Datos_items!$B:$B,$B101,Datos_items!$O:$O,K$4,Datos_items!$E:$E,Analisis_grupo!$C$4),""))</f>
        <v/>
      </c>
      <c r="L101" s="18" t="str">
        <f aca="false">IF($B101="","",IFERROR(SUMIFS(Datos_items!$Z:$Z,Datos_items!$B:$B,$B101,Datos_items!$O:$O,L$4,Datos_items!$E:$E,Analisis_grupo!$C$4)/COUNTIFS(Datos_items!$B:$B,$B101,Datos_items!$O:$O,L$4,Datos_items!$E:$E,Analisis_grupo!$C$4),""))</f>
        <v/>
      </c>
      <c r="M101" s="18" t="str">
        <f aca="false">IF($B101="","",IFERROR(SUMIFS(Datos_items!$Z:$Z,Datos_items!$B:$B,$B101,Datos_items!$O:$O,M$4,Datos_items!$E:$E,Analisis_grupo!$C$4)/COUNTIFS(Datos_items!$B:$B,$B101,Datos_items!$O:$O,M$4,Datos_items!$E:$E,Analisis_grupo!$C$4),""))</f>
        <v/>
      </c>
      <c r="N101" s="18" t="str">
        <f aca="false">IF($B101="","",IFERROR(SUMIFS(Datos_items!$Z:$Z,Datos_items!$B:$B,$B101,Datos_items!$O:$O,N$4,Datos_items!$E:$E,Analisis_grupo!$C$4)/COUNTIFS(Datos_items!$B:$B,$B101,Datos_items!$O:$O,N$4,Datos_items!$E:$E,Analisis_grupo!$C$4),""))</f>
        <v/>
      </c>
      <c r="O101" s="18" t="str">
        <f aca="false">IF($B101="","",IFERROR(SUMIFS(Datos_items!$Z:$Z,Datos_items!$B:$B,$B101,Datos_items!$O:$O,O$4,Datos_items!$E:$E,Analisis_grupo!$C$4)/COUNTIFS(Datos_items!$B:$B,$B101,Datos_items!$O:$O,O$4,Datos_items!$E:$E,Analisis_grupo!$C$4),""))</f>
        <v/>
      </c>
      <c r="P101" s="18" t="str">
        <f aca="false">IF($B101="","",IFERROR(SUMIFS(Datos_items!$Z:$Z,Datos_items!$B:$B,$B101,Datos_items!$O:$O,P$4,Datos_items!$E:$E,Analisis_grupo!$C$4)/COUNTIFS(Datos_items!$B:$B,$B101,Datos_items!$O:$O,P$4,Datos_items!$E:$E,Analisis_grupo!$C$4),""))</f>
        <v/>
      </c>
      <c r="Q101" s="18" t="str">
        <f aca="false">IF($B101="","",IFERROR(SUMIFS(Datos_items!$Z:$Z,Datos_items!$B:$B,$B101,Datos_items!$O:$O,Q$4,Datos_items!$E:$E,Analisis_grupo!$C$4)/COUNTIFS(Datos_items!$B:$B,$B101,Datos_items!$O:$O,Q$4,Datos_items!$E:$E,Analisis_grupo!$C$4),""))</f>
        <v/>
      </c>
      <c r="R101" s="2" t="str">
        <f aca="false">IF(COUNT(J101:Q101)=0,"",IF(MIN(J101:Q101)&gt;=Analisis_grupo!$B$7,"(ninguna)",INDEX($J$4:$Q$4,MATCH(MIN(J101:Q101),J101:Q101,0))))</f>
        <v/>
      </c>
      <c r="S101" s="2" t="str">
        <f aca="false">IF($B101="","",COUNTIF(J101:Q101,"&lt;"&amp;Analisis_grupo!$B$7))</f>
        <v/>
      </c>
      <c r="T101" s="2" t="str">
        <f aca="false">IF($B101="","",COUNTIFS(Datos_items!$B:$B,$B101,Datos_items!$AA:$AA,T$4,Datos_items!$E:$E,Analisis_grupo!$C$4))</f>
        <v/>
      </c>
      <c r="U101" s="2" t="str">
        <f aca="false">IF($B101="","",COUNTIFS(Datos_items!$B:$B,$B101,Datos_items!$AA:$AA,U$4,Datos_items!$E:$E,Analisis_grupo!$C$4))</f>
        <v/>
      </c>
      <c r="V101" s="2" t="str">
        <f aca="false">IF($B101="","",COUNTIFS(Datos_items!$B:$B,$B101,Datos_items!$AA:$AA,V$4,Datos_items!$E:$E,Analisis_grupo!$C$4))</f>
        <v/>
      </c>
      <c r="W101" s="2" t="str">
        <f aca="false">IF($B101="","",COUNTIFS(Datos_items!$B:$B,$B101,Datos_items!$AA:$AA,W$4,Datos_items!$E:$E,Analisis_grupo!$C$4))</f>
        <v/>
      </c>
      <c r="X101" s="2" t="str">
        <f aca="false">IF($B101="","",COUNTIFS(Datos_items!$B:$B,$B101,Datos_items!$AA:$AA,X$4,Datos_items!$E:$E,Analisis_grupo!$C$4))</f>
        <v/>
      </c>
      <c r="Y101" s="2" t="str">
        <f aca="false">IF($B101="","",COUNTIFS(Datos_items!$B:$B,$B101,Datos_items!$AA:$AA,Y$4,Datos_items!$E:$E,Analisis_grupo!$C$4))</f>
        <v/>
      </c>
      <c r="Z101" s="2" t="str">
        <f aca="false">IF($B101="","",COUNTIFS(Datos_items!$B:$B,$B101,Datos_items!$AA:$AA,Z$4,Datos_items!$E:$E,Analisis_grupo!$C$4))</f>
        <v/>
      </c>
      <c r="AA101" s="2" t="str">
        <f aca="false">IF($B101="","",COUNTIFS(Datos_items!$B:$B,$B101,Datos_items!$AA:$AA,AA$4,Datos_items!$E:$E,Analisis_grupo!$C$4))</f>
        <v/>
      </c>
      <c r="AB101" s="2" t="str">
        <f aca="false">IF($B101="","",COUNTIFS(Datos_items!$B:$B,$B101,Datos_items!$AA:$AA,AB$4,Datos_items!$E:$E,Analisis_grupo!$C$4))</f>
        <v/>
      </c>
      <c r="AC101" s="2" t="str">
        <f aca="false">IF($B101="","",COUNTIFS(Datos_items!$B:$B,$B101,Datos_items!$AA:$AA,AC$4,Datos_items!$E:$E,Analisis_grupo!$C$4))</f>
        <v/>
      </c>
      <c r="AD101" s="2" t="str">
        <f aca="false">IF($B101="","",COUNTIFS(Datos_items!$B:$B,$B101,Datos_items!$AA:$AA,AD$4,Datos_items!$E:$E,Analisis_grupo!$C$4))</f>
        <v/>
      </c>
      <c r="AE101" s="2" t="str">
        <f aca="false">IF($B101="","",COUNTIFS(Datos_items!$B:$B,$B101,Datos_items!$AA:$AA,AE$4,Datos_items!$E:$E,Analisis_grupo!$C$4))</f>
        <v/>
      </c>
      <c r="AF101" s="2" t="str">
        <f aca="false">IF($B101="","",COUNTIFS(Datos_items!$B:$B,$B101,Datos_items!$AA:$AA,AF$4,Datos_items!$E:$E,Analisis_grupo!$C$4))</f>
        <v/>
      </c>
      <c r="AG101" s="2" t="str">
        <f aca="false">IF($B101="","",COUNTIFS(Datos_items!$B:$B,$B101,Datos_items!$AA:$AA,AG$4,Datos_items!$E:$E,Analisis_grupo!$C$4))</f>
        <v/>
      </c>
      <c r="AH101" s="2" t="str">
        <f aca="false">IF($B101="","",COUNTIFS(Datos_items!$B:$B,$B101,Datos_items!$AA:$AA,AH$4,Datos_items!$E:$E,Analisis_grupo!$C$4))</f>
        <v/>
      </c>
      <c r="AI101" s="2" t="str">
        <f aca="false">IF($B101="","",COUNTIFS(Datos_items!$B:$B,$B101,Datos_items!$AA:$AA,AI$4,Datos_items!$E:$E,Analisis_grupo!$C$4))</f>
        <v/>
      </c>
      <c r="AJ101" s="2" t="str">
        <f aca="false">IF($B101="","",COUNTIFS(Datos_items!$B:$B,$B101,Datos_items!$AA:$AA,AJ$4,Datos_items!$E:$E,Analisis_grupo!$C$4))</f>
        <v/>
      </c>
      <c r="AK101" s="2" t="str">
        <f aca="false">IF($B101="","",COUNTIFS(Datos_items!$B:$B,$B101,Datos_items!$AA:$AA,AK$4,Datos_items!$E:$E,Analisis_grupo!$C$4))</f>
        <v/>
      </c>
      <c r="AL101" s="2" t="str">
        <f aca="false">IF($B101="","",COUNTIFS(Datos_items!$B:$B,$B101,Datos_items!$AA:$AA,AL$4,Datos_items!$E:$E,Analisis_grupo!$C$4))</f>
        <v/>
      </c>
      <c r="AM101" s="2" t="str">
        <f aca="false">IF($B101="","",IF(MAX(Y101:AL101)=0,"",INDEX($Y$4:$AL$4,MATCH(MAX(Y101:AL101),Y101:AL101,0))))</f>
        <v/>
      </c>
      <c r="AN101" s="2" t="str">
        <f aca="false">IF($B101="","",COUNTIFS(Datos_problemas!$B:$B,$B101,Datos_problemas!$F:$F,"Práctica"))</f>
        <v/>
      </c>
      <c r="AO101" s="2" t="str">
        <f aca="false">IF($B101="","",SUMIFS(Datos_problemas!$AQ:$AQ,Datos_problemas!$B:$B,$B101,Datos_problemas!$F:$F,"Práctica"))</f>
        <v/>
      </c>
      <c r="AP101" s="2" t="str">
        <f aca="false">IF($B101="","",COUNTIFS(Datos_problemas!$B:$B,$B101,Datos_problemas!$F:$F,"Práctica",Datos_problemas!$AS:$AS,"Sí"))</f>
        <v/>
      </c>
    </row>
    <row r="102" customFormat="false" ht="15" hidden="false" customHeight="false" outlineLevel="0" collapsed="false">
      <c r="A102" s="2" t="n">
        <v>98</v>
      </c>
      <c r="B102" s="2" t="str">
        <f aca="false">IFERROR(INDEX(Datos_problemas!$B:$B,MATCH($A102,Datos_problemas!$AV:$AV,0)),"")</f>
        <v/>
      </c>
      <c r="C102" s="2" t="str">
        <f aca="false">IF($B102="","",INDEX(Datos_problemas!$C:$C,MATCH($A102,Datos_problemas!$AV:$AV,0)))</f>
        <v/>
      </c>
      <c r="D102" s="2" t="str">
        <f aca="false">IF($B102="","",INDEX(Datos_problemas!$D:$D,MATCH($A102,Datos_problemas!$AV:$AV,0)))</f>
        <v/>
      </c>
      <c r="E102" s="2" t="str">
        <f aca="false">IF($B102="","",COUNTIFS(Datos_problemas!$B:$B,$B102,Datos_problemas!$F:$F,"Evaluación"))</f>
        <v/>
      </c>
      <c r="F102" s="20" t="str">
        <f aca="false">IF($B102="","",IFERROR(AVERAGEIFS(Datos_problemas!$AE:$AE,Datos_problemas!$B:$B,$B102,Datos_problemas!$F:$F,"Evaluación"),""))</f>
        <v/>
      </c>
      <c r="G102" s="20" t="str">
        <f aca="false">IF($B102="","",IFERROR(AVERAGEIFS(Datos_problemas!$AE:$AE,Datos_problemas!$B:$B,$B102,Datos_problemas!$F:$F,"Evaluación",Datos_problemas!$E:$E,"Diagnóstico"),""))</f>
        <v/>
      </c>
      <c r="H102" s="20" t="str">
        <f aca="false">IF($B102="","",IFERROR(AVERAGEIFS(Datos_problemas!$AE:$AE,Datos_problemas!$B:$B,$B102,Datos_problemas!$F:$F,"Evaluación",Datos_problemas!$E:$E,"Final"),""))</f>
        <v/>
      </c>
      <c r="I102" s="21" t="str">
        <f aca="false">IF(OR(G102="",H102=""),"",IF(G102&gt;=10,"",(H102-G102)/(10-G102)))</f>
        <v/>
      </c>
      <c r="J102" s="18" t="str">
        <f aca="false">IF($B102="","",IFERROR(SUMIFS(Datos_items!$Z:$Z,Datos_items!$B:$B,$B102,Datos_items!$O:$O,J$4,Datos_items!$E:$E,Analisis_grupo!$C$4)/COUNTIFS(Datos_items!$B:$B,$B102,Datos_items!$O:$O,J$4,Datos_items!$E:$E,Analisis_grupo!$C$4),""))</f>
        <v/>
      </c>
      <c r="K102" s="18" t="str">
        <f aca="false">IF($B102="","",IFERROR(SUMIFS(Datos_items!$Z:$Z,Datos_items!$B:$B,$B102,Datos_items!$O:$O,K$4,Datos_items!$E:$E,Analisis_grupo!$C$4)/COUNTIFS(Datos_items!$B:$B,$B102,Datos_items!$O:$O,K$4,Datos_items!$E:$E,Analisis_grupo!$C$4),""))</f>
        <v/>
      </c>
      <c r="L102" s="18" t="str">
        <f aca="false">IF($B102="","",IFERROR(SUMIFS(Datos_items!$Z:$Z,Datos_items!$B:$B,$B102,Datos_items!$O:$O,L$4,Datos_items!$E:$E,Analisis_grupo!$C$4)/COUNTIFS(Datos_items!$B:$B,$B102,Datos_items!$O:$O,L$4,Datos_items!$E:$E,Analisis_grupo!$C$4),""))</f>
        <v/>
      </c>
      <c r="M102" s="18" t="str">
        <f aca="false">IF($B102="","",IFERROR(SUMIFS(Datos_items!$Z:$Z,Datos_items!$B:$B,$B102,Datos_items!$O:$O,M$4,Datos_items!$E:$E,Analisis_grupo!$C$4)/COUNTIFS(Datos_items!$B:$B,$B102,Datos_items!$O:$O,M$4,Datos_items!$E:$E,Analisis_grupo!$C$4),""))</f>
        <v/>
      </c>
      <c r="N102" s="18" t="str">
        <f aca="false">IF($B102="","",IFERROR(SUMIFS(Datos_items!$Z:$Z,Datos_items!$B:$B,$B102,Datos_items!$O:$O,N$4,Datos_items!$E:$E,Analisis_grupo!$C$4)/COUNTIFS(Datos_items!$B:$B,$B102,Datos_items!$O:$O,N$4,Datos_items!$E:$E,Analisis_grupo!$C$4),""))</f>
        <v/>
      </c>
      <c r="O102" s="18" t="str">
        <f aca="false">IF($B102="","",IFERROR(SUMIFS(Datos_items!$Z:$Z,Datos_items!$B:$B,$B102,Datos_items!$O:$O,O$4,Datos_items!$E:$E,Analisis_grupo!$C$4)/COUNTIFS(Datos_items!$B:$B,$B102,Datos_items!$O:$O,O$4,Datos_items!$E:$E,Analisis_grupo!$C$4),""))</f>
        <v/>
      </c>
      <c r="P102" s="18" t="str">
        <f aca="false">IF($B102="","",IFERROR(SUMIFS(Datos_items!$Z:$Z,Datos_items!$B:$B,$B102,Datos_items!$O:$O,P$4,Datos_items!$E:$E,Analisis_grupo!$C$4)/COUNTIFS(Datos_items!$B:$B,$B102,Datos_items!$O:$O,P$4,Datos_items!$E:$E,Analisis_grupo!$C$4),""))</f>
        <v/>
      </c>
      <c r="Q102" s="18" t="str">
        <f aca="false">IF($B102="","",IFERROR(SUMIFS(Datos_items!$Z:$Z,Datos_items!$B:$B,$B102,Datos_items!$O:$O,Q$4,Datos_items!$E:$E,Analisis_grupo!$C$4)/COUNTIFS(Datos_items!$B:$B,$B102,Datos_items!$O:$O,Q$4,Datos_items!$E:$E,Analisis_grupo!$C$4),""))</f>
        <v/>
      </c>
      <c r="R102" s="2" t="str">
        <f aca="false">IF(COUNT(J102:Q102)=0,"",IF(MIN(J102:Q102)&gt;=Analisis_grupo!$B$7,"(ninguna)",INDEX($J$4:$Q$4,MATCH(MIN(J102:Q102),J102:Q102,0))))</f>
        <v/>
      </c>
      <c r="S102" s="2" t="str">
        <f aca="false">IF($B102="","",COUNTIF(J102:Q102,"&lt;"&amp;Analisis_grupo!$B$7))</f>
        <v/>
      </c>
      <c r="T102" s="2" t="str">
        <f aca="false">IF($B102="","",COUNTIFS(Datos_items!$B:$B,$B102,Datos_items!$AA:$AA,T$4,Datos_items!$E:$E,Analisis_grupo!$C$4))</f>
        <v/>
      </c>
      <c r="U102" s="2" t="str">
        <f aca="false">IF($B102="","",COUNTIFS(Datos_items!$B:$B,$B102,Datos_items!$AA:$AA,U$4,Datos_items!$E:$E,Analisis_grupo!$C$4))</f>
        <v/>
      </c>
      <c r="V102" s="2" t="str">
        <f aca="false">IF($B102="","",COUNTIFS(Datos_items!$B:$B,$B102,Datos_items!$AA:$AA,V$4,Datos_items!$E:$E,Analisis_grupo!$C$4))</f>
        <v/>
      </c>
      <c r="W102" s="2" t="str">
        <f aca="false">IF($B102="","",COUNTIFS(Datos_items!$B:$B,$B102,Datos_items!$AA:$AA,W$4,Datos_items!$E:$E,Analisis_grupo!$C$4))</f>
        <v/>
      </c>
      <c r="X102" s="2" t="str">
        <f aca="false">IF($B102="","",COUNTIFS(Datos_items!$B:$B,$B102,Datos_items!$AA:$AA,X$4,Datos_items!$E:$E,Analisis_grupo!$C$4))</f>
        <v/>
      </c>
      <c r="Y102" s="2" t="str">
        <f aca="false">IF($B102="","",COUNTIFS(Datos_items!$B:$B,$B102,Datos_items!$AA:$AA,Y$4,Datos_items!$E:$E,Analisis_grupo!$C$4))</f>
        <v/>
      </c>
      <c r="Z102" s="2" t="str">
        <f aca="false">IF($B102="","",COUNTIFS(Datos_items!$B:$B,$B102,Datos_items!$AA:$AA,Z$4,Datos_items!$E:$E,Analisis_grupo!$C$4))</f>
        <v/>
      </c>
      <c r="AA102" s="2" t="str">
        <f aca="false">IF($B102="","",COUNTIFS(Datos_items!$B:$B,$B102,Datos_items!$AA:$AA,AA$4,Datos_items!$E:$E,Analisis_grupo!$C$4))</f>
        <v/>
      </c>
      <c r="AB102" s="2" t="str">
        <f aca="false">IF($B102="","",COUNTIFS(Datos_items!$B:$B,$B102,Datos_items!$AA:$AA,AB$4,Datos_items!$E:$E,Analisis_grupo!$C$4))</f>
        <v/>
      </c>
      <c r="AC102" s="2" t="str">
        <f aca="false">IF($B102="","",COUNTIFS(Datos_items!$B:$B,$B102,Datos_items!$AA:$AA,AC$4,Datos_items!$E:$E,Analisis_grupo!$C$4))</f>
        <v/>
      </c>
      <c r="AD102" s="2" t="str">
        <f aca="false">IF($B102="","",COUNTIFS(Datos_items!$B:$B,$B102,Datos_items!$AA:$AA,AD$4,Datos_items!$E:$E,Analisis_grupo!$C$4))</f>
        <v/>
      </c>
      <c r="AE102" s="2" t="str">
        <f aca="false">IF($B102="","",COUNTIFS(Datos_items!$B:$B,$B102,Datos_items!$AA:$AA,AE$4,Datos_items!$E:$E,Analisis_grupo!$C$4))</f>
        <v/>
      </c>
      <c r="AF102" s="2" t="str">
        <f aca="false">IF($B102="","",COUNTIFS(Datos_items!$B:$B,$B102,Datos_items!$AA:$AA,AF$4,Datos_items!$E:$E,Analisis_grupo!$C$4))</f>
        <v/>
      </c>
      <c r="AG102" s="2" t="str">
        <f aca="false">IF($B102="","",COUNTIFS(Datos_items!$B:$B,$B102,Datos_items!$AA:$AA,AG$4,Datos_items!$E:$E,Analisis_grupo!$C$4))</f>
        <v/>
      </c>
      <c r="AH102" s="2" t="str">
        <f aca="false">IF($B102="","",COUNTIFS(Datos_items!$B:$B,$B102,Datos_items!$AA:$AA,AH$4,Datos_items!$E:$E,Analisis_grupo!$C$4))</f>
        <v/>
      </c>
      <c r="AI102" s="2" t="str">
        <f aca="false">IF($B102="","",COUNTIFS(Datos_items!$B:$B,$B102,Datos_items!$AA:$AA,AI$4,Datos_items!$E:$E,Analisis_grupo!$C$4))</f>
        <v/>
      </c>
      <c r="AJ102" s="2" t="str">
        <f aca="false">IF($B102="","",COUNTIFS(Datos_items!$B:$B,$B102,Datos_items!$AA:$AA,AJ$4,Datos_items!$E:$E,Analisis_grupo!$C$4))</f>
        <v/>
      </c>
      <c r="AK102" s="2" t="str">
        <f aca="false">IF($B102="","",COUNTIFS(Datos_items!$B:$B,$B102,Datos_items!$AA:$AA,AK$4,Datos_items!$E:$E,Analisis_grupo!$C$4))</f>
        <v/>
      </c>
      <c r="AL102" s="2" t="str">
        <f aca="false">IF($B102="","",COUNTIFS(Datos_items!$B:$B,$B102,Datos_items!$AA:$AA,AL$4,Datos_items!$E:$E,Analisis_grupo!$C$4))</f>
        <v/>
      </c>
      <c r="AM102" s="2" t="str">
        <f aca="false">IF($B102="","",IF(MAX(Y102:AL102)=0,"",INDEX($Y$4:$AL$4,MATCH(MAX(Y102:AL102),Y102:AL102,0))))</f>
        <v/>
      </c>
      <c r="AN102" s="2" t="str">
        <f aca="false">IF($B102="","",COUNTIFS(Datos_problemas!$B:$B,$B102,Datos_problemas!$F:$F,"Práctica"))</f>
        <v/>
      </c>
      <c r="AO102" s="2" t="str">
        <f aca="false">IF($B102="","",SUMIFS(Datos_problemas!$AQ:$AQ,Datos_problemas!$B:$B,$B102,Datos_problemas!$F:$F,"Práctica"))</f>
        <v/>
      </c>
      <c r="AP102" s="2" t="str">
        <f aca="false">IF($B102="","",COUNTIFS(Datos_problemas!$B:$B,$B102,Datos_problemas!$F:$F,"Práctica",Datos_problemas!$AS:$AS,"Sí"))</f>
        <v/>
      </c>
    </row>
    <row r="103" customFormat="false" ht="15" hidden="false" customHeight="false" outlineLevel="0" collapsed="false">
      <c r="A103" s="2" t="n">
        <v>99</v>
      </c>
      <c r="B103" s="2" t="str">
        <f aca="false">IFERROR(INDEX(Datos_problemas!$B:$B,MATCH($A103,Datos_problemas!$AV:$AV,0)),"")</f>
        <v/>
      </c>
      <c r="C103" s="2" t="str">
        <f aca="false">IF($B103="","",INDEX(Datos_problemas!$C:$C,MATCH($A103,Datos_problemas!$AV:$AV,0)))</f>
        <v/>
      </c>
      <c r="D103" s="2" t="str">
        <f aca="false">IF($B103="","",INDEX(Datos_problemas!$D:$D,MATCH($A103,Datos_problemas!$AV:$AV,0)))</f>
        <v/>
      </c>
      <c r="E103" s="2" t="str">
        <f aca="false">IF($B103="","",COUNTIFS(Datos_problemas!$B:$B,$B103,Datos_problemas!$F:$F,"Evaluación"))</f>
        <v/>
      </c>
      <c r="F103" s="20" t="str">
        <f aca="false">IF($B103="","",IFERROR(AVERAGEIFS(Datos_problemas!$AE:$AE,Datos_problemas!$B:$B,$B103,Datos_problemas!$F:$F,"Evaluación"),""))</f>
        <v/>
      </c>
      <c r="G103" s="20" t="str">
        <f aca="false">IF($B103="","",IFERROR(AVERAGEIFS(Datos_problemas!$AE:$AE,Datos_problemas!$B:$B,$B103,Datos_problemas!$F:$F,"Evaluación",Datos_problemas!$E:$E,"Diagnóstico"),""))</f>
        <v/>
      </c>
      <c r="H103" s="20" t="str">
        <f aca="false">IF($B103="","",IFERROR(AVERAGEIFS(Datos_problemas!$AE:$AE,Datos_problemas!$B:$B,$B103,Datos_problemas!$F:$F,"Evaluación",Datos_problemas!$E:$E,"Final"),""))</f>
        <v/>
      </c>
      <c r="I103" s="21" t="str">
        <f aca="false">IF(OR(G103="",H103=""),"",IF(G103&gt;=10,"",(H103-G103)/(10-G103)))</f>
        <v/>
      </c>
      <c r="J103" s="18" t="str">
        <f aca="false">IF($B103="","",IFERROR(SUMIFS(Datos_items!$Z:$Z,Datos_items!$B:$B,$B103,Datos_items!$O:$O,J$4,Datos_items!$E:$E,Analisis_grupo!$C$4)/COUNTIFS(Datos_items!$B:$B,$B103,Datos_items!$O:$O,J$4,Datos_items!$E:$E,Analisis_grupo!$C$4),""))</f>
        <v/>
      </c>
      <c r="K103" s="18" t="str">
        <f aca="false">IF($B103="","",IFERROR(SUMIFS(Datos_items!$Z:$Z,Datos_items!$B:$B,$B103,Datos_items!$O:$O,K$4,Datos_items!$E:$E,Analisis_grupo!$C$4)/COUNTIFS(Datos_items!$B:$B,$B103,Datos_items!$O:$O,K$4,Datos_items!$E:$E,Analisis_grupo!$C$4),""))</f>
        <v/>
      </c>
      <c r="L103" s="18" t="str">
        <f aca="false">IF($B103="","",IFERROR(SUMIFS(Datos_items!$Z:$Z,Datos_items!$B:$B,$B103,Datos_items!$O:$O,L$4,Datos_items!$E:$E,Analisis_grupo!$C$4)/COUNTIFS(Datos_items!$B:$B,$B103,Datos_items!$O:$O,L$4,Datos_items!$E:$E,Analisis_grupo!$C$4),""))</f>
        <v/>
      </c>
      <c r="M103" s="18" t="str">
        <f aca="false">IF($B103="","",IFERROR(SUMIFS(Datos_items!$Z:$Z,Datos_items!$B:$B,$B103,Datos_items!$O:$O,M$4,Datos_items!$E:$E,Analisis_grupo!$C$4)/COUNTIFS(Datos_items!$B:$B,$B103,Datos_items!$O:$O,M$4,Datos_items!$E:$E,Analisis_grupo!$C$4),""))</f>
        <v/>
      </c>
      <c r="N103" s="18" t="str">
        <f aca="false">IF($B103="","",IFERROR(SUMIFS(Datos_items!$Z:$Z,Datos_items!$B:$B,$B103,Datos_items!$O:$O,N$4,Datos_items!$E:$E,Analisis_grupo!$C$4)/COUNTIFS(Datos_items!$B:$B,$B103,Datos_items!$O:$O,N$4,Datos_items!$E:$E,Analisis_grupo!$C$4),""))</f>
        <v/>
      </c>
      <c r="O103" s="18" t="str">
        <f aca="false">IF($B103="","",IFERROR(SUMIFS(Datos_items!$Z:$Z,Datos_items!$B:$B,$B103,Datos_items!$O:$O,O$4,Datos_items!$E:$E,Analisis_grupo!$C$4)/COUNTIFS(Datos_items!$B:$B,$B103,Datos_items!$O:$O,O$4,Datos_items!$E:$E,Analisis_grupo!$C$4),""))</f>
        <v/>
      </c>
      <c r="P103" s="18" t="str">
        <f aca="false">IF($B103="","",IFERROR(SUMIFS(Datos_items!$Z:$Z,Datos_items!$B:$B,$B103,Datos_items!$O:$O,P$4,Datos_items!$E:$E,Analisis_grupo!$C$4)/COUNTIFS(Datos_items!$B:$B,$B103,Datos_items!$O:$O,P$4,Datos_items!$E:$E,Analisis_grupo!$C$4),""))</f>
        <v/>
      </c>
      <c r="Q103" s="18" t="str">
        <f aca="false">IF($B103="","",IFERROR(SUMIFS(Datos_items!$Z:$Z,Datos_items!$B:$B,$B103,Datos_items!$O:$O,Q$4,Datos_items!$E:$E,Analisis_grupo!$C$4)/COUNTIFS(Datos_items!$B:$B,$B103,Datos_items!$O:$O,Q$4,Datos_items!$E:$E,Analisis_grupo!$C$4),""))</f>
        <v/>
      </c>
      <c r="R103" s="2" t="str">
        <f aca="false">IF(COUNT(J103:Q103)=0,"",IF(MIN(J103:Q103)&gt;=Analisis_grupo!$B$7,"(ninguna)",INDEX($J$4:$Q$4,MATCH(MIN(J103:Q103),J103:Q103,0))))</f>
        <v/>
      </c>
      <c r="S103" s="2" t="str">
        <f aca="false">IF($B103="","",COUNTIF(J103:Q103,"&lt;"&amp;Analisis_grupo!$B$7))</f>
        <v/>
      </c>
      <c r="T103" s="2" t="str">
        <f aca="false">IF($B103="","",COUNTIFS(Datos_items!$B:$B,$B103,Datos_items!$AA:$AA,T$4,Datos_items!$E:$E,Analisis_grupo!$C$4))</f>
        <v/>
      </c>
      <c r="U103" s="2" t="str">
        <f aca="false">IF($B103="","",COUNTIFS(Datos_items!$B:$B,$B103,Datos_items!$AA:$AA,U$4,Datos_items!$E:$E,Analisis_grupo!$C$4))</f>
        <v/>
      </c>
      <c r="V103" s="2" t="str">
        <f aca="false">IF($B103="","",COUNTIFS(Datos_items!$B:$B,$B103,Datos_items!$AA:$AA,V$4,Datos_items!$E:$E,Analisis_grupo!$C$4))</f>
        <v/>
      </c>
      <c r="W103" s="2" t="str">
        <f aca="false">IF($B103="","",COUNTIFS(Datos_items!$B:$B,$B103,Datos_items!$AA:$AA,W$4,Datos_items!$E:$E,Analisis_grupo!$C$4))</f>
        <v/>
      </c>
      <c r="X103" s="2" t="str">
        <f aca="false">IF($B103="","",COUNTIFS(Datos_items!$B:$B,$B103,Datos_items!$AA:$AA,X$4,Datos_items!$E:$E,Analisis_grupo!$C$4))</f>
        <v/>
      </c>
      <c r="Y103" s="2" t="str">
        <f aca="false">IF($B103="","",COUNTIFS(Datos_items!$B:$B,$B103,Datos_items!$AA:$AA,Y$4,Datos_items!$E:$E,Analisis_grupo!$C$4))</f>
        <v/>
      </c>
      <c r="Z103" s="2" t="str">
        <f aca="false">IF($B103="","",COUNTIFS(Datos_items!$B:$B,$B103,Datos_items!$AA:$AA,Z$4,Datos_items!$E:$E,Analisis_grupo!$C$4))</f>
        <v/>
      </c>
      <c r="AA103" s="2" t="str">
        <f aca="false">IF($B103="","",COUNTIFS(Datos_items!$B:$B,$B103,Datos_items!$AA:$AA,AA$4,Datos_items!$E:$E,Analisis_grupo!$C$4))</f>
        <v/>
      </c>
      <c r="AB103" s="2" t="str">
        <f aca="false">IF($B103="","",COUNTIFS(Datos_items!$B:$B,$B103,Datos_items!$AA:$AA,AB$4,Datos_items!$E:$E,Analisis_grupo!$C$4))</f>
        <v/>
      </c>
      <c r="AC103" s="2" t="str">
        <f aca="false">IF($B103="","",COUNTIFS(Datos_items!$B:$B,$B103,Datos_items!$AA:$AA,AC$4,Datos_items!$E:$E,Analisis_grupo!$C$4))</f>
        <v/>
      </c>
      <c r="AD103" s="2" t="str">
        <f aca="false">IF($B103="","",COUNTIFS(Datos_items!$B:$B,$B103,Datos_items!$AA:$AA,AD$4,Datos_items!$E:$E,Analisis_grupo!$C$4))</f>
        <v/>
      </c>
      <c r="AE103" s="2" t="str">
        <f aca="false">IF($B103="","",COUNTIFS(Datos_items!$B:$B,$B103,Datos_items!$AA:$AA,AE$4,Datos_items!$E:$E,Analisis_grupo!$C$4))</f>
        <v/>
      </c>
      <c r="AF103" s="2" t="str">
        <f aca="false">IF($B103="","",COUNTIFS(Datos_items!$B:$B,$B103,Datos_items!$AA:$AA,AF$4,Datos_items!$E:$E,Analisis_grupo!$C$4))</f>
        <v/>
      </c>
      <c r="AG103" s="2" t="str">
        <f aca="false">IF($B103="","",COUNTIFS(Datos_items!$B:$B,$B103,Datos_items!$AA:$AA,AG$4,Datos_items!$E:$E,Analisis_grupo!$C$4))</f>
        <v/>
      </c>
      <c r="AH103" s="2" t="str">
        <f aca="false">IF($B103="","",COUNTIFS(Datos_items!$B:$B,$B103,Datos_items!$AA:$AA,AH$4,Datos_items!$E:$E,Analisis_grupo!$C$4))</f>
        <v/>
      </c>
      <c r="AI103" s="2" t="str">
        <f aca="false">IF($B103="","",COUNTIFS(Datos_items!$B:$B,$B103,Datos_items!$AA:$AA,AI$4,Datos_items!$E:$E,Analisis_grupo!$C$4))</f>
        <v/>
      </c>
      <c r="AJ103" s="2" t="str">
        <f aca="false">IF($B103="","",COUNTIFS(Datos_items!$B:$B,$B103,Datos_items!$AA:$AA,AJ$4,Datos_items!$E:$E,Analisis_grupo!$C$4))</f>
        <v/>
      </c>
      <c r="AK103" s="2" t="str">
        <f aca="false">IF($B103="","",COUNTIFS(Datos_items!$B:$B,$B103,Datos_items!$AA:$AA,AK$4,Datos_items!$E:$E,Analisis_grupo!$C$4))</f>
        <v/>
      </c>
      <c r="AL103" s="2" t="str">
        <f aca="false">IF($B103="","",COUNTIFS(Datos_items!$B:$B,$B103,Datos_items!$AA:$AA,AL$4,Datos_items!$E:$E,Analisis_grupo!$C$4))</f>
        <v/>
      </c>
      <c r="AM103" s="2" t="str">
        <f aca="false">IF($B103="","",IF(MAX(Y103:AL103)=0,"",INDEX($Y$4:$AL$4,MATCH(MAX(Y103:AL103),Y103:AL103,0))))</f>
        <v/>
      </c>
      <c r="AN103" s="2" t="str">
        <f aca="false">IF($B103="","",COUNTIFS(Datos_problemas!$B:$B,$B103,Datos_problemas!$F:$F,"Práctica"))</f>
        <v/>
      </c>
      <c r="AO103" s="2" t="str">
        <f aca="false">IF($B103="","",SUMIFS(Datos_problemas!$AQ:$AQ,Datos_problemas!$B:$B,$B103,Datos_problemas!$F:$F,"Práctica"))</f>
        <v/>
      </c>
      <c r="AP103" s="2" t="str">
        <f aca="false">IF($B103="","",COUNTIFS(Datos_problemas!$B:$B,$B103,Datos_problemas!$F:$F,"Práctica",Datos_problemas!$AS:$AS,"Sí"))</f>
        <v/>
      </c>
    </row>
    <row r="104" customFormat="false" ht="15" hidden="false" customHeight="false" outlineLevel="0" collapsed="false">
      <c r="A104" s="2" t="n">
        <v>100</v>
      </c>
      <c r="B104" s="2" t="str">
        <f aca="false">IFERROR(INDEX(Datos_problemas!$B:$B,MATCH($A104,Datos_problemas!$AV:$AV,0)),"")</f>
        <v/>
      </c>
      <c r="C104" s="2" t="str">
        <f aca="false">IF($B104="","",INDEX(Datos_problemas!$C:$C,MATCH($A104,Datos_problemas!$AV:$AV,0)))</f>
        <v/>
      </c>
      <c r="D104" s="2" t="str">
        <f aca="false">IF($B104="","",INDEX(Datos_problemas!$D:$D,MATCH($A104,Datos_problemas!$AV:$AV,0)))</f>
        <v/>
      </c>
      <c r="E104" s="2" t="str">
        <f aca="false">IF($B104="","",COUNTIFS(Datos_problemas!$B:$B,$B104,Datos_problemas!$F:$F,"Evaluación"))</f>
        <v/>
      </c>
      <c r="F104" s="20" t="str">
        <f aca="false">IF($B104="","",IFERROR(AVERAGEIFS(Datos_problemas!$AE:$AE,Datos_problemas!$B:$B,$B104,Datos_problemas!$F:$F,"Evaluación"),""))</f>
        <v/>
      </c>
      <c r="G104" s="20" t="str">
        <f aca="false">IF($B104="","",IFERROR(AVERAGEIFS(Datos_problemas!$AE:$AE,Datos_problemas!$B:$B,$B104,Datos_problemas!$F:$F,"Evaluación",Datos_problemas!$E:$E,"Diagnóstico"),""))</f>
        <v/>
      </c>
      <c r="H104" s="20" t="str">
        <f aca="false">IF($B104="","",IFERROR(AVERAGEIFS(Datos_problemas!$AE:$AE,Datos_problemas!$B:$B,$B104,Datos_problemas!$F:$F,"Evaluación",Datos_problemas!$E:$E,"Final"),""))</f>
        <v/>
      </c>
      <c r="I104" s="21" t="str">
        <f aca="false">IF(OR(G104="",H104=""),"",IF(G104&gt;=10,"",(H104-G104)/(10-G104)))</f>
        <v/>
      </c>
      <c r="J104" s="18" t="str">
        <f aca="false">IF($B104="","",IFERROR(SUMIFS(Datos_items!$Z:$Z,Datos_items!$B:$B,$B104,Datos_items!$O:$O,J$4,Datos_items!$E:$E,Analisis_grupo!$C$4)/COUNTIFS(Datos_items!$B:$B,$B104,Datos_items!$O:$O,J$4,Datos_items!$E:$E,Analisis_grupo!$C$4),""))</f>
        <v/>
      </c>
      <c r="K104" s="18" t="str">
        <f aca="false">IF($B104="","",IFERROR(SUMIFS(Datos_items!$Z:$Z,Datos_items!$B:$B,$B104,Datos_items!$O:$O,K$4,Datos_items!$E:$E,Analisis_grupo!$C$4)/COUNTIFS(Datos_items!$B:$B,$B104,Datos_items!$O:$O,K$4,Datos_items!$E:$E,Analisis_grupo!$C$4),""))</f>
        <v/>
      </c>
      <c r="L104" s="18" t="str">
        <f aca="false">IF($B104="","",IFERROR(SUMIFS(Datos_items!$Z:$Z,Datos_items!$B:$B,$B104,Datos_items!$O:$O,L$4,Datos_items!$E:$E,Analisis_grupo!$C$4)/COUNTIFS(Datos_items!$B:$B,$B104,Datos_items!$O:$O,L$4,Datos_items!$E:$E,Analisis_grupo!$C$4),""))</f>
        <v/>
      </c>
      <c r="M104" s="18" t="str">
        <f aca="false">IF($B104="","",IFERROR(SUMIFS(Datos_items!$Z:$Z,Datos_items!$B:$B,$B104,Datos_items!$O:$O,M$4,Datos_items!$E:$E,Analisis_grupo!$C$4)/COUNTIFS(Datos_items!$B:$B,$B104,Datos_items!$O:$O,M$4,Datos_items!$E:$E,Analisis_grupo!$C$4),""))</f>
        <v/>
      </c>
      <c r="N104" s="18" t="str">
        <f aca="false">IF($B104="","",IFERROR(SUMIFS(Datos_items!$Z:$Z,Datos_items!$B:$B,$B104,Datos_items!$O:$O,N$4,Datos_items!$E:$E,Analisis_grupo!$C$4)/COUNTIFS(Datos_items!$B:$B,$B104,Datos_items!$O:$O,N$4,Datos_items!$E:$E,Analisis_grupo!$C$4),""))</f>
        <v/>
      </c>
      <c r="O104" s="18" t="str">
        <f aca="false">IF($B104="","",IFERROR(SUMIFS(Datos_items!$Z:$Z,Datos_items!$B:$B,$B104,Datos_items!$O:$O,O$4,Datos_items!$E:$E,Analisis_grupo!$C$4)/COUNTIFS(Datos_items!$B:$B,$B104,Datos_items!$O:$O,O$4,Datos_items!$E:$E,Analisis_grupo!$C$4),""))</f>
        <v/>
      </c>
      <c r="P104" s="18" t="str">
        <f aca="false">IF($B104="","",IFERROR(SUMIFS(Datos_items!$Z:$Z,Datos_items!$B:$B,$B104,Datos_items!$O:$O,P$4,Datos_items!$E:$E,Analisis_grupo!$C$4)/COUNTIFS(Datos_items!$B:$B,$B104,Datos_items!$O:$O,P$4,Datos_items!$E:$E,Analisis_grupo!$C$4),""))</f>
        <v/>
      </c>
      <c r="Q104" s="18" t="str">
        <f aca="false">IF($B104="","",IFERROR(SUMIFS(Datos_items!$Z:$Z,Datos_items!$B:$B,$B104,Datos_items!$O:$O,Q$4,Datos_items!$E:$E,Analisis_grupo!$C$4)/COUNTIFS(Datos_items!$B:$B,$B104,Datos_items!$O:$O,Q$4,Datos_items!$E:$E,Analisis_grupo!$C$4),""))</f>
        <v/>
      </c>
      <c r="R104" s="2" t="str">
        <f aca="false">IF(COUNT(J104:Q104)=0,"",IF(MIN(J104:Q104)&gt;=Analisis_grupo!$B$7,"(ninguna)",INDEX($J$4:$Q$4,MATCH(MIN(J104:Q104),J104:Q104,0))))</f>
        <v/>
      </c>
      <c r="S104" s="2" t="str">
        <f aca="false">IF($B104="","",COUNTIF(J104:Q104,"&lt;"&amp;Analisis_grupo!$B$7))</f>
        <v/>
      </c>
      <c r="T104" s="2" t="str">
        <f aca="false">IF($B104="","",COUNTIFS(Datos_items!$B:$B,$B104,Datos_items!$AA:$AA,T$4,Datos_items!$E:$E,Analisis_grupo!$C$4))</f>
        <v/>
      </c>
      <c r="U104" s="2" t="str">
        <f aca="false">IF($B104="","",COUNTIFS(Datos_items!$B:$B,$B104,Datos_items!$AA:$AA,U$4,Datos_items!$E:$E,Analisis_grupo!$C$4))</f>
        <v/>
      </c>
      <c r="V104" s="2" t="str">
        <f aca="false">IF($B104="","",COUNTIFS(Datos_items!$B:$B,$B104,Datos_items!$AA:$AA,V$4,Datos_items!$E:$E,Analisis_grupo!$C$4))</f>
        <v/>
      </c>
      <c r="W104" s="2" t="str">
        <f aca="false">IF($B104="","",COUNTIFS(Datos_items!$B:$B,$B104,Datos_items!$AA:$AA,W$4,Datos_items!$E:$E,Analisis_grupo!$C$4))</f>
        <v/>
      </c>
      <c r="X104" s="2" t="str">
        <f aca="false">IF($B104="","",COUNTIFS(Datos_items!$B:$B,$B104,Datos_items!$AA:$AA,X$4,Datos_items!$E:$E,Analisis_grupo!$C$4))</f>
        <v/>
      </c>
      <c r="Y104" s="2" t="str">
        <f aca="false">IF($B104="","",COUNTIFS(Datos_items!$B:$B,$B104,Datos_items!$AA:$AA,Y$4,Datos_items!$E:$E,Analisis_grupo!$C$4))</f>
        <v/>
      </c>
      <c r="Z104" s="2" t="str">
        <f aca="false">IF($B104="","",COUNTIFS(Datos_items!$B:$B,$B104,Datos_items!$AA:$AA,Z$4,Datos_items!$E:$E,Analisis_grupo!$C$4))</f>
        <v/>
      </c>
      <c r="AA104" s="2" t="str">
        <f aca="false">IF($B104="","",COUNTIFS(Datos_items!$B:$B,$B104,Datos_items!$AA:$AA,AA$4,Datos_items!$E:$E,Analisis_grupo!$C$4))</f>
        <v/>
      </c>
      <c r="AB104" s="2" t="str">
        <f aca="false">IF($B104="","",COUNTIFS(Datos_items!$B:$B,$B104,Datos_items!$AA:$AA,AB$4,Datos_items!$E:$E,Analisis_grupo!$C$4))</f>
        <v/>
      </c>
      <c r="AC104" s="2" t="str">
        <f aca="false">IF($B104="","",COUNTIFS(Datos_items!$B:$B,$B104,Datos_items!$AA:$AA,AC$4,Datos_items!$E:$E,Analisis_grupo!$C$4))</f>
        <v/>
      </c>
      <c r="AD104" s="2" t="str">
        <f aca="false">IF($B104="","",COUNTIFS(Datos_items!$B:$B,$B104,Datos_items!$AA:$AA,AD$4,Datos_items!$E:$E,Analisis_grupo!$C$4))</f>
        <v/>
      </c>
      <c r="AE104" s="2" t="str">
        <f aca="false">IF($B104="","",COUNTIFS(Datos_items!$B:$B,$B104,Datos_items!$AA:$AA,AE$4,Datos_items!$E:$E,Analisis_grupo!$C$4))</f>
        <v/>
      </c>
      <c r="AF104" s="2" t="str">
        <f aca="false">IF($B104="","",COUNTIFS(Datos_items!$B:$B,$B104,Datos_items!$AA:$AA,AF$4,Datos_items!$E:$E,Analisis_grupo!$C$4))</f>
        <v/>
      </c>
      <c r="AG104" s="2" t="str">
        <f aca="false">IF($B104="","",COUNTIFS(Datos_items!$B:$B,$B104,Datos_items!$AA:$AA,AG$4,Datos_items!$E:$E,Analisis_grupo!$C$4))</f>
        <v/>
      </c>
      <c r="AH104" s="2" t="str">
        <f aca="false">IF($B104="","",COUNTIFS(Datos_items!$B:$B,$B104,Datos_items!$AA:$AA,AH$4,Datos_items!$E:$E,Analisis_grupo!$C$4))</f>
        <v/>
      </c>
      <c r="AI104" s="2" t="str">
        <f aca="false">IF($B104="","",COUNTIFS(Datos_items!$B:$B,$B104,Datos_items!$AA:$AA,AI$4,Datos_items!$E:$E,Analisis_grupo!$C$4))</f>
        <v/>
      </c>
      <c r="AJ104" s="2" t="str">
        <f aca="false">IF($B104="","",COUNTIFS(Datos_items!$B:$B,$B104,Datos_items!$AA:$AA,AJ$4,Datos_items!$E:$E,Analisis_grupo!$C$4))</f>
        <v/>
      </c>
      <c r="AK104" s="2" t="str">
        <f aca="false">IF($B104="","",COUNTIFS(Datos_items!$B:$B,$B104,Datos_items!$AA:$AA,AK$4,Datos_items!$E:$E,Analisis_grupo!$C$4))</f>
        <v/>
      </c>
      <c r="AL104" s="2" t="str">
        <f aca="false">IF($B104="","",COUNTIFS(Datos_items!$B:$B,$B104,Datos_items!$AA:$AA,AL$4,Datos_items!$E:$E,Analisis_grupo!$C$4))</f>
        <v/>
      </c>
      <c r="AM104" s="2" t="str">
        <f aca="false">IF($B104="","",IF(MAX(Y104:AL104)=0,"",INDEX($Y$4:$AL$4,MATCH(MAX(Y104:AL104),Y104:AL104,0))))</f>
        <v/>
      </c>
      <c r="AN104" s="2" t="str">
        <f aca="false">IF($B104="","",COUNTIFS(Datos_problemas!$B:$B,$B104,Datos_problemas!$F:$F,"Práctica"))</f>
        <v/>
      </c>
      <c r="AO104" s="2" t="str">
        <f aca="false">IF($B104="","",SUMIFS(Datos_problemas!$AQ:$AQ,Datos_problemas!$B:$B,$B104,Datos_problemas!$F:$F,"Práctica"))</f>
        <v/>
      </c>
      <c r="AP104" s="2" t="str">
        <f aca="false">IF($B104="","",COUNTIFS(Datos_problemas!$B:$B,$B104,Datos_problemas!$F:$F,"Práctica",Datos_problemas!$AS:$AS,"Sí"))</f>
        <v/>
      </c>
    </row>
    <row r="105" customFormat="false" ht="15" hidden="false" customHeight="false" outlineLevel="0" collapsed="false">
      <c r="A105" s="2" t="n">
        <v>101</v>
      </c>
      <c r="B105" s="2" t="str">
        <f aca="false">IFERROR(INDEX(Datos_problemas!$B:$B,MATCH($A105,Datos_problemas!$AV:$AV,0)),"")</f>
        <v/>
      </c>
      <c r="C105" s="2" t="str">
        <f aca="false">IF($B105="","",INDEX(Datos_problemas!$C:$C,MATCH($A105,Datos_problemas!$AV:$AV,0)))</f>
        <v/>
      </c>
      <c r="D105" s="2" t="str">
        <f aca="false">IF($B105="","",INDEX(Datos_problemas!$D:$D,MATCH($A105,Datos_problemas!$AV:$AV,0)))</f>
        <v/>
      </c>
      <c r="E105" s="2" t="str">
        <f aca="false">IF($B105="","",COUNTIFS(Datos_problemas!$B:$B,$B105,Datos_problemas!$F:$F,"Evaluación"))</f>
        <v/>
      </c>
      <c r="F105" s="20" t="str">
        <f aca="false">IF($B105="","",IFERROR(AVERAGEIFS(Datos_problemas!$AE:$AE,Datos_problemas!$B:$B,$B105,Datos_problemas!$F:$F,"Evaluación"),""))</f>
        <v/>
      </c>
      <c r="G105" s="20" t="str">
        <f aca="false">IF($B105="","",IFERROR(AVERAGEIFS(Datos_problemas!$AE:$AE,Datos_problemas!$B:$B,$B105,Datos_problemas!$F:$F,"Evaluación",Datos_problemas!$E:$E,"Diagnóstico"),""))</f>
        <v/>
      </c>
      <c r="H105" s="20" t="str">
        <f aca="false">IF($B105="","",IFERROR(AVERAGEIFS(Datos_problemas!$AE:$AE,Datos_problemas!$B:$B,$B105,Datos_problemas!$F:$F,"Evaluación",Datos_problemas!$E:$E,"Final"),""))</f>
        <v/>
      </c>
      <c r="I105" s="21" t="str">
        <f aca="false">IF(OR(G105="",H105=""),"",IF(G105&gt;=10,"",(H105-G105)/(10-G105)))</f>
        <v/>
      </c>
      <c r="J105" s="18" t="str">
        <f aca="false">IF($B105="","",IFERROR(SUMIFS(Datos_items!$Z:$Z,Datos_items!$B:$B,$B105,Datos_items!$O:$O,J$4,Datos_items!$E:$E,Analisis_grupo!$C$4)/COUNTIFS(Datos_items!$B:$B,$B105,Datos_items!$O:$O,J$4,Datos_items!$E:$E,Analisis_grupo!$C$4),""))</f>
        <v/>
      </c>
      <c r="K105" s="18" t="str">
        <f aca="false">IF($B105="","",IFERROR(SUMIFS(Datos_items!$Z:$Z,Datos_items!$B:$B,$B105,Datos_items!$O:$O,K$4,Datos_items!$E:$E,Analisis_grupo!$C$4)/COUNTIFS(Datos_items!$B:$B,$B105,Datos_items!$O:$O,K$4,Datos_items!$E:$E,Analisis_grupo!$C$4),""))</f>
        <v/>
      </c>
      <c r="L105" s="18" t="str">
        <f aca="false">IF($B105="","",IFERROR(SUMIFS(Datos_items!$Z:$Z,Datos_items!$B:$B,$B105,Datos_items!$O:$O,L$4,Datos_items!$E:$E,Analisis_grupo!$C$4)/COUNTIFS(Datos_items!$B:$B,$B105,Datos_items!$O:$O,L$4,Datos_items!$E:$E,Analisis_grupo!$C$4),""))</f>
        <v/>
      </c>
      <c r="M105" s="18" t="str">
        <f aca="false">IF($B105="","",IFERROR(SUMIFS(Datos_items!$Z:$Z,Datos_items!$B:$B,$B105,Datos_items!$O:$O,M$4,Datos_items!$E:$E,Analisis_grupo!$C$4)/COUNTIFS(Datos_items!$B:$B,$B105,Datos_items!$O:$O,M$4,Datos_items!$E:$E,Analisis_grupo!$C$4),""))</f>
        <v/>
      </c>
      <c r="N105" s="18" t="str">
        <f aca="false">IF($B105="","",IFERROR(SUMIFS(Datos_items!$Z:$Z,Datos_items!$B:$B,$B105,Datos_items!$O:$O,N$4,Datos_items!$E:$E,Analisis_grupo!$C$4)/COUNTIFS(Datos_items!$B:$B,$B105,Datos_items!$O:$O,N$4,Datos_items!$E:$E,Analisis_grupo!$C$4),""))</f>
        <v/>
      </c>
      <c r="O105" s="18" t="str">
        <f aca="false">IF($B105="","",IFERROR(SUMIFS(Datos_items!$Z:$Z,Datos_items!$B:$B,$B105,Datos_items!$O:$O,O$4,Datos_items!$E:$E,Analisis_grupo!$C$4)/COUNTIFS(Datos_items!$B:$B,$B105,Datos_items!$O:$O,O$4,Datos_items!$E:$E,Analisis_grupo!$C$4),""))</f>
        <v/>
      </c>
      <c r="P105" s="18" t="str">
        <f aca="false">IF($B105="","",IFERROR(SUMIFS(Datos_items!$Z:$Z,Datos_items!$B:$B,$B105,Datos_items!$O:$O,P$4,Datos_items!$E:$E,Analisis_grupo!$C$4)/COUNTIFS(Datos_items!$B:$B,$B105,Datos_items!$O:$O,P$4,Datos_items!$E:$E,Analisis_grupo!$C$4),""))</f>
        <v/>
      </c>
      <c r="Q105" s="18" t="str">
        <f aca="false">IF($B105="","",IFERROR(SUMIFS(Datos_items!$Z:$Z,Datos_items!$B:$B,$B105,Datos_items!$O:$O,Q$4,Datos_items!$E:$E,Analisis_grupo!$C$4)/COUNTIFS(Datos_items!$B:$B,$B105,Datos_items!$O:$O,Q$4,Datos_items!$E:$E,Analisis_grupo!$C$4),""))</f>
        <v/>
      </c>
      <c r="R105" s="2" t="str">
        <f aca="false">IF(COUNT(J105:Q105)=0,"",IF(MIN(J105:Q105)&gt;=Analisis_grupo!$B$7,"(ninguna)",INDEX($J$4:$Q$4,MATCH(MIN(J105:Q105),J105:Q105,0))))</f>
        <v/>
      </c>
      <c r="S105" s="2" t="str">
        <f aca="false">IF($B105="","",COUNTIF(J105:Q105,"&lt;"&amp;Analisis_grupo!$B$7))</f>
        <v/>
      </c>
      <c r="T105" s="2" t="str">
        <f aca="false">IF($B105="","",COUNTIFS(Datos_items!$B:$B,$B105,Datos_items!$AA:$AA,T$4,Datos_items!$E:$E,Analisis_grupo!$C$4))</f>
        <v/>
      </c>
      <c r="U105" s="2" t="str">
        <f aca="false">IF($B105="","",COUNTIFS(Datos_items!$B:$B,$B105,Datos_items!$AA:$AA,U$4,Datos_items!$E:$E,Analisis_grupo!$C$4))</f>
        <v/>
      </c>
      <c r="V105" s="2" t="str">
        <f aca="false">IF($B105="","",COUNTIFS(Datos_items!$B:$B,$B105,Datos_items!$AA:$AA,V$4,Datos_items!$E:$E,Analisis_grupo!$C$4))</f>
        <v/>
      </c>
      <c r="W105" s="2" t="str">
        <f aca="false">IF($B105="","",COUNTIFS(Datos_items!$B:$B,$B105,Datos_items!$AA:$AA,W$4,Datos_items!$E:$E,Analisis_grupo!$C$4))</f>
        <v/>
      </c>
      <c r="X105" s="2" t="str">
        <f aca="false">IF($B105="","",COUNTIFS(Datos_items!$B:$B,$B105,Datos_items!$AA:$AA,X$4,Datos_items!$E:$E,Analisis_grupo!$C$4))</f>
        <v/>
      </c>
      <c r="Y105" s="2" t="str">
        <f aca="false">IF($B105="","",COUNTIFS(Datos_items!$B:$B,$B105,Datos_items!$AA:$AA,Y$4,Datos_items!$E:$E,Analisis_grupo!$C$4))</f>
        <v/>
      </c>
      <c r="Z105" s="2" t="str">
        <f aca="false">IF($B105="","",COUNTIFS(Datos_items!$B:$B,$B105,Datos_items!$AA:$AA,Z$4,Datos_items!$E:$E,Analisis_grupo!$C$4))</f>
        <v/>
      </c>
      <c r="AA105" s="2" t="str">
        <f aca="false">IF($B105="","",COUNTIFS(Datos_items!$B:$B,$B105,Datos_items!$AA:$AA,AA$4,Datos_items!$E:$E,Analisis_grupo!$C$4))</f>
        <v/>
      </c>
      <c r="AB105" s="2" t="str">
        <f aca="false">IF($B105="","",COUNTIFS(Datos_items!$B:$B,$B105,Datos_items!$AA:$AA,AB$4,Datos_items!$E:$E,Analisis_grupo!$C$4))</f>
        <v/>
      </c>
      <c r="AC105" s="2" t="str">
        <f aca="false">IF($B105="","",COUNTIFS(Datos_items!$B:$B,$B105,Datos_items!$AA:$AA,AC$4,Datos_items!$E:$E,Analisis_grupo!$C$4))</f>
        <v/>
      </c>
      <c r="AD105" s="2" t="str">
        <f aca="false">IF($B105="","",COUNTIFS(Datos_items!$B:$B,$B105,Datos_items!$AA:$AA,AD$4,Datos_items!$E:$E,Analisis_grupo!$C$4))</f>
        <v/>
      </c>
      <c r="AE105" s="2" t="str">
        <f aca="false">IF($B105="","",COUNTIFS(Datos_items!$B:$B,$B105,Datos_items!$AA:$AA,AE$4,Datos_items!$E:$E,Analisis_grupo!$C$4))</f>
        <v/>
      </c>
      <c r="AF105" s="2" t="str">
        <f aca="false">IF($B105="","",COUNTIFS(Datos_items!$B:$B,$B105,Datos_items!$AA:$AA,AF$4,Datos_items!$E:$E,Analisis_grupo!$C$4))</f>
        <v/>
      </c>
      <c r="AG105" s="2" t="str">
        <f aca="false">IF($B105="","",COUNTIFS(Datos_items!$B:$B,$B105,Datos_items!$AA:$AA,AG$4,Datos_items!$E:$E,Analisis_grupo!$C$4))</f>
        <v/>
      </c>
      <c r="AH105" s="2" t="str">
        <f aca="false">IF($B105="","",COUNTIFS(Datos_items!$B:$B,$B105,Datos_items!$AA:$AA,AH$4,Datos_items!$E:$E,Analisis_grupo!$C$4))</f>
        <v/>
      </c>
      <c r="AI105" s="2" t="str">
        <f aca="false">IF($B105="","",COUNTIFS(Datos_items!$B:$B,$B105,Datos_items!$AA:$AA,AI$4,Datos_items!$E:$E,Analisis_grupo!$C$4))</f>
        <v/>
      </c>
      <c r="AJ105" s="2" t="str">
        <f aca="false">IF($B105="","",COUNTIFS(Datos_items!$B:$B,$B105,Datos_items!$AA:$AA,AJ$4,Datos_items!$E:$E,Analisis_grupo!$C$4))</f>
        <v/>
      </c>
      <c r="AK105" s="2" t="str">
        <f aca="false">IF($B105="","",COUNTIFS(Datos_items!$B:$B,$B105,Datos_items!$AA:$AA,AK$4,Datos_items!$E:$E,Analisis_grupo!$C$4))</f>
        <v/>
      </c>
      <c r="AL105" s="2" t="str">
        <f aca="false">IF($B105="","",COUNTIFS(Datos_items!$B:$B,$B105,Datos_items!$AA:$AA,AL$4,Datos_items!$E:$E,Analisis_grupo!$C$4))</f>
        <v/>
      </c>
      <c r="AM105" s="2" t="str">
        <f aca="false">IF($B105="","",IF(MAX(Y105:AL105)=0,"",INDEX($Y$4:$AL$4,MATCH(MAX(Y105:AL105),Y105:AL105,0))))</f>
        <v/>
      </c>
      <c r="AN105" s="2" t="str">
        <f aca="false">IF($B105="","",COUNTIFS(Datos_problemas!$B:$B,$B105,Datos_problemas!$F:$F,"Práctica"))</f>
        <v/>
      </c>
      <c r="AO105" s="2" t="str">
        <f aca="false">IF($B105="","",SUMIFS(Datos_problemas!$AQ:$AQ,Datos_problemas!$B:$B,$B105,Datos_problemas!$F:$F,"Práctica"))</f>
        <v/>
      </c>
      <c r="AP105" s="2" t="str">
        <f aca="false">IF($B105="","",COUNTIFS(Datos_problemas!$B:$B,$B105,Datos_problemas!$F:$F,"Práctica",Datos_problemas!$AS:$AS,"Sí"))</f>
        <v/>
      </c>
    </row>
    <row r="106" customFormat="false" ht="15" hidden="false" customHeight="false" outlineLevel="0" collapsed="false">
      <c r="A106" s="2" t="n">
        <v>102</v>
      </c>
      <c r="B106" s="2" t="str">
        <f aca="false">IFERROR(INDEX(Datos_problemas!$B:$B,MATCH($A106,Datos_problemas!$AV:$AV,0)),"")</f>
        <v/>
      </c>
      <c r="C106" s="2" t="str">
        <f aca="false">IF($B106="","",INDEX(Datos_problemas!$C:$C,MATCH($A106,Datos_problemas!$AV:$AV,0)))</f>
        <v/>
      </c>
      <c r="D106" s="2" t="str">
        <f aca="false">IF($B106="","",INDEX(Datos_problemas!$D:$D,MATCH($A106,Datos_problemas!$AV:$AV,0)))</f>
        <v/>
      </c>
      <c r="E106" s="2" t="str">
        <f aca="false">IF($B106="","",COUNTIFS(Datos_problemas!$B:$B,$B106,Datos_problemas!$F:$F,"Evaluación"))</f>
        <v/>
      </c>
      <c r="F106" s="20" t="str">
        <f aca="false">IF($B106="","",IFERROR(AVERAGEIFS(Datos_problemas!$AE:$AE,Datos_problemas!$B:$B,$B106,Datos_problemas!$F:$F,"Evaluación"),""))</f>
        <v/>
      </c>
      <c r="G106" s="20" t="str">
        <f aca="false">IF($B106="","",IFERROR(AVERAGEIFS(Datos_problemas!$AE:$AE,Datos_problemas!$B:$B,$B106,Datos_problemas!$F:$F,"Evaluación",Datos_problemas!$E:$E,"Diagnóstico"),""))</f>
        <v/>
      </c>
      <c r="H106" s="20" t="str">
        <f aca="false">IF($B106="","",IFERROR(AVERAGEIFS(Datos_problemas!$AE:$AE,Datos_problemas!$B:$B,$B106,Datos_problemas!$F:$F,"Evaluación",Datos_problemas!$E:$E,"Final"),""))</f>
        <v/>
      </c>
      <c r="I106" s="21" t="str">
        <f aca="false">IF(OR(G106="",H106=""),"",IF(G106&gt;=10,"",(H106-G106)/(10-G106)))</f>
        <v/>
      </c>
      <c r="J106" s="18" t="str">
        <f aca="false">IF($B106="","",IFERROR(SUMIFS(Datos_items!$Z:$Z,Datos_items!$B:$B,$B106,Datos_items!$O:$O,J$4,Datos_items!$E:$E,Analisis_grupo!$C$4)/COUNTIFS(Datos_items!$B:$B,$B106,Datos_items!$O:$O,J$4,Datos_items!$E:$E,Analisis_grupo!$C$4),""))</f>
        <v/>
      </c>
      <c r="K106" s="18" t="str">
        <f aca="false">IF($B106="","",IFERROR(SUMIFS(Datos_items!$Z:$Z,Datos_items!$B:$B,$B106,Datos_items!$O:$O,K$4,Datos_items!$E:$E,Analisis_grupo!$C$4)/COUNTIFS(Datos_items!$B:$B,$B106,Datos_items!$O:$O,K$4,Datos_items!$E:$E,Analisis_grupo!$C$4),""))</f>
        <v/>
      </c>
      <c r="L106" s="18" t="str">
        <f aca="false">IF($B106="","",IFERROR(SUMIFS(Datos_items!$Z:$Z,Datos_items!$B:$B,$B106,Datos_items!$O:$O,L$4,Datos_items!$E:$E,Analisis_grupo!$C$4)/COUNTIFS(Datos_items!$B:$B,$B106,Datos_items!$O:$O,L$4,Datos_items!$E:$E,Analisis_grupo!$C$4),""))</f>
        <v/>
      </c>
      <c r="M106" s="18" t="str">
        <f aca="false">IF($B106="","",IFERROR(SUMIFS(Datos_items!$Z:$Z,Datos_items!$B:$B,$B106,Datos_items!$O:$O,M$4,Datos_items!$E:$E,Analisis_grupo!$C$4)/COUNTIFS(Datos_items!$B:$B,$B106,Datos_items!$O:$O,M$4,Datos_items!$E:$E,Analisis_grupo!$C$4),""))</f>
        <v/>
      </c>
      <c r="N106" s="18" t="str">
        <f aca="false">IF($B106="","",IFERROR(SUMIFS(Datos_items!$Z:$Z,Datos_items!$B:$B,$B106,Datos_items!$O:$O,N$4,Datos_items!$E:$E,Analisis_grupo!$C$4)/COUNTIFS(Datos_items!$B:$B,$B106,Datos_items!$O:$O,N$4,Datos_items!$E:$E,Analisis_grupo!$C$4),""))</f>
        <v/>
      </c>
      <c r="O106" s="18" t="str">
        <f aca="false">IF($B106="","",IFERROR(SUMIFS(Datos_items!$Z:$Z,Datos_items!$B:$B,$B106,Datos_items!$O:$O,O$4,Datos_items!$E:$E,Analisis_grupo!$C$4)/COUNTIFS(Datos_items!$B:$B,$B106,Datos_items!$O:$O,O$4,Datos_items!$E:$E,Analisis_grupo!$C$4),""))</f>
        <v/>
      </c>
      <c r="P106" s="18" t="str">
        <f aca="false">IF($B106="","",IFERROR(SUMIFS(Datos_items!$Z:$Z,Datos_items!$B:$B,$B106,Datos_items!$O:$O,P$4,Datos_items!$E:$E,Analisis_grupo!$C$4)/COUNTIFS(Datos_items!$B:$B,$B106,Datos_items!$O:$O,P$4,Datos_items!$E:$E,Analisis_grupo!$C$4),""))</f>
        <v/>
      </c>
      <c r="Q106" s="18" t="str">
        <f aca="false">IF($B106="","",IFERROR(SUMIFS(Datos_items!$Z:$Z,Datos_items!$B:$B,$B106,Datos_items!$O:$O,Q$4,Datos_items!$E:$E,Analisis_grupo!$C$4)/COUNTIFS(Datos_items!$B:$B,$B106,Datos_items!$O:$O,Q$4,Datos_items!$E:$E,Analisis_grupo!$C$4),""))</f>
        <v/>
      </c>
      <c r="R106" s="2" t="str">
        <f aca="false">IF(COUNT(J106:Q106)=0,"",IF(MIN(J106:Q106)&gt;=Analisis_grupo!$B$7,"(ninguna)",INDEX($J$4:$Q$4,MATCH(MIN(J106:Q106),J106:Q106,0))))</f>
        <v/>
      </c>
      <c r="S106" s="2" t="str">
        <f aca="false">IF($B106="","",COUNTIF(J106:Q106,"&lt;"&amp;Analisis_grupo!$B$7))</f>
        <v/>
      </c>
      <c r="T106" s="2" t="str">
        <f aca="false">IF($B106="","",COUNTIFS(Datos_items!$B:$B,$B106,Datos_items!$AA:$AA,T$4,Datos_items!$E:$E,Analisis_grupo!$C$4))</f>
        <v/>
      </c>
      <c r="U106" s="2" t="str">
        <f aca="false">IF($B106="","",COUNTIFS(Datos_items!$B:$B,$B106,Datos_items!$AA:$AA,U$4,Datos_items!$E:$E,Analisis_grupo!$C$4))</f>
        <v/>
      </c>
      <c r="V106" s="2" t="str">
        <f aca="false">IF($B106="","",COUNTIFS(Datos_items!$B:$B,$B106,Datos_items!$AA:$AA,V$4,Datos_items!$E:$E,Analisis_grupo!$C$4))</f>
        <v/>
      </c>
      <c r="W106" s="2" t="str">
        <f aca="false">IF($B106="","",COUNTIFS(Datos_items!$B:$B,$B106,Datos_items!$AA:$AA,W$4,Datos_items!$E:$E,Analisis_grupo!$C$4))</f>
        <v/>
      </c>
      <c r="X106" s="2" t="str">
        <f aca="false">IF($B106="","",COUNTIFS(Datos_items!$B:$B,$B106,Datos_items!$AA:$AA,X$4,Datos_items!$E:$E,Analisis_grupo!$C$4))</f>
        <v/>
      </c>
      <c r="Y106" s="2" t="str">
        <f aca="false">IF($B106="","",COUNTIFS(Datos_items!$B:$B,$B106,Datos_items!$AA:$AA,Y$4,Datos_items!$E:$E,Analisis_grupo!$C$4))</f>
        <v/>
      </c>
      <c r="Z106" s="2" t="str">
        <f aca="false">IF($B106="","",COUNTIFS(Datos_items!$B:$B,$B106,Datos_items!$AA:$AA,Z$4,Datos_items!$E:$E,Analisis_grupo!$C$4))</f>
        <v/>
      </c>
      <c r="AA106" s="2" t="str">
        <f aca="false">IF($B106="","",COUNTIFS(Datos_items!$B:$B,$B106,Datos_items!$AA:$AA,AA$4,Datos_items!$E:$E,Analisis_grupo!$C$4))</f>
        <v/>
      </c>
      <c r="AB106" s="2" t="str">
        <f aca="false">IF($B106="","",COUNTIFS(Datos_items!$B:$B,$B106,Datos_items!$AA:$AA,AB$4,Datos_items!$E:$E,Analisis_grupo!$C$4))</f>
        <v/>
      </c>
      <c r="AC106" s="2" t="str">
        <f aca="false">IF($B106="","",COUNTIFS(Datos_items!$B:$B,$B106,Datos_items!$AA:$AA,AC$4,Datos_items!$E:$E,Analisis_grupo!$C$4))</f>
        <v/>
      </c>
      <c r="AD106" s="2" t="str">
        <f aca="false">IF($B106="","",COUNTIFS(Datos_items!$B:$B,$B106,Datos_items!$AA:$AA,AD$4,Datos_items!$E:$E,Analisis_grupo!$C$4))</f>
        <v/>
      </c>
      <c r="AE106" s="2" t="str">
        <f aca="false">IF($B106="","",COUNTIFS(Datos_items!$B:$B,$B106,Datos_items!$AA:$AA,AE$4,Datos_items!$E:$E,Analisis_grupo!$C$4))</f>
        <v/>
      </c>
      <c r="AF106" s="2" t="str">
        <f aca="false">IF($B106="","",COUNTIFS(Datos_items!$B:$B,$B106,Datos_items!$AA:$AA,AF$4,Datos_items!$E:$E,Analisis_grupo!$C$4))</f>
        <v/>
      </c>
      <c r="AG106" s="2" t="str">
        <f aca="false">IF($B106="","",COUNTIFS(Datos_items!$B:$B,$B106,Datos_items!$AA:$AA,AG$4,Datos_items!$E:$E,Analisis_grupo!$C$4))</f>
        <v/>
      </c>
      <c r="AH106" s="2" t="str">
        <f aca="false">IF($B106="","",COUNTIFS(Datos_items!$B:$B,$B106,Datos_items!$AA:$AA,AH$4,Datos_items!$E:$E,Analisis_grupo!$C$4))</f>
        <v/>
      </c>
      <c r="AI106" s="2" t="str">
        <f aca="false">IF($B106="","",COUNTIFS(Datos_items!$B:$B,$B106,Datos_items!$AA:$AA,AI$4,Datos_items!$E:$E,Analisis_grupo!$C$4))</f>
        <v/>
      </c>
      <c r="AJ106" s="2" t="str">
        <f aca="false">IF($B106="","",COUNTIFS(Datos_items!$B:$B,$B106,Datos_items!$AA:$AA,AJ$4,Datos_items!$E:$E,Analisis_grupo!$C$4))</f>
        <v/>
      </c>
      <c r="AK106" s="2" t="str">
        <f aca="false">IF($B106="","",COUNTIFS(Datos_items!$B:$B,$B106,Datos_items!$AA:$AA,AK$4,Datos_items!$E:$E,Analisis_grupo!$C$4))</f>
        <v/>
      </c>
      <c r="AL106" s="2" t="str">
        <f aca="false">IF($B106="","",COUNTIFS(Datos_items!$B:$B,$B106,Datos_items!$AA:$AA,AL$4,Datos_items!$E:$E,Analisis_grupo!$C$4))</f>
        <v/>
      </c>
      <c r="AM106" s="2" t="str">
        <f aca="false">IF($B106="","",IF(MAX(Y106:AL106)=0,"",INDEX($Y$4:$AL$4,MATCH(MAX(Y106:AL106),Y106:AL106,0))))</f>
        <v/>
      </c>
      <c r="AN106" s="2" t="str">
        <f aca="false">IF($B106="","",COUNTIFS(Datos_problemas!$B:$B,$B106,Datos_problemas!$F:$F,"Práctica"))</f>
        <v/>
      </c>
      <c r="AO106" s="2" t="str">
        <f aca="false">IF($B106="","",SUMIFS(Datos_problemas!$AQ:$AQ,Datos_problemas!$B:$B,$B106,Datos_problemas!$F:$F,"Práctica"))</f>
        <v/>
      </c>
      <c r="AP106" s="2" t="str">
        <f aca="false">IF($B106="","",COUNTIFS(Datos_problemas!$B:$B,$B106,Datos_problemas!$F:$F,"Práctica",Datos_problemas!$AS:$AS,"Sí"))</f>
        <v/>
      </c>
    </row>
    <row r="107" customFormat="false" ht="15" hidden="false" customHeight="false" outlineLevel="0" collapsed="false">
      <c r="A107" s="2" t="n">
        <v>103</v>
      </c>
      <c r="B107" s="2" t="str">
        <f aca="false">IFERROR(INDEX(Datos_problemas!$B:$B,MATCH($A107,Datos_problemas!$AV:$AV,0)),"")</f>
        <v/>
      </c>
      <c r="C107" s="2" t="str">
        <f aca="false">IF($B107="","",INDEX(Datos_problemas!$C:$C,MATCH($A107,Datos_problemas!$AV:$AV,0)))</f>
        <v/>
      </c>
      <c r="D107" s="2" t="str">
        <f aca="false">IF($B107="","",INDEX(Datos_problemas!$D:$D,MATCH($A107,Datos_problemas!$AV:$AV,0)))</f>
        <v/>
      </c>
      <c r="E107" s="2" t="str">
        <f aca="false">IF($B107="","",COUNTIFS(Datos_problemas!$B:$B,$B107,Datos_problemas!$F:$F,"Evaluación"))</f>
        <v/>
      </c>
      <c r="F107" s="20" t="str">
        <f aca="false">IF($B107="","",IFERROR(AVERAGEIFS(Datos_problemas!$AE:$AE,Datos_problemas!$B:$B,$B107,Datos_problemas!$F:$F,"Evaluación"),""))</f>
        <v/>
      </c>
      <c r="G107" s="20" t="str">
        <f aca="false">IF($B107="","",IFERROR(AVERAGEIFS(Datos_problemas!$AE:$AE,Datos_problemas!$B:$B,$B107,Datos_problemas!$F:$F,"Evaluación",Datos_problemas!$E:$E,"Diagnóstico"),""))</f>
        <v/>
      </c>
      <c r="H107" s="20" t="str">
        <f aca="false">IF($B107="","",IFERROR(AVERAGEIFS(Datos_problemas!$AE:$AE,Datos_problemas!$B:$B,$B107,Datos_problemas!$F:$F,"Evaluación",Datos_problemas!$E:$E,"Final"),""))</f>
        <v/>
      </c>
      <c r="I107" s="21" t="str">
        <f aca="false">IF(OR(G107="",H107=""),"",IF(G107&gt;=10,"",(H107-G107)/(10-G107)))</f>
        <v/>
      </c>
      <c r="J107" s="18" t="str">
        <f aca="false">IF($B107="","",IFERROR(SUMIFS(Datos_items!$Z:$Z,Datos_items!$B:$B,$B107,Datos_items!$O:$O,J$4,Datos_items!$E:$E,Analisis_grupo!$C$4)/COUNTIFS(Datos_items!$B:$B,$B107,Datos_items!$O:$O,J$4,Datos_items!$E:$E,Analisis_grupo!$C$4),""))</f>
        <v/>
      </c>
      <c r="K107" s="18" t="str">
        <f aca="false">IF($B107="","",IFERROR(SUMIFS(Datos_items!$Z:$Z,Datos_items!$B:$B,$B107,Datos_items!$O:$O,K$4,Datos_items!$E:$E,Analisis_grupo!$C$4)/COUNTIFS(Datos_items!$B:$B,$B107,Datos_items!$O:$O,K$4,Datos_items!$E:$E,Analisis_grupo!$C$4),""))</f>
        <v/>
      </c>
      <c r="L107" s="18" t="str">
        <f aca="false">IF($B107="","",IFERROR(SUMIFS(Datos_items!$Z:$Z,Datos_items!$B:$B,$B107,Datos_items!$O:$O,L$4,Datos_items!$E:$E,Analisis_grupo!$C$4)/COUNTIFS(Datos_items!$B:$B,$B107,Datos_items!$O:$O,L$4,Datos_items!$E:$E,Analisis_grupo!$C$4),""))</f>
        <v/>
      </c>
      <c r="M107" s="18" t="str">
        <f aca="false">IF($B107="","",IFERROR(SUMIFS(Datos_items!$Z:$Z,Datos_items!$B:$B,$B107,Datos_items!$O:$O,M$4,Datos_items!$E:$E,Analisis_grupo!$C$4)/COUNTIFS(Datos_items!$B:$B,$B107,Datos_items!$O:$O,M$4,Datos_items!$E:$E,Analisis_grupo!$C$4),""))</f>
        <v/>
      </c>
      <c r="N107" s="18" t="str">
        <f aca="false">IF($B107="","",IFERROR(SUMIFS(Datos_items!$Z:$Z,Datos_items!$B:$B,$B107,Datos_items!$O:$O,N$4,Datos_items!$E:$E,Analisis_grupo!$C$4)/COUNTIFS(Datos_items!$B:$B,$B107,Datos_items!$O:$O,N$4,Datos_items!$E:$E,Analisis_grupo!$C$4),""))</f>
        <v/>
      </c>
      <c r="O107" s="18" t="str">
        <f aca="false">IF($B107="","",IFERROR(SUMIFS(Datos_items!$Z:$Z,Datos_items!$B:$B,$B107,Datos_items!$O:$O,O$4,Datos_items!$E:$E,Analisis_grupo!$C$4)/COUNTIFS(Datos_items!$B:$B,$B107,Datos_items!$O:$O,O$4,Datos_items!$E:$E,Analisis_grupo!$C$4),""))</f>
        <v/>
      </c>
      <c r="P107" s="18" t="str">
        <f aca="false">IF($B107="","",IFERROR(SUMIFS(Datos_items!$Z:$Z,Datos_items!$B:$B,$B107,Datos_items!$O:$O,P$4,Datos_items!$E:$E,Analisis_grupo!$C$4)/COUNTIFS(Datos_items!$B:$B,$B107,Datos_items!$O:$O,P$4,Datos_items!$E:$E,Analisis_grupo!$C$4),""))</f>
        <v/>
      </c>
      <c r="Q107" s="18" t="str">
        <f aca="false">IF($B107="","",IFERROR(SUMIFS(Datos_items!$Z:$Z,Datos_items!$B:$B,$B107,Datos_items!$O:$O,Q$4,Datos_items!$E:$E,Analisis_grupo!$C$4)/COUNTIFS(Datos_items!$B:$B,$B107,Datos_items!$O:$O,Q$4,Datos_items!$E:$E,Analisis_grupo!$C$4),""))</f>
        <v/>
      </c>
      <c r="R107" s="2" t="str">
        <f aca="false">IF(COUNT(J107:Q107)=0,"",IF(MIN(J107:Q107)&gt;=Analisis_grupo!$B$7,"(ninguna)",INDEX($J$4:$Q$4,MATCH(MIN(J107:Q107),J107:Q107,0))))</f>
        <v/>
      </c>
      <c r="S107" s="2" t="str">
        <f aca="false">IF($B107="","",COUNTIF(J107:Q107,"&lt;"&amp;Analisis_grupo!$B$7))</f>
        <v/>
      </c>
      <c r="T107" s="2" t="str">
        <f aca="false">IF($B107="","",COUNTIFS(Datos_items!$B:$B,$B107,Datos_items!$AA:$AA,T$4,Datos_items!$E:$E,Analisis_grupo!$C$4))</f>
        <v/>
      </c>
      <c r="U107" s="2" t="str">
        <f aca="false">IF($B107="","",COUNTIFS(Datos_items!$B:$B,$B107,Datos_items!$AA:$AA,U$4,Datos_items!$E:$E,Analisis_grupo!$C$4))</f>
        <v/>
      </c>
      <c r="V107" s="2" t="str">
        <f aca="false">IF($B107="","",COUNTIFS(Datos_items!$B:$B,$B107,Datos_items!$AA:$AA,V$4,Datos_items!$E:$E,Analisis_grupo!$C$4))</f>
        <v/>
      </c>
      <c r="W107" s="2" t="str">
        <f aca="false">IF($B107="","",COUNTIFS(Datos_items!$B:$B,$B107,Datos_items!$AA:$AA,W$4,Datos_items!$E:$E,Analisis_grupo!$C$4))</f>
        <v/>
      </c>
      <c r="X107" s="2" t="str">
        <f aca="false">IF($B107="","",COUNTIFS(Datos_items!$B:$B,$B107,Datos_items!$AA:$AA,X$4,Datos_items!$E:$E,Analisis_grupo!$C$4))</f>
        <v/>
      </c>
      <c r="Y107" s="2" t="str">
        <f aca="false">IF($B107="","",COUNTIFS(Datos_items!$B:$B,$B107,Datos_items!$AA:$AA,Y$4,Datos_items!$E:$E,Analisis_grupo!$C$4))</f>
        <v/>
      </c>
      <c r="Z107" s="2" t="str">
        <f aca="false">IF($B107="","",COUNTIFS(Datos_items!$B:$B,$B107,Datos_items!$AA:$AA,Z$4,Datos_items!$E:$E,Analisis_grupo!$C$4))</f>
        <v/>
      </c>
      <c r="AA107" s="2" t="str">
        <f aca="false">IF($B107="","",COUNTIFS(Datos_items!$B:$B,$B107,Datos_items!$AA:$AA,AA$4,Datos_items!$E:$E,Analisis_grupo!$C$4))</f>
        <v/>
      </c>
      <c r="AB107" s="2" t="str">
        <f aca="false">IF($B107="","",COUNTIFS(Datos_items!$B:$B,$B107,Datos_items!$AA:$AA,AB$4,Datos_items!$E:$E,Analisis_grupo!$C$4))</f>
        <v/>
      </c>
      <c r="AC107" s="2" t="str">
        <f aca="false">IF($B107="","",COUNTIFS(Datos_items!$B:$B,$B107,Datos_items!$AA:$AA,AC$4,Datos_items!$E:$E,Analisis_grupo!$C$4))</f>
        <v/>
      </c>
      <c r="AD107" s="2" t="str">
        <f aca="false">IF($B107="","",COUNTIFS(Datos_items!$B:$B,$B107,Datos_items!$AA:$AA,AD$4,Datos_items!$E:$E,Analisis_grupo!$C$4))</f>
        <v/>
      </c>
      <c r="AE107" s="2" t="str">
        <f aca="false">IF($B107="","",COUNTIFS(Datos_items!$B:$B,$B107,Datos_items!$AA:$AA,AE$4,Datos_items!$E:$E,Analisis_grupo!$C$4))</f>
        <v/>
      </c>
      <c r="AF107" s="2" t="str">
        <f aca="false">IF($B107="","",COUNTIFS(Datos_items!$B:$B,$B107,Datos_items!$AA:$AA,AF$4,Datos_items!$E:$E,Analisis_grupo!$C$4))</f>
        <v/>
      </c>
      <c r="AG107" s="2" t="str">
        <f aca="false">IF($B107="","",COUNTIFS(Datos_items!$B:$B,$B107,Datos_items!$AA:$AA,AG$4,Datos_items!$E:$E,Analisis_grupo!$C$4))</f>
        <v/>
      </c>
      <c r="AH107" s="2" t="str">
        <f aca="false">IF($B107="","",COUNTIFS(Datos_items!$B:$B,$B107,Datos_items!$AA:$AA,AH$4,Datos_items!$E:$E,Analisis_grupo!$C$4))</f>
        <v/>
      </c>
      <c r="AI107" s="2" t="str">
        <f aca="false">IF($B107="","",COUNTIFS(Datos_items!$B:$B,$B107,Datos_items!$AA:$AA,AI$4,Datos_items!$E:$E,Analisis_grupo!$C$4))</f>
        <v/>
      </c>
      <c r="AJ107" s="2" t="str">
        <f aca="false">IF($B107="","",COUNTIFS(Datos_items!$B:$B,$B107,Datos_items!$AA:$AA,AJ$4,Datos_items!$E:$E,Analisis_grupo!$C$4))</f>
        <v/>
      </c>
      <c r="AK107" s="2" t="str">
        <f aca="false">IF($B107="","",COUNTIFS(Datos_items!$B:$B,$B107,Datos_items!$AA:$AA,AK$4,Datos_items!$E:$E,Analisis_grupo!$C$4))</f>
        <v/>
      </c>
      <c r="AL107" s="2" t="str">
        <f aca="false">IF($B107="","",COUNTIFS(Datos_items!$B:$B,$B107,Datos_items!$AA:$AA,AL$4,Datos_items!$E:$E,Analisis_grupo!$C$4))</f>
        <v/>
      </c>
      <c r="AM107" s="2" t="str">
        <f aca="false">IF($B107="","",IF(MAX(Y107:AL107)=0,"",INDEX($Y$4:$AL$4,MATCH(MAX(Y107:AL107),Y107:AL107,0))))</f>
        <v/>
      </c>
      <c r="AN107" s="2" t="str">
        <f aca="false">IF($B107="","",COUNTIFS(Datos_problemas!$B:$B,$B107,Datos_problemas!$F:$F,"Práctica"))</f>
        <v/>
      </c>
      <c r="AO107" s="2" t="str">
        <f aca="false">IF($B107="","",SUMIFS(Datos_problemas!$AQ:$AQ,Datos_problemas!$B:$B,$B107,Datos_problemas!$F:$F,"Práctica"))</f>
        <v/>
      </c>
      <c r="AP107" s="2" t="str">
        <f aca="false">IF($B107="","",COUNTIFS(Datos_problemas!$B:$B,$B107,Datos_problemas!$F:$F,"Práctica",Datos_problemas!$AS:$AS,"Sí"))</f>
        <v/>
      </c>
    </row>
    <row r="108" customFormat="false" ht="15" hidden="false" customHeight="false" outlineLevel="0" collapsed="false">
      <c r="A108" s="2" t="n">
        <v>104</v>
      </c>
      <c r="B108" s="2" t="str">
        <f aca="false">IFERROR(INDEX(Datos_problemas!$B:$B,MATCH($A108,Datos_problemas!$AV:$AV,0)),"")</f>
        <v/>
      </c>
      <c r="C108" s="2" t="str">
        <f aca="false">IF($B108="","",INDEX(Datos_problemas!$C:$C,MATCH($A108,Datos_problemas!$AV:$AV,0)))</f>
        <v/>
      </c>
      <c r="D108" s="2" t="str">
        <f aca="false">IF($B108="","",INDEX(Datos_problemas!$D:$D,MATCH($A108,Datos_problemas!$AV:$AV,0)))</f>
        <v/>
      </c>
      <c r="E108" s="2" t="str">
        <f aca="false">IF($B108="","",COUNTIFS(Datos_problemas!$B:$B,$B108,Datos_problemas!$F:$F,"Evaluación"))</f>
        <v/>
      </c>
      <c r="F108" s="20" t="str">
        <f aca="false">IF($B108="","",IFERROR(AVERAGEIFS(Datos_problemas!$AE:$AE,Datos_problemas!$B:$B,$B108,Datos_problemas!$F:$F,"Evaluación"),""))</f>
        <v/>
      </c>
      <c r="G108" s="20" t="str">
        <f aca="false">IF($B108="","",IFERROR(AVERAGEIFS(Datos_problemas!$AE:$AE,Datos_problemas!$B:$B,$B108,Datos_problemas!$F:$F,"Evaluación",Datos_problemas!$E:$E,"Diagnóstico"),""))</f>
        <v/>
      </c>
      <c r="H108" s="20" t="str">
        <f aca="false">IF($B108="","",IFERROR(AVERAGEIFS(Datos_problemas!$AE:$AE,Datos_problemas!$B:$B,$B108,Datos_problemas!$F:$F,"Evaluación",Datos_problemas!$E:$E,"Final"),""))</f>
        <v/>
      </c>
      <c r="I108" s="21" t="str">
        <f aca="false">IF(OR(G108="",H108=""),"",IF(G108&gt;=10,"",(H108-G108)/(10-G108)))</f>
        <v/>
      </c>
      <c r="J108" s="18" t="str">
        <f aca="false">IF($B108="","",IFERROR(SUMIFS(Datos_items!$Z:$Z,Datos_items!$B:$B,$B108,Datos_items!$O:$O,J$4,Datos_items!$E:$E,Analisis_grupo!$C$4)/COUNTIFS(Datos_items!$B:$B,$B108,Datos_items!$O:$O,J$4,Datos_items!$E:$E,Analisis_grupo!$C$4),""))</f>
        <v/>
      </c>
      <c r="K108" s="18" t="str">
        <f aca="false">IF($B108="","",IFERROR(SUMIFS(Datos_items!$Z:$Z,Datos_items!$B:$B,$B108,Datos_items!$O:$O,K$4,Datos_items!$E:$E,Analisis_grupo!$C$4)/COUNTIFS(Datos_items!$B:$B,$B108,Datos_items!$O:$O,K$4,Datos_items!$E:$E,Analisis_grupo!$C$4),""))</f>
        <v/>
      </c>
      <c r="L108" s="18" t="str">
        <f aca="false">IF($B108="","",IFERROR(SUMIFS(Datos_items!$Z:$Z,Datos_items!$B:$B,$B108,Datos_items!$O:$O,L$4,Datos_items!$E:$E,Analisis_grupo!$C$4)/COUNTIFS(Datos_items!$B:$B,$B108,Datos_items!$O:$O,L$4,Datos_items!$E:$E,Analisis_grupo!$C$4),""))</f>
        <v/>
      </c>
      <c r="M108" s="18" t="str">
        <f aca="false">IF($B108="","",IFERROR(SUMIFS(Datos_items!$Z:$Z,Datos_items!$B:$B,$B108,Datos_items!$O:$O,M$4,Datos_items!$E:$E,Analisis_grupo!$C$4)/COUNTIFS(Datos_items!$B:$B,$B108,Datos_items!$O:$O,M$4,Datos_items!$E:$E,Analisis_grupo!$C$4),""))</f>
        <v/>
      </c>
      <c r="N108" s="18" t="str">
        <f aca="false">IF($B108="","",IFERROR(SUMIFS(Datos_items!$Z:$Z,Datos_items!$B:$B,$B108,Datos_items!$O:$O,N$4,Datos_items!$E:$E,Analisis_grupo!$C$4)/COUNTIFS(Datos_items!$B:$B,$B108,Datos_items!$O:$O,N$4,Datos_items!$E:$E,Analisis_grupo!$C$4),""))</f>
        <v/>
      </c>
      <c r="O108" s="18" t="str">
        <f aca="false">IF($B108="","",IFERROR(SUMIFS(Datos_items!$Z:$Z,Datos_items!$B:$B,$B108,Datos_items!$O:$O,O$4,Datos_items!$E:$E,Analisis_grupo!$C$4)/COUNTIFS(Datos_items!$B:$B,$B108,Datos_items!$O:$O,O$4,Datos_items!$E:$E,Analisis_grupo!$C$4),""))</f>
        <v/>
      </c>
      <c r="P108" s="18" t="str">
        <f aca="false">IF($B108="","",IFERROR(SUMIFS(Datos_items!$Z:$Z,Datos_items!$B:$B,$B108,Datos_items!$O:$O,P$4,Datos_items!$E:$E,Analisis_grupo!$C$4)/COUNTIFS(Datos_items!$B:$B,$B108,Datos_items!$O:$O,P$4,Datos_items!$E:$E,Analisis_grupo!$C$4),""))</f>
        <v/>
      </c>
      <c r="Q108" s="18" t="str">
        <f aca="false">IF($B108="","",IFERROR(SUMIFS(Datos_items!$Z:$Z,Datos_items!$B:$B,$B108,Datos_items!$O:$O,Q$4,Datos_items!$E:$E,Analisis_grupo!$C$4)/COUNTIFS(Datos_items!$B:$B,$B108,Datos_items!$O:$O,Q$4,Datos_items!$E:$E,Analisis_grupo!$C$4),""))</f>
        <v/>
      </c>
      <c r="R108" s="2" t="str">
        <f aca="false">IF(COUNT(J108:Q108)=0,"",IF(MIN(J108:Q108)&gt;=Analisis_grupo!$B$7,"(ninguna)",INDEX($J$4:$Q$4,MATCH(MIN(J108:Q108),J108:Q108,0))))</f>
        <v/>
      </c>
      <c r="S108" s="2" t="str">
        <f aca="false">IF($B108="","",COUNTIF(J108:Q108,"&lt;"&amp;Analisis_grupo!$B$7))</f>
        <v/>
      </c>
      <c r="T108" s="2" t="str">
        <f aca="false">IF($B108="","",COUNTIFS(Datos_items!$B:$B,$B108,Datos_items!$AA:$AA,T$4,Datos_items!$E:$E,Analisis_grupo!$C$4))</f>
        <v/>
      </c>
      <c r="U108" s="2" t="str">
        <f aca="false">IF($B108="","",COUNTIFS(Datos_items!$B:$B,$B108,Datos_items!$AA:$AA,U$4,Datos_items!$E:$E,Analisis_grupo!$C$4))</f>
        <v/>
      </c>
      <c r="V108" s="2" t="str">
        <f aca="false">IF($B108="","",COUNTIFS(Datos_items!$B:$B,$B108,Datos_items!$AA:$AA,V$4,Datos_items!$E:$E,Analisis_grupo!$C$4))</f>
        <v/>
      </c>
      <c r="W108" s="2" t="str">
        <f aca="false">IF($B108="","",COUNTIFS(Datos_items!$B:$B,$B108,Datos_items!$AA:$AA,W$4,Datos_items!$E:$E,Analisis_grupo!$C$4))</f>
        <v/>
      </c>
      <c r="X108" s="2" t="str">
        <f aca="false">IF($B108="","",COUNTIFS(Datos_items!$B:$B,$B108,Datos_items!$AA:$AA,X$4,Datos_items!$E:$E,Analisis_grupo!$C$4))</f>
        <v/>
      </c>
      <c r="Y108" s="2" t="str">
        <f aca="false">IF($B108="","",COUNTIFS(Datos_items!$B:$B,$B108,Datos_items!$AA:$AA,Y$4,Datos_items!$E:$E,Analisis_grupo!$C$4))</f>
        <v/>
      </c>
      <c r="Z108" s="2" t="str">
        <f aca="false">IF($B108="","",COUNTIFS(Datos_items!$B:$B,$B108,Datos_items!$AA:$AA,Z$4,Datos_items!$E:$E,Analisis_grupo!$C$4))</f>
        <v/>
      </c>
      <c r="AA108" s="2" t="str">
        <f aca="false">IF($B108="","",COUNTIFS(Datos_items!$B:$B,$B108,Datos_items!$AA:$AA,AA$4,Datos_items!$E:$E,Analisis_grupo!$C$4))</f>
        <v/>
      </c>
      <c r="AB108" s="2" t="str">
        <f aca="false">IF($B108="","",COUNTIFS(Datos_items!$B:$B,$B108,Datos_items!$AA:$AA,AB$4,Datos_items!$E:$E,Analisis_grupo!$C$4))</f>
        <v/>
      </c>
      <c r="AC108" s="2" t="str">
        <f aca="false">IF($B108="","",COUNTIFS(Datos_items!$B:$B,$B108,Datos_items!$AA:$AA,AC$4,Datos_items!$E:$E,Analisis_grupo!$C$4))</f>
        <v/>
      </c>
      <c r="AD108" s="2" t="str">
        <f aca="false">IF($B108="","",COUNTIFS(Datos_items!$B:$B,$B108,Datos_items!$AA:$AA,AD$4,Datos_items!$E:$E,Analisis_grupo!$C$4))</f>
        <v/>
      </c>
      <c r="AE108" s="2" t="str">
        <f aca="false">IF($B108="","",COUNTIFS(Datos_items!$B:$B,$B108,Datos_items!$AA:$AA,AE$4,Datos_items!$E:$E,Analisis_grupo!$C$4))</f>
        <v/>
      </c>
      <c r="AF108" s="2" t="str">
        <f aca="false">IF($B108="","",COUNTIFS(Datos_items!$B:$B,$B108,Datos_items!$AA:$AA,AF$4,Datos_items!$E:$E,Analisis_grupo!$C$4))</f>
        <v/>
      </c>
      <c r="AG108" s="2" t="str">
        <f aca="false">IF($B108="","",COUNTIFS(Datos_items!$B:$B,$B108,Datos_items!$AA:$AA,AG$4,Datos_items!$E:$E,Analisis_grupo!$C$4))</f>
        <v/>
      </c>
      <c r="AH108" s="2" t="str">
        <f aca="false">IF($B108="","",COUNTIFS(Datos_items!$B:$B,$B108,Datos_items!$AA:$AA,AH$4,Datos_items!$E:$E,Analisis_grupo!$C$4))</f>
        <v/>
      </c>
      <c r="AI108" s="2" t="str">
        <f aca="false">IF($B108="","",COUNTIFS(Datos_items!$B:$B,$B108,Datos_items!$AA:$AA,AI$4,Datos_items!$E:$E,Analisis_grupo!$C$4))</f>
        <v/>
      </c>
      <c r="AJ108" s="2" t="str">
        <f aca="false">IF($B108="","",COUNTIFS(Datos_items!$B:$B,$B108,Datos_items!$AA:$AA,AJ$4,Datos_items!$E:$E,Analisis_grupo!$C$4))</f>
        <v/>
      </c>
      <c r="AK108" s="2" t="str">
        <f aca="false">IF($B108="","",COUNTIFS(Datos_items!$B:$B,$B108,Datos_items!$AA:$AA,AK$4,Datos_items!$E:$E,Analisis_grupo!$C$4))</f>
        <v/>
      </c>
      <c r="AL108" s="2" t="str">
        <f aca="false">IF($B108="","",COUNTIFS(Datos_items!$B:$B,$B108,Datos_items!$AA:$AA,AL$4,Datos_items!$E:$E,Analisis_grupo!$C$4))</f>
        <v/>
      </c>
      <c r="AM108" s="2" t="str">
        <f aca="false">IF($B108="","",IF(MAX(Y108:AL108)=0,"",INDEX($Y$4:$AL$4,MATCH(MAX(Y108:AL108),Y108:AL108,0))))</f>
        <v/>
      </c>
      <c r="AN108" s="2" t="str">
        <f aca="false">IF($B108="","",COUNTIFS(Datos_problemas!$B:$B,$B108,Datos_problemas!$F:$F,"Práctica"))</f>
        <v/>
      </c>
      <c r="AO108" s="2" t="str">
        <f aca="false">IF($B108="","",SUMIFS(Datos_problemas!$AQ:$AQ,Datos_problemas!$B:$B,$B108,Datos_problemas!$F:$F,"Práctica"))</f>
        <v/>
      </c>
      <c r="AP108" s="2" t="str">
        <f aca="false">IF($B108="","",COUNTIFS(Datos_problemas!$B:$B,$B108,Datos_problemas!$F:$F,"Práctica",Datos_problemas!$AS:$AS,"Sí"))</f>
        <v/>
      </c>
    </row>
    <row r="109" customFormat="false" ht="15" hidden="false" customHeight="false" outlineLevel="0" collapsed="false">
      <c r="A109" s="2" t="n">
        <v>105</v>
      </c>
      <c r="B109" s="2" t="str">
        <f aca="false">IFERROR(INDEX(Datos_problemas!$B:$B,MATCH($A109,Datos_problemas!$AV:$AV,0)),"")</f>
        <v/>
      </c>
      <c r="C109" s="2" t="str">
        <f aca="false">IF($B109="","",INDEX(Datos_problemas!$C:$C,MATCH($A109,Datos_problemas!$AV:$AV,0)))</f>
        <v/>
      </c>
      <c r="D109" s="2" t="str">
        <f aca="false">IF($B109="","",INDEX(Datos_problemas!$D:$D,MATCH($A109,Datos_problemas!$AV:$AV,0)))</f>
        <v/>
      </c>
      <c r="E109" s="2" t="str">
        <f aca="false">IF($B109="","",COUNTIFS(Datos_problemas!$B:$B,$B109,Datos_problemas!$F:$F,"Evaluación"))</f>
        <v/>
      </c>
      <c r="F109" s="20" t="str">
        <f aca="false">IF($B109="","",IFERROR(AVERAGEIFS(Datos_problemas!$AE:$AE,Datos_problemas!$B:$B,$B109,Datos_problemas!$F:$F,"Evaluación"),""))</f>
        <v/>
      </c>
      <c r="G109" s="20" t="str">
        <f aca="false">IF($B109="","",IFERROR(AVERAGEIFS(Datos_problemas!$AE:$AE,Datos_problemas!$B:$B,$B109,Datos_problemas!$F:$F,"Evaluación",Datos_problemas!$E:$E,"Diagnóstico"),""))</f>
        <v/>
      </c>
      <c r="H109" s="20" t="str">
        <f aca="false">IF($B109="","",IFERROR(AVERAGEIFS(Datos_problemas!$AE:$AE,Datos_problemas!$B:$B,$B109,Datos_problemas!$F:$F,"Evaluación",Datos_problemas!$E:$E,"Final"),""))</f>
        <v/>
      </c>
      <c r="I109" s="21" t="str">
        <f aca="false">IF(OR(G109="",H109=""),"",IF(G109&gt;=10,"",(H109-G109)/(10-G109)))</f>
        <v/>
      </c>
      <c r="J109" s="18" t="str">
        <f aca="false">IF($B109="","",IFERROR(SUMIFS(Datos_items!$Z:$Z,Datos_items!$B:$B,$B109,Datos_items!$O:$O,J$4,Datos_items!$E:$E,Analisis_grupo!$C$4)/COUNTIFS(Datos_items!$B:$B,$B109,Datos_items!$O:$O,J$4,Datos_items!$E:$E,Analisis_grupo!$C$4),""))</f>
        <v/>
      </c>
      <c r="K109" s="18" t="str">
        <f aca="false">IF($B109="","",IFERROR(SUMIFS(Datos_items!$Z:$Z,Datos_items!$B:$B,$B109,Datos_items!$O:$O,K$4,Datos_items!$E:$E,Analisis_grupo!$C$4)/COUNTIFS(Datos_items!$B:$B,$B109,Datos_items!$O:$O,K$4,Datos_items!$E:$E,Analisis_grupo!$C$4),""))</f>
        <v/>
      </c>
      <c r="L109" s="18" t="str">
        <f aca="false">IF($B109="","",IFERROR(SUMIFS(Datos_items!$Z:$Z,Datos_items!$B:$B,$B109,Datos_items!$O:$O,L$4,Datos_items!$E:$E,Analisis_grupo!$C$4)/COUNTIFS(Datos_items!$B:$B,$B109,Datos_items!$O:$O,L$4,Datos_items!$E:$E,Analisis_grupo!$C$4),""))</f>
        <v/>
      </c>
      <c r="M109" s="18" t="str">
        <f aca="false">IF($B109="","",IFERROR(SUMIFS(Datos_items!$Z:$Z,Datos_items!$B:$B,$B109,Datos_items!$O:$O,M$4,Datos_items!$E:$E,Analisis_grupo!$C$4)/COUNTIFS(Datos_items!$B:$B,$B109,Datos_items!$O:$O,M$4,Datos_items!$E:$E,Analisis_grupo!$C$4),""))</f>
        <v/>
      </c>
      <c r="N109" s="18" t="str">
        <f aca="false">IF($B109="","",IFERROR(SUMIFS(Datos_items!$Z:$Z,Datos_items!$B:$B,$B109,Datos_items!$O:$O,N$4,Datos_items!$E:$E,Analisis_grupo!$C$4)/COUNTIFS(Datos_items!$B:$B,$B109,Datos_items!$O:$O,N$4,Datos_items!$E:$E,Analisis_grupo!$C$4),""))</f>
        <v/>
      </c>
      <c r="O109" s="18" t="str">
        <f aca="false">IF($B109="","",IFERROR(SUMIFS(Datos_items!$Z:$Z,Datos_items!$B:$B,$B109,Datos_items!$O:$O,O$4,Datos_items!$E:$E,Analisis_grupo!$C$4)/COUNTIFS(Datos_items!$B:$B,$B109,Datos_items!$O:$O,O$4,Datos_items!$E:$E,Analisis_grupo!$C$4),""))</f>
        <v/>
      </c>
      <c r="P109" s="18" t="str">
        <f aca="false">IF($B109="","",IFERROR(SUMIFS(Datos_items!$Z:$Z,Datos_items!$B:$B,$B109,Datos_items!$O:$O,P$4,Datos_items!$E:$E,Analisis_grupo!$C$4)/COUNTIFS(Datos_items!$B:$B,$B109,Datos_items!$O:$O,P$4,Datos_items!$E:$E,Analisis_grupo!$C$4),""))</f>
        <v/>
      </c>
      <c r="Q109" s="18" t="str">
        <f aca="false">IF($B109="","",IFERROR(SUMIFS(Datos_items!$Z:$Z,Datos_items!$B:$B,$B109,Datos_items!$O:$O,Q$4,Datos_items!$E:$E,Analisis_grupo!$C$4)/COUNTIFS(Datos_items!$B:$B,$B109,Datos_items!$O:$O,Q$4,Datos_items!$E:$E,Analisis_grupo!$C$4),""))</f>
        <v/>
      </c>
      <c r="R109" s="2" t="str">
        <f aca="false">IF(COUNT(J109:Q109)=0,"",IF(MIN(J109:Q109)&gt;=Analisis_grupo!$B$7,"(ninguna)",INDEX($J$4:$Q$4,MATCH(MIN(J109:Q109),J109:Q109,0))))</f>
        <v/>
      </c>
      <c r="S109" s="2" t="str">
        <f aca="false">IF($B109="","",COUNTIF(J109:Q109,"&lt;"&amp;Analisis_grupo!$B$7))</f>
        <v/>
      </c>
      <c r="T109" s="2" t="str">
        <f aca="false">IF($B109="","",COUNTIFS(Datos_items!$B:$B,$B109,Datos_items!$AA:$AA,T$4,Datos_items!$E:$E,Analisis_grupo!$C$4))</f>
        <v/>
      </c>
      <c r="U109" s="2" t="str">
        <f aca="false">IF($B109="","",COUNTIFS(Datos_items!$B:$B,$B109,Datos_items!$AA:$AA,U$4,Datos_items!$E:$E,Analisis_grupo!$C$4))</f>
        <v/>
      </c>
      <c r="V109" s="2" t="str">
        <f aca="false">IF($B109="","",COUNTIFS(Datos_items!$B:$B,$B109,Datos_items!$AA:$AA,V$4,Datos_items!$E:$E,Analisis_grupo!$C$4))</f>
        <v/>
      </c>
      <c r="W109" s="2" t="str">
        <f aca="false">IF($B109="","",COUNTIFS(Datos_items!$B:$B,$B109,Datos_items!$AA:$AA,W$4,Datos_items!$E:$E,Analisis_grupo!$C$4))</f>
        <v/>
      </c>
      <c r="X109" s="2" t="str">
        <f aca="false">IF($B109="","",COUNTIFS(Datos_items!$B:$B,$B109,Datos_items!$AA:$AA,X$4,Datos_items!$E:$E,Analisis_grupo!$C$4))</f>
        <v/>
      </c>
      <c r="Y109" s="2" t="str">
        <f aca="false">IF($B109="","",COUNTIFS(Datos_items!$B:$B,$B109,Datos_items!$AA:$AA,Y$4,Datos_items!$E:$E,Analisis_grupo!$C$4))</f>
        <v/>
      </c>
      <c r="Z109" s="2" t="str">
        <f aca="false">IF($B109="","",COUNTIFS(Datos_items!$B:$B,$B109,Datos_items!$AA:$AA,Z$4,Datos_items!$E:$E,Analisis_grupo!$C$4))</f>
        <v/>
      </c>
      <c r="AA109" s="2" t="str">
        <f aca="false">IF($B109="","",COUNTIFS(Datos_items!$B:$B,$B109,Datos_items!$AA:$AA,AA$4,Datos_items!$E:$E,Analisis_grupo!$C$4))</f>
        <v/>
      </c>
      <c r="AB109" s="2" t="str">
        <f aca="false">IF($B109="","",COUNTIFS(Datos_items!$B:$B,$B109,Datos_items!$AA:$AA,AB$4,Datos_items!$E:$E,Analisis_grupo!$C$4))</f>
        <v/>
      </c>
      <c r="AC109" s="2" t="str">
        <f aca="false">IF($B109="","",COUNTIFS(Datos_items!$B:$B,$B109,Datos_items!$AA:$AA,AC$4,Datos_items!$E:$E,Analisis_grupo!$C$4))</f>
        <v/>
      </c>
      <c r="AD109" s="2" t="str">
        <f aca="false">IF($B109="","",COUNTIFS(Datos_items!$B:$B,$B109,Datos_items!$AA:$AA,AD$4,Datos_items!$E:$E,Analisis_grupo!$C$4))</f>
        <v/>
      </c>
      <c r="AE109" s="2" t="str">
        <f aca="false">IF($B109="","",COUNTIFS(Datos_items!$B:$B,$B109,Datos_items!$AA:$AA,AE$4,Datos_items!$E:$E,Analisis_grupo!$C$4))</f>
        <v/>
      </c>
      <c r="AF109" s="2" t="str">
        <f aca="false">IF($B109="","",COUNTIFS(Datos_items!$B:$B,$B109,Datos_items!$AA:$AA,AF$4,Datos_items!$E:$E,Analisis_grupo!$C$4))</f>
        <v/>
      </c>
      <c r="AG109" s="2" t="str">
        <f aca="false">IF($B109="","",COUNTIFS(Datos_items!$B:$B,$B109,Datos_items!$AA:$AA,AG$4,Datos_items!$E:$E,Analisis_grupo!$C$4))</f>
        <v/>
      </c>
      <c r="AH109" s="2" t="str">
        <f aca="false">IF($B109="","",COUNTIFS(Datos_items!$B:$B,$B109,Datos_items!$AA:$AA,AH$4,Datos_items!$E:$E,Analisis_grupo!$C$4))</f>
        <v/>
      </c>
      <c r="AI109" s="2" t="str">
        <f aca="false">IF($B109="","",COUNTIFS(Datos_items!$B:$B,$B109,Datos_items!$AA:$AA,AI$4,Datos_items!$E:$E,Analisis_grupo!$C$4))</f>
        <v/>
      </c>
      <c r="AJ109" s="2" t="str">
        <f aca="false">IF($B109="","",COUNTIFS(Datos_items!$B:$B,$B109,Datos_items!$AA:$AA,AJ$4,Datos_items!$E:$E,Analisis_grupo!$C$4))</f>
        <v/>
      </c>
      <c r="AK109" s="2" t="str">
        <f aca="false">IF($B109="","",COUNTIFS(Datos_items!$B:$B,$B109,Datos_items!$AA:$AA,AK$4,Datos_items!$E:$E,Analisis_grupo!$C$4))</f>
        <v/>
      </c>
      <c r="AL109" s="2" t="str">
        <f aca="false">IF($B109="","",COUNTIFS(Datos_items!$B:$B,$B109,Datos_items!$AA:$AA,AL$4,Datos_items!$E:$E,Analisis_grupo!$C$4))</f>
        <v/>
      </c>
      <c r="AM109" s="2" t="str">
        <f aca="false">IF($B109="","",IF(MAX(Y109:AL109)=0,"",INDEX($Y$4:$AL$4,MATCH(MAX(Y109:AL109),Y109:AL109,0))))</f>
        <v/>
      </c>
      <c r="AN109" s="2" t="str">
        <f aca="false">IF($B109="","",COUNTIFS(Datos_problemas!$B:$B,$B109,Datos_problemas!$F:$F,"Práctica"))</f>
        <v/>
      </c>
      <c r="AO109" s="2" t="str">
        <f aca="false">IF($B109="","",SUMIFS(Datos_problemas!$AQ:$AQ,Datos_problemas!$B:$B,$B109,Datos_problemas!$F:$F,"Práctica"))</f>
        <v/>
      </c>
      <c r="AP109" s="2" t="str">
        <f aca="false">IF($B109="","",COUNTIFS(Datos_problemas!$B:$B,$B109,Datos_problemas!$F:$F,"Práctica",Datos_problemas!$AS:$AS,"Sí"))</f>
        <v/>
      </c>
    </row>
    <row r="110" customFormat="false" ht="15" hidden="false" customHeight="false" outlineLevel="0" collapsed="false">
      <c r="A110" s="2" t="n">
        <v>106</v>
      </c>
      <c r="B110" s="2" t="str">
        <f aca="false">IFERROR(INDEX(Datos_problemas!$B:$B,MATCH($A110,Datos_problemas!$AV:$AV,0)),"")</f>
        <v/>
      </c>
      <c r="C110" s="2" t="str">
        <f aca="false">IF($B110="","",INDEX(Datos_problemas!$C:$C,MATCH($A110,Datos_problemas!$AV:$AV,0)))</f>
        <v/>
      </c>
      <c r="D110" s="2" t="str">
        <f aca="false">IF($B110="","",INDEX(Datos_problemas!$D:$D,MATCH($A110,Datos_problemas!$AV:$AV,0)))</f>
        <v/>
      </c>
      <c r="E110" s="2" t="str">
        <f aca="false">IF($B110="","",COUNTIFS(Datos_problemas!$B:$B,$B110,Datos_problemas!$F:$F,"Evaluación"))</f>
        <v/>
      </c>
      <c r="F110" s="20" t="str">
        <f aca="false">IF($B110="","",IFERROR(AVERAGEIFS(Datos_problemas!$AE:$AE,Datos_problemas!$B:$B,$B110,Datos_problemas!$F:$F,"Evaluación"),""))</f>
        <v/>
      </c>
      <c r="G110" s="20" t="str">
        <f aca="false">IF($B110="","",IFERROR(AVERAGEIFS(Datos_problemas!$AE:$AE,Datos_problemas!$B:$B,$B110,Datos_problemas!$F:$F,"Evaluación",Datos_problemas!$E:$E,"Diagnóstico"),""))</f>
        <v/>
      </c>
      <c r="H110" s="20" t="str">
        <f aca="false">IF($B110="","",IFERROR(AVERAGEIFS(Datos_problemas!$AE:$AE,Datos_problemas!$B:$B,$B110,Datos_problemas!$F:$F,"Evaluación",Datos_problemas!$E:$E,"Final"),""))</f>
        <v/>
      </c>
      <c r="I110" s="21" t="str">
        <f aca="false">IF(OR(G110="",H110=""),"",IF(G110&gt;=10,"",(H110-G110)/(10-G110)))</f>
        <v/>
      </c>
      <c r="J110" s="18" t="str">
        <f aca="false">IF($B110="","",IFERROR(SUMIFS(Datos_items!$Z:$Z,Datos_items!$B:$B,$B110,Datos_items!$O:$O,J$4,Datos_items!$E:$E,Analisis_grupo!$C$4)/COUNTIFS(Datos_items!$B:$B,$B110,Datos_items!$O:$O,J$4,Datos_items!$E:$E,Analisis_grupo!$C$4),""))</f>
        <v/>
      </c>
      <c r="K110" s="18" t="str">
        <f aca="false">IF($B110="","",IFERROR(SUMIFS(Datos_items!$Z:$Z,Datos_items!$B:$B,$B110,Datos_items!$O:$O,K$4,Datos_items!$E:$E,Analisis_grupo!$C$4)/COUNTIFS(Datos_items!$B:$B,$B110,Datos_items!$O:$O,K$4,Datos_items!$E:$E,Analisis_grupo!$C$4),""))</f>
        <v/>
      </c>
      <c r="L110" s="18" t="str">
        <f aca="false">IF($B110="","",IFERROR(SUMIFS(Datos_items!$Z:$Z,Datos_items!$B:$B,$B110,Datos_items!$O:$O,L$4,Datos_items!$E:$E,Analisis_grupo!$C$4)/COUNTIFS(Datos_items!$B:$B,$B110,Datos_items!$O:$O,L$4,Datos_items!$E:$E,Analisis_grupo!$C$4),""))</f>
        <v/>
      </c>
      <c r="M110" s="18" t="str">
        <f aca="false">IF($B110="","",IFERROR(SUMIFS(Datos_items!$Z:$Z,Datos_items!$B:$B,$B110,Datos_items!$O:$O,M$4,Datos_items!$E:$E,Analisis_grupo!$C$4)/COUNTIFS(Datos_items!$B:$B,$B110,Datos_items!$O:$O,M$4,Datos_items!$E:$E,Analisis_grupo!$C$4),""))</f>
        <v/>
      </c>
      <c r="N110" s="18" t="str">
        <f aca="false">IF($B110="","",IFERROR(SUMIFS(Datos_items!$Z:$Z,Datos_items!$B:$B,$B110,Datos_items!$O:$O,N$4,Datos_items!$E:$E,Analisis_grupo!$C$4)/COUNTIFS(Datos_items!$B:$B,$B110,Datos_items!$O:$O,N$4,Datos_items!$E:$E,Analisis_grupo!$C$4),""))</f>
        <v/>
      </c>
      <c r="O110" s="18" t="str">
        <f aca="false">IF($B110="","",IFERROR(SUMIFS(Datos_items!$Z:$Z,Datos_items!$B:$B,$B110,Datos_items!$O:$O,O$4,Datos_items!$E:$E,Analisis_grupo!$C$4)/COUNTIFS(Datos_items!$B:$B,$B110,Datos_items!$O:$O,O$4,Datos_items!$E:$E,Analisis_grupo!$C$4),""))</f>
        <v/>
      </c>
      <c r="P110" s="18" t="str">
        <f aca="false">IF($B110="","",IFERROR(SUMIFS(Datos_items!$Z:$Z,Datos_items!$B:$B,$B110,Datos_items!$O:$O,P$4,Datos_items!$E:$E,Analisis_grupo!$C$4)/COUNTIFS(Datos_items!$B:$B,$B110,Datos_items!$O:$O,P$4,Datos_items!$E:$E,Analisis_grupo!$C$4),""))</f>
        <v/>
      </c>
      <c r="Q110" s="18" t="str">
        <f aca="false">IF($B110="","",IFERROR(SUMIFS(Datos_items!$Z:$Z,Datos_items!$B:$B,$B110,Datos_items!$O:$O,Q$4,Datos_items!$E:$E,Analisis_grupo!$C$4)/COUNTIFS(Datos_items!$B:$B,$B110,Datos_items!$O:$O,Q$4,Datos_items!$E:$E,Analisis_grupo!$C$4),""))</f>
        <v/>
      </c>
      <c r="R110" s="2" t="str">
        <f aca="false">IF(COUNT(J110:Q110)=0,"",IF(MIN(J110:Q110)&gt;=Analisis_grupo!$B$7,"(ninguna)",INDEX($J$4:$Q$4,MATCH(MIN(J110:Q110),J110:Q110,0))))</f>
        <v/>
      </c>
      <c r="S110" s="2" t="str">
        <f aca="false">IF($B110="","",COUNTIF(J110:Q110,"&lt;"&amp;Analisis_grupo!$B$7))</f>
        <v/>
      </c>
      <c r="T110" s="2" t="str">
        <f aca="false">IF($B110="","",COUNTIFS(Datos_items!$B:$B,$B110,Datos_items!$AA:$AA,T$4,Datos_items!$E:$E,Analisis_grupo!$C$4))</f>
        <v/>
      </c>
      <c r="U110" s="2" t="str">
        <f aca="false">IF($B110="","",COUNTIFS(Datos_items!$B:$B,$B110,Datos_items!$AA:$AA,U$4,Datos_items!$E:$E,Analisis_grupo!$C$4))</f>
        <v/>
      </c>
      <c r="V110" s="2" t="str">
        <f aca="false">IF($B110="","",COUNTIFS(Datos_items!$B:$B,$B110,Datos_items!$AA:$AA,V$4,Datos_items!$E:$E,Analisis_grupo!$C$4))</f>
        <v/>
      </c>
      <c r="W110" s="2" t="str">
        <f aca="false">IF($B110="","",COUNTIFS(Datos_items!$B:$B,$B110,Datos_items!$AA:$AA,W$4,Datos_items!$E:$E,Analisis_grupo!$C$4))</f>
        <v/>
      </c>
      <c r="X110" s="2" t="str">
        <f aca="false">IF($B110="","",COUNTIFS(Datos_items!$B:$B,$B110,Datos_items!$AA:$AA,X$4,Datos_items!$E:$E,Analisis_grupo!$C$4))</f>
        <v/>
      </c>
      <c r="Y110" s="2" t="str">
        <f aca="false">IF($B110="","",COUNTIFS(Datos_items!$B:$B,$B110,Datos_items!$AA:$AA,Y$4,Datos_items!$E:$E,Analisis_grupo!$C$4))</f>
        <v/>
      </c>
      <c r="Z110" s="2" t="str">
        <f aca="false">IF($B110="","",COUNTIFS(Datos_items!$B:$B,$B110,Datos_items!$AA:$AA,Z$4,Datos_items!$E:$E,Analisis_grupo!$C$4))</f>
        <v/>
      </c>
      <c r="AA110" s="2" t="str">
        <f aca="false">IF($B110="","",COUNTIFS(Datos_items!$B:$B,$B110,Datos_items!$AA:$AA,AA$4,Datos_items!$E:$E,Analisis_grupo!$C$4))</f>
        <v/>
      </c>
      <c r="AB110" s="2" t="str">
        <f aca="false">IF($B110="","",COUNTIFS(Datos_items!$B:$B,$B110,Datos_items!$AA:$AA,AB$4,Datos_items!$E:$E,Analisis_grupo!$C$4))</f>
        <v/>
      </c>
      <c r="AC110" s="2" t="str">
        <f aca="false">IF($B110="","",COUNTIFS(Datos_items!$B:$B,$B110,Datos_items!$AA:$AA,AC$4,Datos_items!$E:$E,Analisis_grupo!$C$4))</f>
        <v/>
      </c>
      <c r="AD110" s="2" t="str">
        <f aca="false">IF($B110="","",COUNTIFS(Datos_items!$B:$B,$B110,Datos_items!$AA:$AA,AD$4,Datos_items!$E:$E,Analisis_grupo!$C$4))</f>
        <v/>
      </c>
      <c r="AE110" s="2" t="str">
        <f aca="false">IF($B110="","",COUNTIFS(Datos_items!$B:$B,$B110,Datos_items!$AA:$AA,AE$4,Datos_items!$E:$E,Analisis_grupo!$C$4))</f>
        <v/>
      </c>
      <c r="AF110" s="2" t="str">
        <f aca="false">IF($B110="","",COUNTIFS(Datos_items!$B:$B,$B110,Datos_items!$AA:$AA,AF$4,Datos_items!$E:$E,Analisis_grupo!$C$4))</f>
        <v/>
      </c>
      <c r="AG110" s="2" t="str">
        <f aca="false">IF($B110="","",COUNTIFS(Datos_items!$B:$B,$B110,Datos_items!$AA:$AA,AG$4,Datos_items!$E:$E,Analisis_grupo!$C$4))</f>
        <v/>
      </c>
      <c r="AH110" s="2" t="str">
        <f aca="false">IF($B110="","",COUNTIFS(Datos_items!$B:$B,$B110,Datos_items!$AA:$AA,AH$4,Datos_items!$E:$E,Analisis_grupo!$C$4))</f>
        <v/>
      </c>
      <c r="AI110" s="2" t="str">
        <f aca="false">IF($B110="","",COUNTIFS(Datos_items!$B:$B,$B110,Datos_items!$AA:$AA,AI$4,Datos_items!$E:$E,Analisis_grupo!$C$4))</f>
        <v/>
      </c>
      <c r="AJ110" s="2" t="str">
        <f aca="false">IF($B110="","",COUNTIFS(Datos_items!$B:$B,$B110,Datos_items!$AA:$AA,AJ$4,Datos_items!$E:$E,Analisis_grupo!$C$4))</f>
        <v/>
      </c>
      <c r="AK110" s="2" t="str">
        <f aca="false">IF($B110="","",COUNTIFS(Datos_items!$B:$B,$B110,Datos_items!$AA:$AA,AK$4,Datos_items!$E:$E,Analisis_grupo!$C$4))</f>
        <v/>
      </c>
      <c r="AL110" s="2" t="str">
        <f aca="false">IF($B110="","",COUNTIFS(Datos_items!$B:$B,$B110,Datos_items!$AA:$AA,AL$4,Datos_items!$E:$E,Analisis_grupo!$C$4))</f>
        <v/>
      </c>
      <c r="AM110" s="2" t="str">
        <f aca="false">IF($B110="","",IF(MAX(Y110:AL110)=0,"",INDEX($Y$4:$AL$4,MATCH(MAX(Y110:AL110),Y110:AL110,0))))</f>
        <v/>
      </c>
      <c r="AN110" s="2" t="str">
        <f aca="false">IF($B110="","",COUNTIFS(Datos_problemas!$B:$B,$B110,Datos_problemas!$F:$F,"Práctica"))</f>
        <v/>
      </c>
      <c r="AO110" s="2" t="str">
        <f aca="false">IF($B110="","",SUMIFS(Datos_problemas!$AQ:$AQ,Datos_problemas!$B:$B,$B110,Datos_problemas!$F:$F,"Práctica"))</f>
        <v/>
      </c>
      <c r="AP110" s="2" t="str">
        <f aca="false">IF($B110="","",COUNTIFS(Datos_problemas!$B:$B,$B110,Datos_problemas!$F:$F,"Práctica",Datos_problemas!$AS:$AS,"Sí"))</f>
        <v/>
      </c>
    </row>
    <row r="111" customFormat="false" ht="15" hidden="false" customHeight="false" outlineLevel="0" collapsed="false">
      <c r="A111" s="2" t="n">
        <v>107</v>
      </c>
      <c r="B111" s="2" t="str">
        <f aca="false">IFERROR(INDEX(Datos_problemas!$B:$B,MATCH($A111,Datos_problemas!$AV:$AV,0)),"")</f>
        <v/>
      </c>
      <c r="C111" s="2" t="str">
        <f aca="false">IF($B111="","",INDEX(Datos_problemas!$C:$C,MATCH($A111,Datos_problemas!$AV:$AV,0)))</f>
        <v/>
      </c>
      <c r="D111" s="2" t="str">
        <f aca="false">IF($B111="","",INDEX(Datos_problemas!$D:$D,MATCH($A111,Datos_problemas!$AV:$AV,0)))</f>
        <v/>
      </c>
      <c r="E111" s="2" t="str">
        <f aca="false">IF($B111="","",COUNTIFS(Datos_problemas!$B:$B,$B111,Datos_problemas!$F:$F,"Evaluación"))</f>
        <v/>
      </c>
      <c r="F111" s="20" t="str">
        <f aca="false">IF($B111="","",IFERROR(AVERAGEIFS(Datos_problemas!$AE:$AE,Datos_problemas!$B:$B,$B111,Datos_problemas!$F:$F,"Evaluación"),""))</f>
        <v/>
      </c>
      <c r="G111" s="20" t="str">
        <f aca="false">IF($B111="","",IFERROR(AVERAGEIFS(Datos_problemas!$AE:$AE,Datos_problemas!$B:$B,$B111,Datos_problemas!$F:$F,"Evaluación",Datos_problemas!$E:$E,"Diagnóstico"),""))</f>
        <v/>
      </c>
      <c r="H111" s="20" t="str">
        <f aca="false">IF($B111="","",IFERROR(AVERAGEIFS(Datos_problemas!$AE:$AE,Datos_problemas!$B:$B,$B111,Datos_problemas!$F:$F,"Evaluación",Datos_problemas!$E:$E,"Final"),""))</f>
        <v/>
      </c>
      <c r="I111" s="21" t="str">
        <f aca="false">IF(OR(G111="",H111=""),"",IF(G111&gt;=10,"",(H111-G111)/(10-G111)))</f>
        <v/>
      </c>
      <c r="J111" s="18" t="str">
        <f aca="false">IF($B111="","",IFERROR(SUMIFS(Datos_items!$Z:$Z,Datos_items!$B:$B,$B111,Datos_items!$O:$O,J$4,Datos_items!$E:$E,Analisis_grupo!$C$4)/COUNTIFS(Datos_items!$B:$B,$B111,Datos_items!$O:$O,J$4,Datos_items!$E:$E,Analisis_grupo!$C$4),""))</f>
        <v/>
      </c>
      <c r="K111" s="18" t="str">
        <f aca="false">IF($B111="","",IFERROR(SUMIFS(Datos_items!$Z:$Z,Datos_items!$B:$B,$B111,Datos_items!$O:$O,K$4,Datos_items!$E:$E,Analisis_grupo!$C$4)/COUNTIFS(Datos_items!$B:$B,$B111,Datos_items!$O:$O,K$4,Datos_items!$E:$E,Analisis_grupo!$C$4),""))</f>
        <v/>
      </c>
      <c r="L111" s="18" t="str">
        <f aca="false">IF($B111="","",IFERROR(SUMIFS(Datos_items!$Z:$Z,Datos_items!$B:$B,$B111,Datos_items!$O:$O,L$4,Datos_items!$E:$E,Analisis_grupo!$C$4)/COUNTIFS(Datos_items!$B:$B,$B111,Datos_items!$O:$O,L$4,Datos_items!$E:$E,Analisis_grupo!$C$4),""))</f>
        <v/>
      </c>
      <c r="M111" s="18" t="str">
        <f aca="false">IF($B111="","",IFERROR(SUMIFS(Datos_items!$Z:$Z,Datos_items!$B:$B,$B111,Datos_items!$O:$O,M$4,Datos_items!$E:$E,Analisis_grupo!$C$4)/COUNTIFS(Datos_items!$B:$B,$B111,Datos_items!$O:$O,M$4,Datos_items!$E:$E,Analisis_grupo!$C$4),""))</f>
        <v/>
      </c>
      <c r="N111" s="18" t="str">
        <f aca="false">IF($B111="","",IFERROR(SUMIFS(Datos_items!$Z:$Z,Datos_items!$B:$B,$B111,Datos_items!$O:$O,N$4,Datos_items!$E:$E,Analisis_grupo!$C$4)/COUNTIFS(Datos_items!$B:$B,$B111,Datos_items!$O:$O,N$4,Datos_items!$E:$E,Analisis_grupo!$C$4),""))</f>
        <v/>
      </c>
      <c r="O111" s="18" t="str">
        <f aca="false">IF($B111="","",IFERROR(SUMIFS(Datos_items!$Z:$Z,Datos_items!$B:$B,$B111,Datos_items!$O:$O,O$4,Datos_items!$E:$E,Analisis_grupo!$C$4)/COUNTIFS(Datos_items!$B:$B,$B111,Datos_items!$O:$O,O$4,Datos_items!$E:$E,Analisis_grupo!$C$4),""))</f>
        <v/>
      </c>
      <c r="P111" s="18" t="str">
        <f aca="false">IF($B111="","",IFERROR(SUMIFS(Datos_items!$Z:$Z,Datos_items!$B:$B,$B111,Datos_items!$O:$O,P$4,Datos_items!$E:$E,Analisis_grupo!$C$4)/COUNTIFS(Datos_items!$B:$B,$B111,Datos_items!$O:$O,P$4,Datos_items!$E:$E,Analisis_grupo!$C$4),""))</f>
        <v/>
      </c>
      <c r="Q111" s="18" t="str">
        <f aca="false">IF($B111="","",IFERROR(SUMIFS(Datos_items!$Z:$Z,Datos_items!$B:$B,$B111,Datos_items!$O:$O,Q$4,Datos_items!$E:$E,Analisis_grupo!$C$4)/COUNTIFS(Datos_items!$B:$B,$B111,Datos_items!$O:$O,Q$4,Datos_items!$E:$E,Analisis_grupo!$C$4),""))</f>
        <v/>
      </c>
      <c r="R111" s="2" t="str">
        <f aca="false">IF(COUNT(J111:Q111)=0,"",IF(MIN(J111:Q111)&gt;=Analisis_grupo!$B$7,"(ninguna)",INDEX($J$4:$Q$4,MATCH(MIN(J111:Q111),J111:Q111,0))))</f>
        <v/>
      </c>
      <c r="S111" s="2" t="str">
        <f aca="false">IF($B111="","",COUNTIF(J111:Q111,"&lt;"&amp;Analisis_grupo!$B$7))</f>
        <v/>
      </c>
      <c r="T111" s="2" t="str">
        <f aca="false">IF($B111="","",COUNTIFS(Datos_items!$B:$B,$B111,Datos_items!$AA:$AA,T$4,Datos_items!$E:$E,Analisis_grupo!$C$4))</f>
        <v/>
      </c>
      <c r="U111" s="2" t="str">
        <f aca="false">IF($B111="","",COUNTIFS(Datos_items!$B:$B,$B111,Datos_items!$AA:$AA,U$4,Datos_items!$E:$E,Analisis_grupo!$C$4))</f>
        <v/>
      </c>
      <c r="V111" s="2" t="str">
        <f aca="false">IF($B111="","",COUNTIFS(Datos_items!$B:$B,$B111,Datos_items!$AA:$AA,V$4,Datos_items!$E:$E,Analisis_grupo!$C$4))</f>
        <v/>
      </c>
      <c r="W111" s="2" t="str">
        <f aca="false">IF($B111="","",COUNTIFS(Datos_items!$B:$B,$B111,Datos_items!$AA:$AA,W$4,Datos_items!$E:$E,Analisis_grupo!$C$4))</f>
        <v/>
      </c>
      <c r="X111" s="2" t="str">
        <f aca="false">IF($B111="","",COUNTIFS(Datos_items!$B:$B,$B111,Datos_items!$AA:$AA,X$4,Datos_items!$E:$E,Analisis_grupo!$C$4))</f>
        <v/>
      </c>
      <c r="Y111" s="2" t="str">
        <f aca="false">IF($B111="","",COUNTIFS(Datos_items!$B:$B,$B111,Datos_items!$AA:$AA,Y$4,Datos_items!$E:$E,Analisis_grupo!$C$4))</f>
        <v/>
      </c>
      <c r="Z111" s="2" t="str">
        <f aca="false">IF($B111="","",COUNTIFS(Datos_items!$B:$B,$B111,Datos_items!$AA:$AA,Z$4,Datos_items!$E:$E,Analisis_grupo!$C$4))</f>
        <v/>
      </c>
      <c r="AA111" s="2" t="str">
        <f aca="false">IF($B111="","",COUNTIFS(Datos_items!$B:$B,$B111,Datos_items!$AA:$AA,AA$4,Datos_items!$E:$E,Analisis_grupo!$C$4))</f>
        <v/>
      </c>
      <c r="AB111" s="2" t="str">
        <f aca="false">IF($B111="","",COUNTIFS(Datos_items!$B:$B,$B111,Datos_items!$AA:$AA,AB$4,Datos_items!$E:$E,Analisis_grupo!$C$4))</f>
        <v/>
      </c>
      <c r="AC111" s="2" t="str">
        <f aca="false">IF($B111="","",COUNTIFS(Datos_items!$B:$B,$B111,Datos_items!$AA:$AA,AC$4,Datos_items!$E:$E,Analisis_grupo!$C$4))</f>
        <v/>
      </c>
      <c r="AD111" s="2" t="str">
        <f aca="false">IF($B111="","",COUNTIFS(Datos_items!$B:$B,$B111,Datos_items!$AA:$AA,AD$4,Datos_items!$E:$E,Analisis_grupo!$C$4))</f>
        <v/>
      </c>
      <c r="AE111" s="2" t="str">
        <f aca="false">IF($B111="","",COUNTIFS(Datos_items!$B:$B,$B111,Datos_items!$AA:$AA,AE$4,Datos_items!$E:$E,Analisis_grupo!$C$4))</f>
        <v/>
      </c>
      <c r="AF111" s="2" t="str">
        <f aca="false">IF($B111="","",COUNTIFS(Datos_items!$B:$B,$B111,Datos_items!$AA:$AA,AF$4,Datos_items!$E:$E,Analisis_grupo!$C$4))</f>
        <v/>
      </c>
      <c r="AG111" s="2" t="str">
        <f aca="false">IF($B111="","",COUNTIFS(Datos_items!$B:$B,$B111,Datos_items!$AA:$AA,AG$4,Datos_items!$E:$E,Analisis_grupo!$C$4))</f>
        <v/>
      </c>
      <c r="AH111" s="2" t="str">
        <f aca="false">IF($B111="","",COUNTIFS(Datos_items!$B:$B,$B111,Datos_items!$AA:$AA,AH$4,Datos_items!$E:$E,Analisis_grupo!$C$4))</f>
        <v/>
      </c>
      <c r="AI111" s="2" t="str">
        <f aca="false">IF($B111="","",COUNTIFS(Datos_items!$B:$B,$B111,Datos_items!$AA:$AA,AI$4,Datos_items!$E:$E,Analisis_grupo!$C$4))</f>
        <v/>
      </c>
      <c r="AJ111" s="2" t="str">
        <f aca="false">IF($B111="","",COUNTIFS(Datos_items!$B:$B,$B111,Datos_items!$AA:$AA,AJ$4,Datos_items!$E:$E,Analisis_grupo!$C$4))</f>
        <v/>
      </c>
      <c r="AK111" s="2" t="str">
        <f aca="false">IF($B111="","",COUNTIFS(Datos_items!$B:$B,$B111,Datos_items!$AA:$AA,AK$4,Datos_items!$E:$E,Analisis_grupo!$C$4))</f>
        <v/>
      </c>
      <c r="AL111" s="2" t="str">
        <f aca="false">IF($B111="","",COUNTIFS(Datos_items!$B:$B,$B111,Datos_items!$AA:$AA,AL$4,Datos_items!$E:$E,Analisis_grupo!$C$4))</f>
        <v/>
      </c>
      <c r="AM111" s="2" t="str">
        <f aca="false">IF($B111="","",IF(MAX(Y111:AL111)=0,"",INDEX($Y$4:$AL$4,MATCH(MAX(Y111:AL111),Y111:AL111,0))))</f>
        <v/>
      </c>
      <c r="AN111" s="2" t="str">
        <f aca="false">IF($B111="","",COUNTIFS(Datos_problemas!$B:$B,$B111,Datos_problemas!$F:$F,"Práctica"))</f>
        <v/>
      </c>
      <c r="AO111" s="2" t="str">
        <f aca="false">IF($B111="","",SUMIFS(Datos_problemas!$AQ:$AQ,Datos_problemas!$B:$B,$B111,Datos_problemas!$F:$F,"Práctica"))</f>
        <v/>
      </c>
      <c r="AP111" s="2" t="str">
        <f aca="false">IF($B111="","",COUNTIFS(Datos_problemas!$B:$B,$B111,Datos_problemas!$F:$F,"Práctica",Datos_problemas!$AS:$AS,"Sí"))</f>
        <v/>
      </c>
    </row>
    <row r="112" customFormat="false" ht="15" hidden="false" customHeight="false" outlineLevel="0" collapsed="false">
      <c r="A112" s="2" t="n">
        <v>108</v>
      </c>
      <c r="B112" s="2" t="str">
        <f aca="false">IFERROR(INDEX(Datos_problemas!$B:$B,MATCH($A112,Datos_problemas!$AV:$AV,0)),"")</f>
        <v/>
      </c>
      <c r="C112" s="2" t="str">
        <f aca="false">IF($B112="","",INDEX(Datos_problemas!$C:$C,MATCH($A112,Datos_problemas!$AV:$AV,0)))</f>
        <v/>
      </c>
      <c r="D112" s="2" t="str">
        <f aca="false">IF($B112="","",INDEX(Datos_problemas!$D:$D,MATCH($A112,Datos_problemas!$AV:$AV,0)))</f>
        <v/>
      </c>
      <c r="E112" s="2" t="str">
        <f aca="false">IF($B112="","",COUNTIFS(Datos_problemas!$B:$B,$B112,Datos_problemas!$F:$F,"Evaluación"))</f>
        <v/>
      </c>
      <c r="F112" s="20" t="str">
        <f aca="false">IF($B112="","",IFERROR(AVERAGEIFS(Datos_problemas!$AE:$AE,Datos_problemas!$B:$B,$B112,Datos_problemas!$F:$F,"Evaluación"),""))</f>
        <v/>
      </c>
      <c r="G112" s="20" t="str">
        <f aca="false">IF($B112="","",IFERROR(AVERAGEIFS(Datos_problemas!$AE:$AE,Datos_problemas!$B:$B,$B112,Datos_problemas!$F:$F,"Evaluación",Datos_problemas!$E:$E,"Diagnóstico"),""))</f>
        <v/>
      </c>
      <c r="H112" s="20" t="str">
        <f aca="false">IF($B112="","",IFERROR(AVERAGEIFS(Datos_problemas!$AE:$AE,Datos_problemas!$B:$B,$B112,Datos_problemas!$F:$F,"Evaluación",Datos_problemas!$E:$E,"Final"),""))</f>
        <v/>
      </c>
      <c r="I112" s="21" t="str">
        <f aca="false">IF(OR(G112="",H112=""),"",IF(G112&gt;=10,"",(H112-G112)/(10-G112)))</f>
        <v/>
      </c>
      <c r="J112" s="18" t="str">
        <f aca="false">IF($B112="","",IFERROR(SUMIFS(Datos_items!$Z:$Z,Datos_items!$B:$B,$B112,Datos_items!$O:$O,J$4,Datos_items!$E:$E,Analisis_grupo!$C$4)/COUNTIFS(Datos_items!$B:$B,$B112,Datos_items!$O:$O,J$4,Datos_items!$E:$E,Analisis_grupo!$C$4),""))</f>
        <v/>
      </c>
      <c r="K112" s="18" t="str">
        <f aca="false">IF($B112="","",IFERROR(SUMIFS(Datos_items!$Z:$Z,Datos_items!$B:$B,$B112,Datos_items!$O:$O,K$4,Datos_items!$E:$E,Analisis_grupo!$C$4)/COUNTIFS(Datos_items!$B:$B,$B112,Datos_items!$O:$O,K$4,Datos_items!$E:$E,Analisis_grupo!$C$4),""))</f>
        <v/>
      </c>
      <c r="L112" s="18" t="str">
        <f aca="false">IF($B112="","",IFERROR(SUMIFS(Datos_items!$Z:$Z,Datos_items!$B:$B,$B112,Datos_items!$O:$O,L$4,Datos_items!$E:$E,Analisis_grupo!$C$4)/COUNTIFS(Datos_items!$B:$B,$B112,Datos_items!$O:$O,L$4,Datos_items!$E:$E,Analisis_grupo!$C$4),""))</f>
        <v/>
      </c>
      <c r="M112" s="18" t="str">
        <f aca="false">IF($B112="","",IFERROR(SUMIFS(Datos_items!$Z:$Z,Datos_items!$B:$B,$B112,Datos_items!$O:$O,M$4,Datos_items!$E:$E,Analisis_grupo!$C$4)/COUNTIFS(Datos_items!$B:$B,$B112,Datos_items!$O:$O,M$4,Datos_items!$E:$E,Analisis_grupo!$C$4),""))</f>
        <v/>
      </c>
      <c r="N112" s="18" t="str">
        <f aca="false">IF($B112="","",IFERROR(SUMIFS(Datos_items!$Z:$Z,Datos_items!$B:$B,$B112,Datos_items!$O:$O,N$4,Datos_items!$E:$E,Analisis_grupo!$C$4)/COUNTIFS(Datos_items!$B:$B,$B112,Datos_items!$O:$O,N$4,Datos_items!$E:$E,Analisis_grupo!$C$4),""))</f>
        <v/>
      </c>
      <c r="O112" s="18" t="str">
        <f aca="false">IF($B112="","",IFERROR(SUMIFS(Datos_items!$Z:$Z,Datos_items!$B:$B,$B112,Datos_items!$O:$O,O$4,Datos_items!$E:$E,Analisis_grupo!$C$4)/COUNTIFS(Datos_items!$B:$B,$B112,Datos_items!$O:$O,O$4,Datos_items!$E:$E,Analisis_grupo!$C$4),""))</f>
        <v/>
      </c>
      <c r="P112" s="18" t="str">
        <f aca="false">IF($B112="","",IFERROR(SUMIFS(Datos_items!$Z:$Z,Datos_items!$B:$B,$B112,Datos_items!$O:$O,P$4,Datos_items!$E:$E,Analisis_grupo!$C$4)/COUNTIFS(Datos_items!$B:$B,$B112,Datos_items!$O:$O,P$4,Datos_items!$E:$E,Analisis_grupo!$C$4),""))</f>
        <v/>
      </c>
      <c r="Q112" s="18" t="str">
        <f aca="false">IF($B112="","",IFERROR(SUMIFS(Datos_items!$Z:$Z,Datos_items!$B:$B,$B112,Datos_items!$O:$O,Q$4,Datos_items!$E:$E,Analisis_grupo!$C$4)/COUNTIFS(Datos_items!$B:$B,$B112,Datos_items!$O:$O,Q$4,Datos_items!$E:$E,Analisis_grupo!$C$4),""))</f>
        <v/>
      </c>
      <c r="R112" s="2" t="str">
        <f aca="false">IF(COUNT(J112:Q112)=0,"",IF(MIN(J112:Q112)&gt;=Analisis_grupo!$B$7,"(ninguna)",INDEX($J$4:$Q$4,MATCH(MIN(J112:Q112),J112:Q112,0))))</f>
        <v/>
      </c>
      <c r="S112" s="2" t="str">
        <f aca="false">IF($B112="","",COUNTIF(J112:Q112,"&lt;"&amp;Analisis_grupo!$B$7))</f>
        <v/>
      </c>
      <c r="T112" s="2" t="str">
        <f aca="false">IF($B112="","",COUNTIFS(Datos_items!$B:$B,$B112,Datos_items!$AA:$AA,T$4,Datos_items!$E:$E,Analisis_grupo!$C$4))</f>
        <v/>
      </c>
      <c r="U112" s="2" t="str">
        <f aca="false">IF($B112="","",COUNTIFS(Datos_items!$B:$B,$B112,Datos_items!$AA:$AA,U$4,Datos_items!$E:$E,Analisis_grupo!$C$4))</f>
        <v/>
      </c>
      <c r="V112" s="2" t="str">
        <f aca="false">IF($B112="","",COUNTIFS(Datos_items!$B:$B,$B112,Datos_items!$AA:$AA,V$4,Datos_items!$E:$E,Analisis_grupo!$C$4))</f>
        <v/>
      </c>
      <c r="W112" s="2" t="str">
        <f aca="false">IF($B112="","",COUNTIFS(Datos_items!$B:$B,$B112,Datos_items!$AA:$AA,W$4,Datos_items!$E:$E,Analisis_grupo!$C$4))</f>
        <v/>
      </c>
      <c r="X112" s="2" t="str">
        <f aca="false">IF($B112="","",COUNTIFS(Datos_items!$B:$B,$B112,Datos_items!$AA:$AA,X$4,Datos_items!$E:$E,Analisis_grupo!$C$4))</f>
        <v/>
      </c>
      <c r="Y112" s="2" t="str">
        <f aca="false">IF($B112="","",COUNTIFS(Datos_items!$B:$B,$B112,Datos_items!$AA:$AA,Y$4,Datos_items!$E:$E,Analisis_grupo!$C$4))</f>
        <v/>
      </c>
      <c r="Z112" s="2" t="str">
        <f aca="false">IF($B112="","",COUNTIFS(Datos_items!$B:$B,$B112,Datos_items!$AA:$AA,Z$4,Datos_items!$E:$E,Analisis_grupo!$C$4))</f>
        <v/>
      </c>
      <c r="AA112" s="2" t="str">
        <f aca="false">IF($B112="","",COUNTIFS(Datos_items!$B:$B,$B112,Datos_items!$AA:$AA,AA$4,Datos_items!$E:$E,Analisis_grupo!$C$4))</f>
        <v/>
      </c>
      <c r="AB112" s="2" t="str">
        <f aca="false">IF($B112="","",COUNTIFS(Datos_items!$B:$B,$B112,Datos_items!$AA:$AA,AB$4,Datos_items!$E:$E,Analisis_grupo!$C$4))</f>
        <v/>
      </c>
      <c r="AC112" s="2" t="str">
        <f aca="false">IF($B112="","",COUNTIFS(Datos_items!$B:$B,$B112,Datos_items!$AA:$AA,AC$4,Datos_items!$E:$E,Analisis_grupo!$C$4))</f>
        <v/>
      </c>
      <c r="AD112" s="2" t="str">
        <f aca="false">IF($B112="","",COUNTIFS(Datos_items!$B:$B,$B112,Datos_items!$AA:$AA,AD$4,Datos_items!$E:$E,Analisis_grupo!$C$4))</f>
        <v/>
      </c>
      <c r="AE112" s="2" t="str">
        <f aca="false">IF($B112="","",COUNTIFS(Datos_items!$B:$B,$B112,Datos_items!$AA:$AA,AE$4,Datos_items!$E:$E,Analisis_grupo!$C$4))</f>
        <v/>
      </c>
      <c r="AF112" s="2" t="str">
        <f aca="false">IF($B112="","",COUNTIFS(Datos_items!$B:$B,$B112,Datos_items!$AA:$AA,AF$4,Datos_items!$E:$E,Analisis_grupo!$C$4))</f>
        <v/>
      </c>
      <c r="AG112" s="2" t="str">
        <f aca="false">IF($B112="","",COUNTIFS(Datos_items!$B:$B,$B112,Datos_items!$AA:$AA,AG$4,Datos_items!$E:$E,Analisis_grupo!$C$4))</f>
        <v/>
      </c>
      <c r="AH112" s="2" t="str">
        <f aca="false">IF($B112="","",COUNTIFS(Datos_items!$B:$B,$B112,Datos_items!$AA:$AA,AH$4,Datos_items!$E:$E,Analisis_grupo!$C$4))</f>
        <v/>
      </c>
      <c r="AI112" s="2" t="str">
        <f aca="false">IF($B112="","",COUNTIFS(Datos_items!$B:$B,$B112,Datos_items!$AA:$AA,AI$4,Datos_items!$E:$E,Analisis_grupo!$C$4))</f>
        <v/>
      </c>
      <c r="AJ112" s="2" t="str">
        <f aca="false">IF($B112="","",COUNTIFS(Datos_items!$B:$B,$B112,Datos_items!$AA:$AA,AJ$4,Datos_items!$E:$E,Analisis_grupo!$C$4))</f>
        <v/>
      </c>
      <c r="AK112" s="2" t="str">
        <f aca="false">IF($B112="","",COUNTIFS(Datos_items!$B:$B,$B112,Datos_items!$AA:$AA,AK$4,Datos_items!$E:$E,Analisis_grupo!$C$4))</f>
        <v/>
      </c>
      <c r="AL112" s="2" t="str">
        <f aca="false">IF($B112="","",COUNTIFS(Datos_items!$B:$B,$B112,Datos_items!$AA:$AA,AL$4,Datos_items!$E:$E,Analisis_grupo!$C$4))</f>
        <v/>
      </c>
      <c r="AM112" s="2" t="str">
        <f aca="false">IF($B112="","",IF(MAX(Y112:AL112)=0,"",INDEX($Y$4:$AL$4,MATCH(MAX(Y112:AL112),Y112:AL112,0))))</f>
        <v/>
      </c>
      <c r="AN112" s="2" t="str">
        <f aca="false">IF($B112="","",COUNTIFS(Datos_problemas!$B:$B,$B112,Datos_problemas!$F:$F,"Práctica"))</f>
        <v/>
      </c>
      <c r="AO112" s="2" t="str">
        <f aca="false">IF($B112="","",SUMIFS(Datos_problemas!$AQ:$AQ,Datos_problemas!$B:$B,$B112,Datos_problemas!$F:$F,"Práctica"))</f>
        <v/>
      </c>
      <c r="AP112" s="2" t="str">
        <f aca="false">IF($B112="","",COUNTIFS(Datos_problemas!$B:$B,$B112,Datos_problemas!$F:$F,"Práctica",Datos_problemas!$AS:$AS,"Sí"))</f>
        <v/>
      </c>
    </row>
    <row r="113" customFormat="false" ht="15" hidden="false" customHeight="false" outlineLevel="0" collapsed="false">
      <c r="A113" s="2" t="n">
        <v>109</v>
      </c>
      <c r="B113" s="2" t="str">
        <f aca="false">IFERROR(INDEX(Datos_problemas!$B:$B,MATCH($A113,Datos_problemas!$AV:$AV,0)),"")</f>
        <v/>
      </c>
      <c r="C113" s="2" t="str">
        <f aca="false">IF($B113="","",INDEX(Datos_problemas!$C:$C,MATCH($A113,Datos_problemas!$AV:$AV,0)))</f>
        <v/>
      </c>
      <c r="D113" s="2" t="str">
        <f aca="false">IF($B113="","",INDEX(Datos_problemas!$D:$D,MATCH($A113,Datos_problemas!$AV:$AV,0)))</f>
        <v/>
      </c>
      <c r="E113" s="2" t="str">
        <f aca="false">IF($B113="","",COUNTIFS(Datos_problemas!$B:$B,$B113,Datos_problemas!$F:$F,"Evaluación"))</f>
        <v/>
      </c>
      <c r="F113" s="20" t="str">
        <f aca="false">IF($B113="","",IFERROR(AVERAGEIFS(Datos_problemas!$AE:$AE,Datos_problemas!$B:$B,$B113,Datos_problemas!$F:$F,"Evaluación"),""))</f>
        <v/>
      </c>
      <c r="G113" s="20" t="str">
        <f aca="false">IF($B113="","",IFERROR(AVERAGEIFS(Datos_problemas!$AE:$AE,Datos_problemas!$B:$B,$B113,Datos_problemas!$F:$F,"Evaluación",Datos_problemas!$E:$E,"Diagnóstico"),""))</f>
        <v/>
      </c>
      <c r="H113" s="20" t="str">
        <f aca="false">IF($B113="","",IFERROR(AVERAGEIFS(Datos_problemas!$AE:$AE,Datos_problemas!$B:$B,$B113,Datos_problemas!$F:$F,"Evaluación",Datos_problemas!$E:$E,"Final"),""))</f>
        <v/>
      </c>
      <c r="I113" s="21" t="str">
        <f aca="false">IF(OR(G113="",H113=""),"",IF(G113&gt;=10,"",(H113-G113)/(10-G113)))</f>
        <v/>
      </c>
      <c r="J113" s="18" t="str">
        <f aca="false">IF($B113="","",IFERROR(SUMIFS(Datos_items!$Z:$Z,Datos_items!$B:$B,$B113,Datos_items!$O:$O,J$4,Datos_items!$E:$E,Analisis_grupo!$C$4)/COUNTIFS(Datos_items!$B:$B,$B113,Datos_items!$O:$O,J$4,Datos_items!$E:$E,Analisis_grupo!$C$4),""))</f>
        <v/>
      </c>
      <c r="K113" s="18" t="str">
        <f aca="false">IF($B113="","",IFERROR(SUMIFS(Datos_items!$Z:$Z,Datos_items!$B:$B,$B113,Datos_items!$O:$O,K$4,Datos_items!$E:$E,Analisis_grupo!$C$4)/COUNTIFS(Datos_items!$B:$B,$B113,Datos_items!$O:$O,K$4,Datos_items!$E:$E,Analisis_grupo!$C$4),""))</f>
        <v/>
      </c>
      <c r="L113" s="18" t="str">
        <f aca="false">IF($B113="","",IFERROR(SUMIFS(Datos_items!$Z:$Z,Datos_items!$B:$B,$B113,Datos_items!$O:$O,L$4,Datos_items!$E:$E,Analisis_grupo!$C$4)/COUNTIFS(Datos_items!$B:$B,$B113,Datos_items!$O:$O,L$4,Datos_items!$E:$E,Analisis_grupo!$C$4),""))</f>
        <v/>
      </c>
      <c r="M113" s="18" t="str">
        <f aca="false">IF($B113="","",IFERROR(SUMIFS(Datos_items!$Z:$Z,Datos_items!$B:$B,$B113,Datos_items!$O:$O,M$4,Datos_items!$E:$E,Analisis_grupo!$C$4)/COUNTIFS(Datos_items!$B:$B,$B113,Datos_items!$O:$O,M$4,Datos_items!$E:$E,Analisis_grupo!$C$4),""))</f>
        <v/>
      </c>
      <c r="N113" s="18" t="str">
        <f aca="false">IF($B113="","",IFERROR(SUMIFS(Datos_items!$Z:$Z,Datos_items!$B:$B,$B113,Datos_items!$O:$O,N$4,Datos_items!$E:$E,Analisis_grupo!$C$4)/COUNTIFS(Datos_items!$B:$B,$B113,Datos_items!$O:$O,N$4,Datos_items!$E:$E,Analisis_grupo!$C$4),""))</f>
        <v/>
      </c>
      <c r="O113" s="18" t="str">
        <f aca="false">IF($B113="","",IFERROR(SUMIFS(Datos_items!$Z:$Z,Datos_items!$B:$B,$B113,Datos_items!$O:$O,O$4,Datos_items!$E:$E,Analisis_grupo!$C$4)/COUNTIFS(Datos_items!$B:$B,$B113,Datos_items!$O:$O,O$4,Datos_items!$E:$E,Analisis_grupo!$C$4),""))</f>
        <v/>
      </c>
      <c r="P113" s="18" t="str">
        <f aca="false">IF($B113="","",IFERROR(SUMIFS(Datos_items!$Z:$Z,Datos_items!$B:$B,$B113,Datos_items!$O:$O,P$4,Datos_items!$E:$E,Analisis_grupo!$C$4)/COUNTIFS(Datos_items!$B:$B,$B113,Datos_items!$O:$O,P$4,Datos_items!$E:$E,Analisis_grupo!$C$4),""))</f>
        <v/>
      </c>
      <c r="Q113" s="18" t="str">
        <f aca="false">IF($B113="","",IFERROR(SUMIFS(Datos_items!$Z:$Z,Datos_items!$B:$B,$B113,Datos_items!$O:$O,Q$4,Datos_items!$E:$E,Analisis_grupo!$C$4)/COUNTIFS(Datos_items!$B:$B,$B113,Datos_items!$O:$O,Q$4,Datos_items!$E:$E,Analisis_grupo!$C$4),""))</f>
        <v/>
      </c>
      <c r="R113" s="2" t="str">
        <f aca="false">IF(COUNT(J113:Q113)=0,"",IF(MIN(J113:Q113)&gt;=Analisis_grupo!$B$7,"(ninguna)",INDEX($J$4:$Q$4,MATCH(MIN(J113:Q113),J113:Q113,0))))</f>
        <v/>
      </c>
      <c r="S113" s="2" t="str">
        <f aca="false">IF($B113="","",COUNTIF(J113:Q113,"&lt;"&amp;Analisis_grupo!$B$7))</f>
        <v/>
      </c>
      <c r="T113" s="2" t="str">
        <f aca="false">IF($B113="","",COUNTIFS(Datos_items!$B:$B,$B113,Datos_items!$AA:$AA,T$4,Datos_items!$E:$E,Analisis_grupo!$C$4))</f>
        <v/>
      </c>
      <c r="U113" s="2" t="str">
        <f aca="false">IF($B113="","",COUNTIFS(Datos_items!$B:$B,$B113,Datos_items!$AA:$AA,U$4,Datos_items!$E:$E,Analisis_grupo!$C$4))</f>
        <v/>
      </c>
      <c r="V113" s="2" t="str">
        <f aca="false">IF($B113="","",COUNTIFS(Datos_items!$B:$B,$B113,Datos_items!$AA:$AA,V$4,Datos_items!$E:$E,Analisis_grupo!$C$4))</f>
        <v/>
      </c>
      <c r="W113" s="2" t="str">
        <f aca="false">IF($B113="","",COUNTIFS(Datos_items!$B:$B,$B113,Datos_items!$AA:$AA,W$4,Datos_items!$E:$E,Analisis_grupo!$C$4))</f>
        <v/>
      </c>
      <c r="X113" s="2" t="str">
        <f aca="false">IF($B113="","",COUNTIFS(Datos_items!$B:$B,$B113,Datos_items!$AA:$AA,X$4,Datos_items!$E:$E,Analisis_grupo!$C$4))</f>
        <v/>
      </c>
      <c r="Y113" s="2" t="str">
        <f aca="false">IF($B113="","",COUNTIFS(Datos_items!$B:$B,$B113,Datos_items!$AA:$AA,Y$4,Datos_items!$E:$E,Analisis_grupo!$C$4))</f>
        <v/>
      </c>
      <c r="Z113" s="2" t="str">
        <f aca="false">IF($B113="","",COUNTIFS(Datos_items!$B:$B,$B113,Datos_items!$AA:$AA,Z$4,Datos_items!$E:$E,Analisis_grupo!$C$4))</f>
        <v/>
      </c>
      <c r="AA113" s="2" t="str">
        <f aca="false">IF($B113="","",COUNTIFS(Datos_items!$B:$B,$B113,Datos_items!$AA:$AA,AA$4,Datos_items!$E:$E,Analisis_grupo!$C$4))</f>
        <v/>
      </c>
      <c r="AB113" s="2" t="str">
        <f aca="false">IF($B113="","",COUNTIFS(Datos_items!$B:$B,$B113,Datos_items!$AA:$AA,AB$4,Datos_items!$E:$E,Analisis_grupo!$C$4))</f>
        <v/>
      </c>
      <c r="AC113" s="2" t="str">
        <f aca="false">IF($B113="","",COUNTIFS(Datos_items!$B:$B,$B113,Datos_items!$AA:$AA,AC$4,Datos_items!$E:$E,Analisis_grupo!$C$4))</f>
        <v/>
      </c>
      <c r="AD113" s="2" t="str">
        <f aca="false">IF($B113="","",COUNTIFS(Datos_items!$B:$B,$B113,Datos_items!$AA:$AA,AD$4,Datos_items!$E:$E,Analisis_grupo!$C$4))</f>
        <v/>
      </c>
      <c r="AE113" s="2" t="str">
        <f aca="false">IF($B113="","",COUNTIFS(Datos_items!$B:$B,$B113,Datos_items!$AA:$AA,AE$4,Datos_items!$E:$E,Analisis_grupo!$C$4))</f>
        <v/>
      </c>
      <c r="AF113" s="2" t="str">
        <f aca="false">IF($B113="","",COUNTIFS(Datos_items!$B:$B,$B113,Datos_items!$AA:$AA,AF$4,Datos_items!$E:$E,Analisis_grupo!$C$4))</f>
        <v/>
      </c>
      <c r="AG113" s="2" t="str">
        <f aca="false">IF($B113="","",COUNTIFS(Datos_items!$B:$B,$B113,Datos_items!$AA:$AA,AG$4,Datos_items!$E:$E,Analisis_grupo!$C$4))</f>
        <v/>
      </c>
      <c r="AH113" s="2" t="str">
        <f aca="false">IF($B113="","",COUNTIFS(Datos_items!$B:$B,$B113,Datos_items!$AA:$AA,AH$4,Datos_items!$E:$E,Analisis_grupo!$C$4))</f>
        <v/>
      </c>
      <c r="AI113" s="2" t="str">
        <f aca="false">IF($B113="","",COUNTIFS(Datos_items!$B:$B,$B113,Datos_items!$AA:$AA,AI$4,Datos_items!$E:$E,Analisis_grupo!$C$4))</f>
        <v/>
      </c>
      <c r="AJ113" s="2" t="str">
        <f aca="false">IF($B113="","",COUNTIFS(Datos_items!$B:$B,$B113,Datos_items!$AA:$AA,AJ$4,Datos_items!$E:$E,Analisis_grupo!$C$4))</f>
        <v/>
      </c>
      <c r="AK113" s="2" t="str">
        <f aca="false">IF($B113="","",COUNTIFS(Datos_items!$B:$B,$B113,Datos_items!$AA:$AA,AK$4,Datos_items!$E:$E,Analisis_grupo!$C$4))</f>
        <v/>
      </c>
      <c r="AL113" s="2" t="str">
        <f aca="false">IF($B113="","",COUNTIFS(Datos_items!$B:$B,$B113,Datos_items!$AA:$AA,AL$4,Datos_items!$E:$E,Analisis_grupo!$C$4))</f>
        <v/>
      </c>
      <c r="AM113" s="2" t="str">
        <f aca="false">IF($B113="","",IF(MAX(Y113:AL113)=0,"",INDEX($Y$4:$AL$4,MATCH(MAX(Y113:AL113),Y113:AL113,0))))</f>
        <v/>
      </c>
      <c r="AN113" s="2" t="str">
        <f aca="false">IF($B113="","",COUNTIFS(Datos_problemas!$B:$B,$B113,Datos_problemas!$F:$F,"Práctica"))</f>
        <v/>
      </c>
      <c r="AO113" s="2" t="str">
        <f aca="false">IF($B113="","",SUMIFS(Datos_problemas!$AQ:$AQ,Datos_problemas!$B:$B,$B113,Datos_problemas!$F:$F,"Práctica"))</f>
        <v/>
      </c>
      <c r="AP113" s="2" t="str">
        <f aca="false">IF($B113="","",COUNTIFS(Datos_problemas!$B:$B,$B113,Datos_problemas!$F:$F,"Práctica",Datos_problemas!$AS:$AS,"Sí"))</f>
        <v/>
      </c>
    </row>
    <row r="114" customFormat="false" ht="15" hidden="false" customHeight="false" outlineLevel="0" collapsed="false">
      <c r="A114" s="2" t="n">
        <v>110</v>
      </c>
      <c r="B114" s="2" t="str">
        <f aca="false">IFERROR(INDEX(Datos_problemas!$B:$B,MATCH($A114,Datos_problemas!$AV:$AV,0)),"")</f>
        <v/>
      </c>
      <c r="C114" s="2" t="str">
        <f aca="false">IF($B114="","",INDEX(Datos_problemas!$C:$C,MATCH($A114,Datos_problemas!$AV:$AV,0)))</f>
        <v/>
      </c>
      <c r="D114" s="2" t="str">
        <f aca="false">IF($B114="","",INDEX(Datos_problemas!$D:$D,MATCH($A114,Datos_problemas!$AV:$AV,0)))</f>
        <v/>
      </c>
      <c r="E114" s="2" t="str">
        <f aca="false">IF($B114="","",COUNTIFS(Datos_problemas!$B:$B,$B114,Datos_problemas!$F:$F,"Evaluación"))</f>
        <v/>
      </c>
      <c r="F114" s="20" t="str">
        <f aca="false">IF($B114="","",IFERROR(AVERAGEIFS(Datos_problemas!$AE:$AE,Datos_problemas!$B:$B,$B114,Datos_problemas!$F:$F,"Evaluación"),""))</f>
        <v/>
      </c>
      <c r="G114" s="20" t="str">
        <f aca="false">IF($B114="","",IFERROR(AVERAGEIFS(Datos_problemas!$AE:$AE,Datos_problemas!$B:$B,$B114,Datos_problemas!$F:$F,"Evaluación",Datos_problemas!$E:$E,"Diagnóstico"),""))</f>
        <v/>
      </c>
      <c r="H114" s="20" t="str">
        <f aca="false">IF($B114="","",IFERROR(AVERAGEIFS(Datos_problemas!$AE:$AE,Datos_problemas!$B:$B,$B114,Datos_problemas!$F:$F,"Evaluación",Datos_problemas!$E:$E,"Final"),""))</f>
        <v/>
      </c>
      <c r="I114" s="21" t="str">
        <f aca="false">IF(OR(G114="",H114=""),"",IF(G114&gt;=10,"",(H114-G114)/(10-G114)))</f>
        <v/>
      </c>
      <c r="J114" s="18" t="str">
        <f aca="false">IF($B114="","",IFERROR(SUMIFS(Datos_items!$Z:$Z,Datos_items!$B:$B,$B114,Datos_items!$O:$O,J$4,Datos_items!$E:$E,Analisis_grupo!$C$4)/COUNTIFS(Datos_items!$B:$B,$B114,Datos_items!$O:$O,J$4,Datos_items!$E:$E,Analisis_grupo!$C$4),""))</f>
        <v/>
      </c>
      <c r="K114" s="18" t="str">
        <f aca="false">IF($B114="","",IFERROR(SUMIFS(Datos_items!$Z:$Z,Datos_items!$B:$B,$B114,Datos_items!$O:$O,K$4,Datos_items!$E:$E,Analisis_grupo!$C$4)/COUNTIFS(Datos_items!$B:$B,$B114,Datos_items!$O:$O,K$4,Datos_items!$E:$E,Analisis_grupo!$C$4),""))</f>
        <v/>
      </c>
      <c r="L114" s="18" t="str">
        <f aca="false">IF($B114="","",IFERROR(SUMIFS(Datos_items!$Z:$Z,Datos_items!$B:$B,$B114,Datos_items!$O:$O,L$4,Datos_items!$E:$E,Analisis_grupo!$C$4)/COUNTIFS(Datos_items!$B:$B,$B114,Datos_items!$O:$O,L$4,Datos_items!$E:$E,Analisis_grupo!$C$4),""))</f>
        <v/>
      </c>
      <c r="M114" s="18" t="str">
        <f aca="false">IF($B114="","",IFERROR(SUMIFS(Datos_items!$Z:$Z,Datos_items!$B:$B,$B114,Datos_items!$O:$O,M$4,Datos_items!$E:$E,Analisis_grupo!$C$4)/COUNTIFS(Datos_items!$B:$B,$B114,Datos_items!$O:$O,M$4,Datos_items!$E:$E,Analisis_grupo!$C$4),""))</f>
        <v/>
      </c>
      <c r="N114" s="18" t="str">
        <f aca="false">IF($B114="","",IFERROR(SUMIFS(Datos_items!$Z:$Z,Datos_items!$B:$B,$B114,Datos_items!$O:$O,N$4,Datos_items!$E:$E,Analisis_grupo!$C$4)/COUNTIFS(Datos_items!$B:$B,$B114,Datos_items!$O:$O,N$4,Datos_items!$E:$E,Analisis_grupo!$C$4),""))</f>
        <v/>
      </c>
      <c r="O114" s="18" t="str">
        <f aca="false">IF($B114="","",IFERROR(SUMIFS(Datos_items!$Z:$Z,Datos_items!$B:$B,$B114,Datos_items!$O:$O,O$4,Datos_items!$E:$E,Analisis_grupo!$C$4)/COUNTIFS(Datos_items!$B:$B,$B114,Datos_items!$O:$O,O$4,Datos_items!$E:$E,Analisis_grupo!$C$4),""))</f>
        <v/>
      </c>
      <c r="P114" s="18" t="str">
        <f aca="false">IF($B114="","",IFERROR(SUMIFS(Datos_items!$Z:$Z,Datos_items!$B:$B,$B114,Datos_items!$O:$O,P$4,Datos_items!$E:$E,Analisis_grupo!$C$4)/COUNTIFS(Datos_items!$B:$B,$B114,Datos_items!$O:$O,P$4,Datos_items!$E:$E,Analisis_grupo!$C$4),""))</f>
        <v/>
      </c>
      <c r="Q114" s="18" t="str">
        <f aca="false">IF($B114="","",IFERROR(SUMIFS(Datos_items!$Z:$Z,Datos_items!$B:$B,$B114,Datos_items!$O:$O,Q$4,Datos_items!$E:$E,Analisis_grupo!$C$4)/COUNTIFS(Datos_items!$B:$B,$B114,Datos_items!$O:$O,Q$4,Datos_items!$E:$E,Analisis_grupo!$C$4),""))</f>
        <v/>
      </c>
      <c r="R114" s="2" t="str">
        <f aca="false">IF(COUNT(J114:Q114)=0,"",IF(MIN(J114:Q114)&gt;=Analisis_grupo!$B$7,"(ninguna)",INDEX($J$4:$Q$4,MATCH(MIN(J114:Q114),J114:Q114,0))))</f>
        <v/>
      </c>
      <c r="S114" s="2" t="str">
        <f aca="false">IF($B114="","",COUNTIF(J114:Q114,"&lt;"&amp;Analisis_grupo!$B$7))</f>
        <v/>
      </c>
      <c r="T114" s="2" t="str">
        <f aca="false">IF($B114="","",COUNTIFS(Datos_items!$B:$B,$B114,Datos_items!$AA:$AA,T$4,Datos_items!$E:$E,Analisis_grupo!$C$4))</f>
        <v/>
      </c>
      <c r="U114" s="2" t="str">
        <f aca="false">IF($B114="","",COUNTIFS(Datos_items!$B:$B,$B114,Datos_items!$AA:$AA,U$4,Datos_items!$E:$E,Analisis_grupo!$C$4))</f>
        <v/>
      </c>
      <c r="V114" s="2" t="str">
        <f aca="false">IF($B114="","",COUNTIFS(Datos_items!$B:$B,$B114,Datos_items!$AA:$AA,V$4,Datos_items!$E:$E,Analisis_grupo!$C$4))</f>
        <v/>
      </c>
      <c r="W114" s="2" t="str">
        <f aca="false">IF($B114="","",COUNTIFS(Datos_items!$B:$B,$B114,Datos_items!$AA:$AA,W$4,Datos_items!$E:$E,Analisis_grupo!$C$4))</f>
        <v/>
      </c>
      <c r="X114" s="2" t="str">
        <f aca="false">IF($B114="","",COUNTIFS(Datos_items!$B:$B,$B114,Datos_items!$AA:$AA,X$4,Datos_items!$E:$E,Analisis_grupo!$C$4))</f>
        <v/>
      </c>
      <c r="Y114" s="2" t="str">
        <f aca="false">IF($B114="","",COUNTIFS(Datos_items!$B:$B,$B114,Datos_items!$AA:$AA,Y$4,Datos_items!$E:$E,Analisis_grupo!$C$4))</f>
        <v/>
      </c>
      <c r="Z114" s="2" t="str">
        <f aca="false">IF($B114="","",COUNTIFS(Datos_items!$B:$B,$B114,Datos_items!$AA:$AA,Z$4,Datos_items!$E:$E,Analisis_grupo!$C$4))</f>
        <v/>
      </c>
      <c r="AA114" s="2" t="str">
        <f aca="false">IF($B114="","",COUNTIFS(Datos_items!$B:$B,$B114,Datos_items!$AA:$AA,AA$4,Datos_items!$E:$E,Analisis_grupo!$C$4))</f>
        <v/>
      </c>
      <c r="AB114" s="2" t="str">
        <f aca="false">IF($B114="","",COUNTIFS(Datos_items!$B:$B,$B114,Datos_items!$AA:$AA,AB$4,Datos_items!$E:$E,Analisis_grupo!$C$4))</f>
        <v/>
      </c>
      <c r="AC114" s="2" t="str">
        <f aca="false">IF($B114="","",COUNTIFS(Datos_items!$B:$B,$B114,Datos_items!$AA:$AA,AC$4,Datos_items!$E:$E,Analisis_grupo!$C$4))</f>
        <v/>
      </c>
      <c r="AD114" s="2" t="str">
        <f aca="false">IF($B114="","",COUNTIFS(Datos_items!$B:$B,$B114,Datos_items!$AA:$AA,AD$4,Datos_items!$E:$E,Analisis_grupo!$C$4))</f>
        <v/>
      </c>
      <c r="AE114" s="2" t="str">
        <f aca="false">IF($B114="","",COUNTIFS(Datos_items!$B:$B,$B114,Datos_items!$AA:$AA,AE$4,Datos_items!$E:$E,Analisis_grupo!$C$4))</f>
        <v/>
      </c>
      <c r="AF114" s="2" t="str">
        <f aca="false">IF($B114="","",COUNTIFS(Datos_items!$B:$B,$B114,Datos_items!$AA:$AA,AF$4,Datos_items!$E:$E,Analisis_grupo!$C$4))</f>
        <v/>
      </c>
      <c r="AG114" s="2" t="str">
        <f aca="false">IF($B114="","",COUNTIFS(Datos_items!$B:$B,$B114,Datos_items!$AA:$AA,AG$4,Datos_items!$E:$E,Analisis_grupo!$C$4))</f>
        <v/>
      </c>
      <c r="AH114" s="2" t="str">
        <f aca="false">IF($B114="","",COUNTIFS(Datos_items!$B:$B,$B114,Datos_items!$AA:$AA,AH$4,Datos_items!$E:$E,Analisis_grupo!$C$4))</f>
        <v/>
      </c>
      <c r="AI114" s="2" t="str">
        <f aca="false">IF($B114="","",COUNTIFS(Datos_items!$B:$B,$B114,Datos_items!$AA:$AA,AI$4,Datos_items!$E:$E,Analisis_grupo!$C$4))</f>
        <v/>
      </c>
      <c r="AJ114" s="2" t="str">
        <f aca="false">IF($B114="","",COUNTIFS(Datos_items!$B:$B,$B114,Datos_items!$AA:$AA,AJ$4,Datos_items!$E:$E,Analisis_grupo!$C$4))</f>
        <v/>
      </c>
      <c r="AK114" s="2" t="str">
        <f aca="false">IF($B114="","",COUNTIFS(Datos_items!$B:$B,$B114,Datos_items!$AA:$AA,AK$4,Datos_items!$E:$E,Analisis_grupo!$C$4))</f>
        <v/>
      </c>
      <c r="AL114" s="2" t="str">
        <f aca="false">IF($B114="","",COUNTIFS(Datos_items!$B:$B,$B114,Datos_items!$AA:$AA,AL$4,Datos_items!$E:$E,Analisis_grupo!$C$4))</f>
        <v/>
      </c>
      <c r="AM114" s="2" t="str">
        <f aca="false">IF($B114="","",IF(MAX(Y114:AL114)=0,"",INDEX($Y$4:$AL$4,MATCH(MAX(Y114:AL114),Y114:AL114,0))))</f>
        <v/>
      </c>
      <c r="AN114" s="2" t="str">
        <f aca="false">IF($B114="","",COUNTIFS(Datos_problemas!$B:$B,$B114,Datos_problemas!$F:$F,"Práctica"))</f>
        <v/>
      </c>
      <c r="AO114" s="2" t="str">
        <f aca="false">IF($B114="","",SUMIFS(Datos_problemas!$AQ:$AQ,Datos_problemas!$B:$B,$B114,Datos_problemas!$F:$F,"Práctica"))</f>
        <v/>
      </c>
      <c r="AP114" s="2" t="str">
        <f aca="false">IF($B114="","",COUNTIFS(Datos_problemas!$B:$B,$B114,Datos_problemas!$F:$F,"Práctica",Datos_problemas!$AS:$AS,"Sí"))</f>
        <v/>
      </c>
    </row>
    <row r="115" customFormat="false" ht="15" hidden="false" customHeight="false" outlineLevel="0" collapsed="false">
      <c r="A115" s="2" t="n">
        <v>111</v>
      </c>
      <c r="B115" s="2" t="str">
        <f aca="false">IFERROR(INDEX(Datos_problemas!$B:$B,MATCH($A115,Datos_problemas!$AV:$AV,0)),"")</f>
        <v/>
      </c>
      <c r="C115" s="2" t="str">
        <f aca="false">IF($B115="","",INDEX(Datos_problemas!$C:$C,MATCH($A115,Datos_problemas!$AV:$AV,0)))</f>
        <v/>
      </c>
      <c r="D115" s="2" t="str">
        <f aca="false">IF($B115="","",INDEX(Datos_problemas!$D:$D,MATCH($A115,Datos_problemas!$AV:$AV,0)))</f>
        <v/>
      </c>
      <c r="E115" s="2" t="str">
        <f aca="false">IF($B115="","",COUNTIFS(Datos_problemas!$B:$B,$B115,Datos_problemas!$F:$F,"Evaluación"))</f>
        <v/>
      </c>
      <c r="F115" s="20" t="str">
        <f aca="false">IF($B115="","",IFERROR(AVERAGEIFS(Datos_problemas!$AE:$AE,Datos_problemas!$B:$B,$B115,Datos_problemas!$F:$F,"Evaluación"),""))</f>
        <v/>
      </c>
      <c r="G115" s="20" t="str">
        <f aca="false">IF($B115="","",IFERROR(AVERAGEIFS(Datos_problemas!$AE:$AE,Datos_problemas!$B:$B,$B115,Datos_problemas!$F:$F,"Evaluación",Datos_problemas!$E:$E,"Diagnóstico"),""))</f>
        <v/>
      </c>
      <c r="H115" s="20" t="str">
        <f aca="false">IF($B115="","",IFERROR(AVERAGEIFS(Datos_problemas!$AE:$AE,Datos_problemas!$B:$B,$B115,Datos_problemas!$F:$F,"Evaluación",Datos_problemas!$E:$E,"Final"),""))</f>
        <v/>
      </c>
      <c r="I115" s="21" t="str">
        <f aca="false">IF(OR(G115="",H115=""),"",IF(G115&gt;=10,"",(H115-G115)/(10-G115)))</f>
        <v/>
      </c>
      <c r="J115" s="18" t="str">
        <f aca="false">IF($B115="","",IFERROR(SUMIFS(Datos_items!$Z:$Z,Datos_items!$B:$B,$B115,Datos_items!$O:$O,J$4,Datos_items!$E:$E,Analisis_grupo!$C$4)/COUNTIFS(Datos_items!$B:$B,$B115,Datos_items!$O:$O,J$4,Datos_items!$E:$E,Analisis_grupo!$C$4),""))</f>
        <v/>
      </c>
      <c r="K115" s="18" t="str">
        <f aca="false">IF($B115="","",IFERROR(SUMIFS(Datos_items!$Z:$Z,Datos_items!$B:$B,$B115,Datos_items!$O:$O,K$4,Datos_items!$E:$E,Analisis_grupo!$C$4)/COUNTIFS(Datos_items!$B:$B,$B115,Datos_items!$O:$O,K$4,Datos_items!$E:$E,Analisis_grupo!$C$4),""))</f>
        <v/>
      </c>
      <c r="L115" s="18" t="str">
        <f aca="false">IF($B115="","",IFERROR(SUMIFS(Datos_items!$Z:$Z,Datos_items!$B:$B,$B115,Datos_items!$O:$O,L$4,Datos_items!$E:$E,Analisis_grupo!$C$4)/COUNTIFS(Datos_items!$B:$B,$B115,Datos_items!$O:$O,L$4,Datos_items!$E:$E,Analisis_grupo!$C$4),""))</f>
        <v/>
      </c>
      <c r="M115" s="18" t="str">
        <f aca="false">IF($B115="","",IFERROR(SUMIFS(Datos_items!$Z:$Z,Datos_items!$B:$B,$B115,Datos_items!$O:$O,M$4,Datos_items!$E:$E,Analisis_grupo!$C$4)/COUNTIFS(Datos_items!$B:$B,$B115,Datos_items!$O:$O,M$4,Datos_items!$E:$E,Analisis_grupo!$C$4),""))</f>
        <v/>
      </c>
      <c r="N115" s="18" t="str">
        <f aca="false">IF($B115="","",IFERROR(SUMIFS(Datos_items!$Z:$Z,Datos_items!$B:$B,$B115,Datos_items!$O:$O,N$4,Datos_items!$E:$E,Analisis_grupo!$C$4)/COUNTIFS(Datos_items!$B:$B,$B115,Datos_items!$O:$O,N$4,Datos_items!$E:$E,Analisis_grupo!$C$4),""))</f>
        <v/>
      </c>
      <c r="O115" s="18" t="str">
        <f aca="false">IF($B115="","",IFERROR(SUMIFS(Datos_items!$Z:$Z,Datos_items!$B:$B,$B115,Datos_items!$O:$O,O$4,Datos_items!$E:$E,Analisis_grupo!$C$4)/COUNTIFS(Datos_items!$B:$B,$B115,Datos_items!$O:$O,O$4,Datos_items!$E:$E,Analisis_grupo!$C$4),""))</f>
        <v/>
      </c>
      <c r="P115" s="18" t="str">
        <f aca="false">IF($B115="","",IFERROR(SUMIFS(Datos_items!$Z:$Z,Datos_items!$B:$B,$B115,Datos_items!$O:$O,P$4,Datos_items!$E:$E,Analisis_grupo!$C$4)/COUNTIFS(Datos_items!$B:$B,$B115,Datos_items!$O:$O,P$4,Datos_items!$E:$E,Analisis_grupo!$C$4),""))</f>
        <v/>
      </c>
      <c r="Q115" s="18" t="str">
        <f aca="false">IF($B115="","",IFERROR(SUMIFS(Datos_items!$Z:$Z,Datos_items!$B:$B,$B115,Datos_items!$O:$O,Q$4,Datos_items!$E:$E,Analisis_grupo!$C$4)/COUNTIFS(Datos_items!$B:$B,$B115,Datos_items!$O:$O,Q$4,Datos_items!$E:$E,Analisis_grupo!$C$4),""))</f>
        <v/>
      </c>
      <c r="R115" s="2" t="str">
        <f aca="false">IF(COUNT(J115:Q115)=0,"",IF(MIN(J115:Q115)&gt;=Analisis_grupo!$B$7,"(ninguna)",INDEX($J$4:$Q$4,MATCH(MIN(J115:Q115),J115:Q115,0))))</f>
        <v/>
      </c>
      <c r="S115" s="2" t="str">
        <f aca="false">IF($B115="","",COUNTIF(J115:Q115,"&lt;"&amp;Analisis_grupo!$B$7))</f>
        <v/>
      </c>
      <c r="T115" s="2" t="str">
        <f aca="false">IF($B115="","",COUNTIFS(Datos_items!$B:$B,$B115,Datos_items!$AA:$AA,T$4,Datos_items!$E:$E,Analisis_grupo!$C$4))</f>
        <v/>
      </c>
      <c r="U115" s="2" t="str">
        <f aca="false">IF($B115="","",COUNTIFS(Datos_items!$B:$B,$B115,Datos_items!$AA:$AA,U$4,Datos_items!$E:$E,Analisis_grupo!$C$4))</f>
        <v/>
      </c>
      <c r="V115" s="2" t="str">
        <f aca="false">IF($B115="","",COUNTIFS(Datos_items!$B:$B,$B115,Datos_items!$AA:$AA,V$4,Datos_items!$E:$E,Analisis_grupo!$C$4))</f>
        <v/>
      </c>
      <c r="W115" s="2" t="str">
        <f aca="false">IF($B115="","",COUNTIFS(Datos_items!$B:$B,$B115,Datos_items!$AA:$AA,W$4,Datos_items!$E:$E,Analisis_grupo!$C$4))</f>
        <v/>
      </c>
      <c r="X115" s="2" t="str">
        <f aca="false">IF($B115="","",COUNTIFS(Datos_items!$B:$B,$B115,Datos_items!$AA:$AA,X$4,Datos_items!$E:$E,Analisis_grupo!$C$4))</f>
        <v/>
      </c>
      <c r="Y115" s="2" t="str">
        <f aca="false">IF($B115="","",COUNTIFS(Datos_items!$B:$B,$B115,Datos_items!$AA:$AA,Y$4,Datos_items!$E:$E,Analisis_grupo!$C$4))</f>
        <v/>
      </c>
      <c r="Z115" s="2" t="str">
        <f aca="false">IF($B115="","",COUNTIFS(Datos_items!$B:$B,$B115,Datos_items!$AA:$AA,Z$4,Datos_items!$E:$E,Analisis_grupo!$C$4))</f>
        <v/>
      </c>
      <c r="AA115" s="2" t="str">
        <f aca="false">IF($B115="","",COUNTIFS(Datos_items!$B:$B,$B115,Datos_items!$AA:$AA,AA$4,Datos_items!$E:$E,Analisis_grupo!$C$4))</f>
        <v/>
      </c>
      <c r="AB115" s="2" t="str">
        <f aca="false">IF($B115="","",COUNTIFS(Datos_items!$B:$B,$B115,Datos_items!$AA:$AA,AB$4,Datos_items!$E:$E,Analisis_grupo!$C$4))</f>
        <v/>
      </c>
      <c r="AC115" s="2" t="str">
        <f aca="false">IF($B115="","",COUNTIFS(Datos_items!$B:$B,$B115,Datos_items!$AA:$AA,AC$4,Datos_items!$E:$E,Analisis_grupo!$C$4))</f>
        <v/>
      </c>
      <c r="AD115" s="2" t="str">
        <f aca="false">IF($B115="","",COUNTIFS(Datos_items!$B:$B,$B115,Datos_items!$AA:$AA,AD$4,Datos_items!$E:$E,Analisis_grupo!$C$4))</f>
        <v/>
      </c>
      <c r="AE115" s="2" t="str">
        <f aca="false">IF($B115="","",COUNTIFS(Datos_items!$B:$B,$B115,Datos_items!$AA:$AA,AE$4,Datos_items!$E:$E,Analisis_grupo!$C$4))</f>
        <v/>
      </c>
      <c r="AF115" s="2" t="str">
        <f aca="false">IF($B115="","",COUNTIFS(Datos_items!$B:$B,$B115,Datos_items!$AA:$AA,AF$4,Datos_items!$E:$E,Analisis_grupo!$C$4))</f>
        <v/>
      </c>
      <c r="AG115" s="2" t="str">
        <f aca="false">IF($B115="","",COUNTIFS(Datos_items!$B:$B,$B115,Datos_items!$AA:$AA,AG$4,Datos_items!$E:$E,Analisis_grupo!$C$4))</f>
        <v/>
      </c>
      <c r="AH115" s="2" t="str">
        <f aca="false">IF($B115="","",COUNTIFS(Datos_items!$B:$B,$B115,Datos_items!$AA:$AA,AH$4,Datos_items!$E:$E,Analisis_grupo!$C$4))</f>
        <v/>
      </c>
      <c r="AI115" s="2" t="str">
        <f aca="false">IF($B115="","",COUNTIFS(Datos_items!$B:$B,$B115,Datos_items!$AA:$AA,AI$4,Datos_items!$E:$E,Analisis_grupo!$C$4))</f>
        <v/>
      </c>
      <c r="AJ115" s="2" t="str">
        <f aca="false">IF($B115="","",COUNTIFS(Datos_items!$B:$B,$B115,Datos_items!$AA:$AA,AJ$4,Datos_items!$E:$E,Analisis_grupo!$C$4))</f>
        <v/>
      </c>
      <c r="AK115" s="2" t="str">
        <f aca="false">IF($B115="","",COUNTIFS(Datos_items!$B:$B,$B115,Datos_items!$AA:$AA,AK$4,Datos_items!$E:$E,Analisis_grupo!$C$4))</f>
        <v/>
      </c>
      <c r="AL115" s="2" t="str">
        <f aca="false">IF($B115="","",COUNTIFS(Datos_items!$B:$B,$B115,Datos_items!$AA:$AA,AL$4,Datos_items!$E:$E,Analisis_grupo!$C$4))</f>
        <v/>
      </c>
      <c r="AM115" s="2" t="str">
        <f aca="false">IF($B115="","",IF(MAX(Y115:AL115)=0,"",INDEX($Y$4:$AL$4,MATCH(MAX(Y115:AL115),Y115:AL115,0))))</f>
        <v/>
      </c>
      <c r="AN115" s="2" t="str">
        <f aca="false">IF($B115="","",COUNTIFS(Datos_problemas!$B:$B,$B115,Datos_problemas!$F:$F,"Práctica"))</f>
        <v/>
      </c>
      <c r="AO115" s="2" t="str">
        <f aca="false">IF($B115="","",SUMIFS(Datos_problemas!$AQ:$AQ,Datos_problemas!$B:$B,$B115,Datos_problemas!$F:$F,"Práctica"))</f>
        <v/>
      </c>
      <c r="AP115" s="2" t="str">
        <f aca="false">IF($B115="","",COUNTIFS(Datos_problemas!$B:$B,$B115,Datos_problemas!$F:$F,"Práctica",Datos_problemas!$AS:$AS,"Sí"))</f>
        <v/>
      </c>
    </row>
    <row r="116" customFormat="false" ht="15" hidden="false" customHeight="false" outlineLevel="0" collapsed="false">
      <c r="A116" s="2" t="n">
        <v>112</v>
      </c>
      <c r="B116" s="2" t="str">
        <f aca="false">IFERROR(INDEX(Datos_problemas!$B:$B,MATCH($A116,Datos_problemas!$AV:$AV,0)),"")</f>
        <v/>
      </c>
      <c r="C116" s="2" t="str">
        <f aca="false">IF($B116="","",INDEX(Datos_problemas!$C:$C,MATCH($A116,Datos_problemas!$AV:$AV,0)))</f>
        <v/>
      </c>
      <c r="D116" s="2" t="str">
        <f aca="false">IF($B116="","",INDEX(Datos_problemas!$D:$D,MATCH($A116,Datos_problemas!$AV:$AV,0)))</f>
        <v/>
      </c>
      <c r="E116" s="2" t="str">
        <f aca="false">IF($B116="","",COUNTIFS(Datos_problemas!$B:$B,$B116,Datos_problemas!$F:$F,"Evaluación"))</f>
        <v/>
      </c>
      <c r="F116" s="20" t="str">
        <f aca="false">IF($B116="","",IFERROR(AVERAGEIFS(Datos_problemas!$AE:$AE,Datos_problemas!$B:$B,$B116,Datos_problemas!$F:$F,"Evaluación"),""))</f>
        <v/>
      </c>
      <c r="G116" s="20" t="str">
        <f aca="false">IF($B116="","",IFERROR(AVERAGEIFS(Datos_problemas!$AE:$AE,Datos_problemas!$B:$B,$B116,Datos_problemas!$F:$F,"Evaluación",Datos_problemas!$E:$E,"Diagnóstico"),""))</f>
        <v/>
      </c>
      <c r="H116" s="20" t="str">
        <f aca="false">IF($B116="","",IFERROR(AVERAGEIFS(Datos_problemas!$AE:$AE,Datos_problemas!$B:$B,$B116,Datos_problemas!$F:$F,"Evaluación",Datos_problemas!$E:$E,"Final"),""))</f>
        <v/>
      </c>
      <c r="I116" s="21" t="str">
        <f aca="false">IF(OR(G116="",H116=""),"",IF(G116&gt;=10,"",(H116-G116)/(10-G116)))</f>
        <v/>
      </c>
      <c r="J116" s="18" t="str">
        <f aca="false">IF($B116="","",IFERROR(SUMIFS(Datos_items!$Z:$Z,Datos_items!$B:$B,$B116,Datos_items!$O:$O,J$4,Datos_items!$E:$E,Analisis_grupo!$C$4)/COUNTIFS(Datos_items!$B:$B,$B116,Datos_items!$O:$O,J$4,Datos_items!$E:$E,Analisis_grupo!$C$4),""))</f>
        <v/>
      </c>
      <c r="K116" s="18" t="str">
        <f aca="false">IF($B116="","",IFERROR(SUMIFS(Datos_items!$Z:$Z,Datos_items!$B:$B,$B116,Datos_items!$O:$O,K$4,Datos_items!$E:$E,Analisis_grupo!$C$4)/COUNTIFS(Datos_items!$B:$B,$B116,Datos_items!$O:$O,K$4,Datos_items!$E:$E,Analisis_grupo!$C$4),""))</f>
        <v/>
      </c>
      <c r="L116" s="18" t="str">
        <f aca="false">IF($B116="","",IFERROR(SUMIFS(Datos_items!$Z:$Z,Datos_items!$B:$B,$B116,Datos_items!$O:$O,L$4,Datos_items!$E:$E,Analisis_grupo!$C$4)/COUNTIFS(Datos_items!$B:$B,$B116,Datos_items!$O:$O,L$4,Datos_items!$E:$E,Analisis_grupo!$C$4),""))</f>
        <v/>
      </c>
      <c r="M116" s="18" t="str">
        <f aca="false">IF($B116="","",IFERROR(SUMIFS(Datos_items!$Z:$Z,Datos_items!$B:$B,$B116,Datos_items!$O:$O,M$4,Datos_items!$E:$E,Analisis_grupo!$C$4)/COUNTIFS(Datos_items!$B:$B,$B116,Datos_items!$O:$O,M$4,Datos_items!$E:$E,Analisis_grupo!$C$4),""))</f>
        <v/>
      </c>
      <c r="N116" s="18" t="str">
        <f aca="false">IF($B116="","",IFERROR(SUMIFS(Datos_items!$Z:$Z,Datos_items!$B:$B,$B116,Datos_items!$O:$O,N$4,Datos_items!$E:$E,Analisis_grupo!$C$4)/COUNTIFS(Datos_items!$B:$B,$B116,Datos_items!$O:$O,N$4,Datos_items!$E:$E,Analisis_grupo!$C$4),""))</f>
        <v/>
      </c>
      <c r="O116" s="18" t="str">
        <f aca="false">IF($B116="","",IFERROR(SUMIFS(Datos_items!$Z:$Z,Datos_items!$B:$B,$B116,Datos_items!$O:$O,O$4,Datos_items!$E:$E,Analisis_grupo!$C$4)/COUNTIFS(Datos_items!$B:$B,$B116,Datos_items!$O:$O,O$4,Datos_items!$E:$E,Analisis_grupo!$C$4),""))</f>
        <v/>
      </c>
      <c r="P116" s="18" t="str">
        <f aca="false">IF($B116="","",IFERROR(SUMIFS(Datos_items!$Z:$Z,Datos_items!$B:$B,$B116,Datos_items!$O:$O,P$4,Datos_items!$E:$E,Analisis_grupo!$C$4)/COUNTIFS(Datos_items!$B:$B,$B116,Datos_items!$O:$O,P$4,Datos_items!$E:$E,Analisis_grupo!$C$4),""))</f>
        <v/>
      </c>
      <c r="Q116" s="18" t="str">
        <f aca="false">IF($B116="","",IFERROR(SUMIFS(Datos_items!$Z:$Z,Datos_items!$B:$B,$B116,Datos_items!$O:$O,Q$4,Datos_items!$E:$E,Analisis_grupo!$C$4)/COUNTIFS(Datos_items!$B:$B,$B116,Datos_items!$O:$O,Q$4,Datos_items!$E:$E,Analisis_grupo!$C$4),""))</f>
        <v/>
      </c>
      <c r="R116" s="2" t="str">
        <f aca="false">IF(COUNT(J116:Q116)=0,"",IF(MIN(J116:Q116)&gt;=Analisis_grupo!$B$7,"(ninguna)",INDEX($J$4:$Q$4,MATCH(MIN(J116:Q116),J116:Q116,0))))</f>
        <v/>
      </c>
      <c r="S116" s="2" t="str">
        <f aca="false">IF($B116="","",COUNTIF(J116:Q116,"&lt;"&amp;Analisis_grupo!$B$7))</f>
        <v/>
      </c>
      <c r="T116" s="2" t="str">
        <f aca="false">IF($B116="","",COUNTIFS(Datos_items!$B:$B,$B116,Datos_items!$AA:$AA,T$4,Datos_items!$E:$E,Analisis_grupo!$C$4))</f>
        <v/>
      </c>
      <c r="U116" s="2" t="str">
        <f aca="false">IF($B116="","",COUNTIFS(Datos_items!$B:$B,$B116,Datos_items!$AA:$AA,U$4,Datos_items!$E:$E,Analisis_grupo!$C$4))</f>
        <v/>
      </c>
      <c r="V116" s="2" t="str">
        <f aca="false">IF($B116="","",COUNTIFS(Datos_items!$B:$B,$B116,Datos_items!$AA:$AA,V$4,Datos_items!$E:$E,Analisis_grupo!$C$4))</f>
        <v/>
      </c>
      <c r="W116" s="2" t="str">
        <f aca="false">IF($B116="","",COUNTIFS(Datos_items!$B:$B,$B116,Datos_items!$AA:$AA,W$4,Datos_items!$E:$E,Analisis_grupo!$C$4))</f>
        <v/>
      </c>
      <c r="X116" s="2" t="str">
        <f aca="false">IF($B116="","",COUNTIFS(Datos_items!$B:$B,$B116,Datos_items!$AA:$AA,X$4,Datos_items!$E:$E,Analisis_grupo!$C$4))</f>
        <v/>
      </c>
      <c r="Y116" s="2" t="str">
        <f aca="false">IF($B116="","",COUNTIFS(Datos_items!$B:$B,$B116,Datos_items!$AA:$AA,Y$4,Datos_items!$E:$E,Analisis_grupo!$C$4))</f>
        <v/>
      </c>
      <c r="Z116" s="2" t="str">
        <f aca="false">IF($B116="","",COUNTIFS(Datos_items!$B:$B,$B116,Datos_items!$AA:$AA,Z$4,Datos_items!$E:$E,Analisis_grupo!$C$4))</f>
        <v/>
      </c>
      <c r="AA116" s="2" t="str">
        <f aca="false">IF($B116="","",COUNTIFS(Datos_items!$B:$B,$B116,Datos_items!$AA:$AA,AA$4,Datos_items!$E:$E,Analisis_grupo!$C$4))</f>
        <v/>
      </c>
      <c r="AB116" s="2" t="str">
        <f aca="false">IF($B116="","",COUNTIFS(Datos_items!$B:$B,$B116,Datos_items!$AA:$AA,AB$4,Datos_items!$E:$E,Analisis_grupo!$C$4))</f>
        <v/>
      </c>
      <c r="AC116" s="2" t="str">
        <f aca="false">IF($B116="","",COUNTIFS(Datos_items!$B:$B,$B116,Datos_items!$AA:$AA,AC$4,Datos_items!$E:$E,Analisis_grupo!$C$4))</f>
        <v/>
      </c>
      <c r="AD116" s="2" t="str">
        <f aca="false">IF($B116="","",COUNTIFS(Datos_items!$B:$B,$B116,Datos_items!$AA:$AA,AD$4,Datos_items!$E:$E,Analisis_grupo!$C$4))</f>
        <v/>
      </c>
      <c r="AE116" s="2" t="str">
        <f aca="false">IF($B116="","",COUNTIFS(Datos_items!$B:$B,$B116,Datos_items!$AA:$AA,AE$4,Datos_items!$E:$E,Analisis_grupo!$C$4))</f>
        <v/>
      </c>
      <c r="AF116" s="2" t="str">
        <f aca="false">IF($B116="","",COUNTIFS(Datos_items!$B:$B,$B116,Datos_items!$AA:$AA,AF$4,Datos_items!$E:$E,Analisis_grupo!$C$4))</f>
        <v/>
      </c>
      <c r="AG116" s="2" t="str">
        <f aca="false">IF($B116="","",COUNTIFS(Datos_items!$B:$B,$B116,Datos_items!$AA:$AA,AG$4,Datos_items!$E:$E,Analisis_grupo!$C$4))</f>
        <v/>
      </c>
      <c r="AH116" s="2" t="str">
        <f aca="false">IF($B116="","",COUNTIFS(Datos_items!$B:$B,$B116,Datos_items!$AA:$AA,AH$4,Datos_items!$E:$E,Analisis_grupo!$C$4))</f>
        <v/>
      </c>
      <c r="AI116" s="2" t="str">
        <f aca="false">IF($B116="","",COUNTIFS(Datos_items!$B:$B,$B116,Datos_items!$AA:$AA,AI$4,Datos_items!$E:$E,Analisis_grupo!$C$4))</f>
        <v/>
      </c>
      <c r="AJ116" s="2" t="str">
        <f aca="false">IF($B116="","",COUNTIFS(Datos_items!$B:$B,$B116,Datos_items!$AA:$AA,AJ$4,Datos_items!$E:$E,Analisis_grupo!$C$4))</f>
        <v/>
      </c>
      <c r="AK116" s="2" t="str">
        <f aca="false">IF($B116="","",COUNTIFS(Datos_items!$B:$B,$B116,Datos_items!$AA:$AA,AK$4,Datos_items!$E:$E,Analisis_grupo!$C$4))</f>
        <v/>
      </c>
      <c r="AL116" s="2" t="str">
        <f aca="false">IF($B116="","",COUNTIFS(Datos_items!$B:$B,$B116,Datos_items!$AA:$AA,AL$4,Datos_items!$E:$E,Analisis_grupo!$C$4))</f>
        <v/>
      </c>
      <c r="AM116" s="2" t="str">
        <f aca="false">IF($B116="","",IF(MAX(Y116:AL116)=0,"",INDEX($Y$4:$AL$4,MATCH(MAX(Y116:AL116),Y116:AL116,0))))</f>
        <v/>
      </c>
      <c r="AN116" s="2" t="str">
        <f aca="false">IF($B116="","",COUNTIFS(Datos_problemas!$B:$B,$B116,Datos_problemas!$F:$F,"Práctica"))</f>
        <v/>
      </c>
      <c r="AO116" s="2" t="str">
        <f aca="false">IF($B116="","",SUMIFS(Datos_problemas!$AQ:$AQ,Datos_problemas!$B:$B,$B116,Datos_problemas!$F:$F,"Práctica"))</f>
        <v/>
      </c>
      <c r="AP116" s="2" t="str">
        <f aca="false">IF($B116="","",COUNTIFS(Datos_problemas!$B:$B,$B116,Datos_problemas!$F:$F,"Práctica",Datos_problemas!$AS:$AS,"Sí"))</f>
        <v/>
      </c>
    </row>
    <row r="117" customFormat="false" ht="15" hidden="false" customHeight="false" outlineLevel="0" collapsed="false">
      <c r="A117" s="2" t="n">
        <v>113</v>
      </c>
      <c r="B117" s="2" t="str">
        <f aca="false">IFERROR(INDEX(Datos_problemas!$B:$B,MATCH($A117,Datos_problemas!$AV:$AV,0)),"")</f>
        <v/>
      </c>
      <c r="C117" s="2" t="str">
        <f aca="false">IF($B117="","",INDEX(Datos_problemas!$C:$C,MATCH($A117,Datos_problemas!$AV:$AV,0)))</f>
        <v/>
      </c>
      <c r="D117" s="2" t="str">
        <f aca="false">IF($B117="","",INDEX(Datos_problemas!$D:$D,MATCH($A117,Datos_problemas!$AV:$AV,0)))</f>
        <v/>
      </c>
      <c r="E117" s="2" t="str">
        <f aca="false">IF($B117="","",COUNTIFS(Datos_problemas!$B:$B,$B117,Datos_problemas!$F:$F,"Evaluación"))</f>
        <v/>
      </c>
      <c r="F117" s="20" t="str">
        <f aca="false">IF($B117="","",IFERROR(AVERAGEIFS(Datos_problemas!$AE:$AE,Datos_problemas!$B:$B,$B117,Datos_problemas!$F:$F,"Evaluación"),""))</f>
        <v/>
      </c>
      <c r="G117" s="20" t="str">
        <f aca="false">IF($B117="","",IFERROR(AVERAGEIFS(Datos_problemas!$AE:$AE,Datos_problemas!$B:$B,$B117,Datos_problemas!$F:$F,"Evaluación",Datos_problemas!$E:$E,"Diagnóstico"),""))</f>
        <v/>
      </c>
      <c r="H117" s="20" t="str">
        <f aca="false">IF($B117="","",IFERROR(AVERAGEIFS(Datos_problemas!$AE:$AE,Datos_problemas!$B:$B,$B117,Datos_problemas!$F:$F,"Evaluación",Datos_problemas!$E:$E,"Final"),""))</f>
        <v/>
      </c>
      <c r="I117" s="21" t="str">
        <f aca="false">IF(OR(G117="",H117=""),"",IF(G117&gt;=10,"",(H117-G117)/(10-G117)))</f>
        <v/>
      </c>
      <c r="J117" s="18" t="str">
        <f aca="false">IF($B117="","",IFERROR(SUMIFS(Datos_items!$Z:$Z,Datos_items!$B:$B,$B117,Datos_items!$O:$O,J$4,Datos_items!$E:$E,Analisis_grupo!$C$4)/COUNTIFS(Datos_items!$B:$B,$B117,Datos_items!$O:$O,J$4,Datos_items!$E:$E,Analisis_grupo!$C$4),""))</f>
        <v/>
      </c>
      <c r="K117" s="18" t="str">
        <f aca="false">IF($B117="","",IFERROR(SUMIFS(Datos_items!$Z:$Z,Datos_items!$B:$B,$B117,Datos_items!$O:$O,K$4,Datos_items!$E:$E,Analisis_grupo!$C$4)/COUNTIFS(Datos_items!$B:$B,$B117,Datos_items!$O:$O,K$4,Datos_items!$E:$E,Analisis_grupo!$C$4),""))</f>
        <v/>
      </c>
      <c r="L117" s="18" t="str">
        <f aca="false">IF($B117="","",IFERROR(SUMIFS(Datos_items!$Z:$Z,Datos_items!$B:$B,$B117,Datos_items!$O:$O,L$4,Datos_items!$E:$E,Analisis_grupo!$C$4)/COUNTIFS(Datos_items!$B:$B,$B117,Datos_items!$O:$O,L$4,Datos_items!$E:$E,Analisis_grupo!$C$4),""))</f>
        <v/>
      </c>
      <c r="M117" s="18" t="str">
        <f aca="false">IF($B117="","",IFERROR(SUMIFS(Datos_items!$Z:$Z,Datos_items!$B:$B,$B117,Datos_items!$O:$O,M$4,Datos_items!$E:$E,Analisis_grupo!$C$4)/COUNTIFS(Datos_items!$B:$B,$B117,Datos_items!$O:$O,M$4,Datos_items!$E:$E,Analisis_grupo!$C$4),""))</f>
        <v/>
      </c>
      <c r="N117" s="18" t="str">
        <f aca="false">IF($B117="","",IFERROR(SUMIFS(Datos_items!$Z:$Z,Datos_items!$B:$B,$B117,Datos_items!$O:$O,N$4,Datos_items!$E:$E,Analisis_grupo!$C$4)/COUNTIFS(Datos_items!$B:$B,$B117,Datos_items!$O:$O,N$4,Datos_items!$E:$E,Analisis_grupo!$C$4),""))</f>
        <v/>
      </c>
      <c r="O117" s="18" t="str">
        <f aca="false">IF($B117="","",IFERROR(SUMIFS(Datos_items!$Z:$Z,Datos_items!$B:$B,$B117,Datos_items!$O:$O,O$4,Datos_items!$E:$E,Analisis_grupo!$C$4)/COUNTIFS(Datos_items!$B:$B,$B117,Datos_items!$O:$O,O$4,Datos_items!$E:$E,Analisis_grupo!$C$4),""))</f>
        <v/>
      </c>
      <c r="P117" s="18" t="str">
        <f aca="false">IF($B117="","",IFERROR(SUMIFS(Datos_items!$Z:$Z,Datos_items!$B:$B,$B117,Datos_items!$O:$O,P$4,Datos_items!$E:$E,Analisis_grupo!$C$4)/COUNTIFS(Datos_items!$B:$B,$B117,Datos_items!$O:$O,P$4,Datos_items!$E:$E,Analisis_grupo!$C$4),""))</f>
        <v/>
      </c>
      <c r="Q117" s="18" t="str">
        <f aca="false">IF($B117="","",IFERROR(SUMIFS(Datos_items!$Z:$Z,Datos_items!$B:$B,$B117,Datos_items!$O:$O,Q$4,Datos_items!$E:$E,Analisis_grupo!$C$4)/COUNTIFS(Datos_items!$B:$B,$B117,Datos_items!$O:$O,Q$4,Datos_items!$E:$E,Analisis_grupo!$C$4),""))</f>
        <v/>
      </c>
      <c r="R117" s="2" t="str">
        <f aca="false">IF(COUNT(J117:Q117)=0,"",IF(MIN(J117:Q117)&gt;=Analisis_grupo!$B$7,"(ninguna)",INDEX($J$4:$Q$4,MATCH(MIN(J117:Q117),J117:Q117,0))))</f>
        <v/>
      </c>
      <c r="S117" s="2" t="str">
        <f aca="false">IF($B117="","",COUNTIF(J117:Q117,"&lt;"&amp;Analisis_grupo!$B$7))</f>
        <v/>
      </c>
      <c r="T117" s="2" t="str">
        <f aca="false">IF($B117="","",COUNTIFS(Datos_items!$B:$B,$B117,Datos_items!$AA:$AA,T$4,Datos_items!$E:$E,Analisis_grupo!$C$4))</f>
        <v/>
      </c>
      <c r="U117" s="2" t="str">
        <f aca="false">IF($B117="","",COUNTIFS(Datos_items!$B:$B,$B117,Datos_items!$AA:$AA,U$4,Datos_items!$E:$E,Analisis_grupo!$C$4))</f>
        <v/>
      </c>
      <c r="V117" s="2" t="str">
        <f aca="false">IF($B117="","",COUNTIFS(Datos_items!$B:$B,$B117,Datos_items!$AA:$AA,V$4,Datos_items!$E:$E,Analisis_grupo!$C$4))</f>
        <v/>
      </c>
      <c r="W117" s="2" t="str">
        <f aca="false">IF($B117="","",COUNTIFS(Datos_items!$B:$B,$B117,Datos_items!$AA:$AA,W$4,Datos_items!$E:$E,Analisis_grupo!$C$4))</f>
        <v/>
      </c>
      <c r="X117" s="2" t="str">
        <f aca="false">IF($B117="","",COUNTIFS(Datos_items!$B:$B,$B117,Datos_items!$AA:$AA,X$4,Datos_items!$E:$E,Analisis_grupo!$C$4))</f>
        <v/>
      </c>
      <c r="Y117" s="2" t="str">
        <f aca="false">IF($B117="","",COUNTIFS(Datos_items!$B:$B,$B117,Datos_items!$AA:$AA,Y$4,Datos_items!$E:$E,Analisis_grupo!$C$4))</f>
        <v/>
      </c>
      <c r="Z117" s="2" t="str">
        <f aca="false">IF($B117="","",COUNTIFS(Datos_items!$B:$B,$B117,Datos_items!$AA:$AA,Z$4,Datos_items!$E:$E,Analisis_grupo!$C$4))</f>
        <v/>
      </c>
      <c r="AA117" s="2" t="str">
        <f aca="false">IF($B117="","",COUNTIFS(Datos_items!$B:$B,$B117,Datos_items!$AA:$AA,AA$4,Datos_items!$E:$E,Analisis_grupo!$C$4))</f>
        <v/>
      </c>
      <c r="AB117" s="2" t="str">
        <f aca="false">IF($B117="","",COUNTIFS(Datos_items!$B:$B,$B117,Datos_items!$AA:$AA,AB$4,Datos_items!$E:$E,Analisis_grupo!$C$4))</f>
        <v/>
      </c>
      <c r="AC117" s="2" t="str">
        <f aca="false">IF($B117="","",COUNTIFS(Datos_items!$B:$B,$B117,Datos_items!$AA:$AA,AC$4,Datos_items!$E:$E,Analisis_grupo!$C$4))</f>
        <v/>
      </c>
      <c r="AD117" s="2" t="str">
        <f aca="false">IF($B117="","",COUNTIFS(Datos_items!$B:$B,$B117,Datos_items!$AA:$AA,AD$4,Datos_items!$E:$E,Analisis_grupo!$C$4))</f>
        <v/>
      </c>
      <c r="AE117" s="2" t="str">
        <f aca="false">IF($B117="","",COUNTIFS(Datos_items!$B:$B,$B117,Datos_items!$AA:$AA,AE$4,Datos_items!$E:$E,Analisis_grupo!$C$4))</f>
        <v/>
      </c>
      <c r="AF117" s="2" t="str">
        <f aca="false">IF($B117="","",COUNTIFS(Datos_items!$B:$B,$B117,Datos_items!$AA:$AA,AF$4,Datos_items!$E:$E,Analisis_grupo!$C$4))</f>
        <v/>
      </c>
      <c r="AG117" s="2" t="str">
        <f aca="false">IF($B117="","",COUNTIFS(Datos_items!$B:$B,$B117,Datos_items!$AA:$AA,AG$4,Datos_items!$E:$E,Analisis_grupo!$C$4))</f>
        <v/>
      </c>
      <c r="AH117" s="2" t="str">
        <f aca="false">IF($B117="","",COUNTIFS(Datos_items!$B:$B,$B117,Datos_items!$AA:$AA,AH$4,Datos_items!$E:$E,Analisis_grupo!$C$4))</f>
        <v/>
      </c>
      <c r="AI117" s="2" t="str">
        <f aca="false">IF($B117="","",COUNTIFS(Datos_items!$B:$B,$B117,Datos_items!$AA:$AA,AI$4,Datos_items!$E:$E,Analisis_grupo!$C$4))</f>
        <v/>
      </c>
      <c r="AJ117" s="2" t="str">
        <f aca="false">IF($B117="","",COUNTIFS(Datos_items!$B:$B,$B117,Datos_items!$AA:$AA,AJ$4,Datos_items!$E:$E,Analisis_grupo!$C$4))</f>
        <v/>
      </c>
      <c r="AK117" s="2" t="str">
        <f aca="false">IF($B117="","",COUNTIFS(Datos_items!$B:$B,$B117,Datos_items!$AA:$AA,AK$4,Datos_items!$E:$E,Analisis_grupo!$C$4))</f>
        <v/>
      </c>
      <c r="AL117" s="2" t="str">
        <f aca="false">IF($B117="","",COUNTIFS(Datos_items!$B:$B,$B117,Datos_items!$AA:$AA,AL$4,Datos_items!$E:$E,Analisis_grupo!$C$4))</f>
        <v/>
      </c>
      <c r="AM117" s="2" t="str">
        <f aca="false">IF($B117="","",IF(MAX(Y117:AL117)=0,"",INDEX($Y$4:$AL$4,MATCH(MAX(Y117:AL117),Y117:AL117,0))))</f>
        <v/>
      </c>
      <c r="AN117" s="2" t="str">
        <f aca="false">IF($B117="","",COUNTIFS(Datos_problemas!$B:$B,$B117,Datos_problemas!$F:$F,"Práctica"))</f>
        <v/>
      </c>
      <c r="AO117" s="2" t="str">
        <f aca="false">IF($B117="","",SUMIFS(Datos_problemas!$AQ:$AQ,Datos_problemas!$B:$B,$B117,Datos_problemas!$F:$F,"Práctica"))</f>
        <v/>
      </c>
      <c r="AP117" s="2" t="str">
        <f aca="false">IF($B117="","",COUNTIFS(Datos_problemas!$B:$B,$B117,Datos_problemas!$F:$F,"Práctica",Datos_problemas!$AS:$AS,"Sí"))</f>
        <v/>
      </c>
    </row>
    <row r="118" customFormat="false" ht="15" hidden="false" customHeight="false" outlineLevel="0" collapsed="false">
      <c r="A118" s="2" t="n">
        <v>114</v>
      </c>
      <c r="B118" s="2" t="str">
        <f aca="false">IFERROR(INDEX(Datos_problemas!$B:$B,MATCH($A118,Datos_problemas!$AV:$AV,0)),"")</f>
        <v/>
      </c>
      <c r="C118" s="2" t="str">
        <f aca="false">IF($B118="","",INDEX(Datos_problemas!$C:$C,MATCH($A118,Datos_problemas!$AV:$AV,0)))</f>
        <v/>
      </c>
      <c r="D118" s="2" t="str">
        <f aca="false">IF($B118="","",INDEX(Datos_problemas!$D:$D,MATCH($A118,Datos_problemas!$AV:$AV,0)))</f>
        <v/>
      </c>
      <c r="E118" s="2" t="str">
        <f aca="false">IF($B118="","",COUNTIFS(Datos_problemas!$B:$B,$B118,Datos_problemas!$F:$F,"Evaluación"))</f>
        <v/>
      </c>
      <c r="F118" s="20" t="str">
        <f aca="false">IF($B118="","",IFERROR(AVERAGEIFS(Datos_problemas!$AE:$AE,Datos_problemas!$B:$B,$B118,Datos_problemas!$F:$F,"Evaluación"),""))</f>
        <v/>
      </c>
      <c r="G118" s="20" t="str">
        <f aca="false">IF($B118="","",IFERROR(AVERAGEIFS(Datos_problemas!$AE:$AE,Datos_problemas!$B:$B,$B118,Datos_problemas!$F:$F,"Evaluación",Datos_problemas!$E:$E,"Diagnóstico"),""))</f>
        <v/>
      </c>
      <c r="H118" s="20" t="str">
        <f aca="false">IF($B118="","",IFERROR(AVERAGEIFS(Datos_problemas!$AE:$AE,Datos_problemas!$B:$B,$B118,Datos_problemas!$F:$F,"Evaluación",Datos_problemas!$E:$E,"Final"),""))</f>
        <v/>
      </c>
      <c r="I118" s="21" t="str">
        <f aca="false">IF(OR(G118="",H118=""),"",IF(G118&gt;=10,"",(H118-G118)/(10-G118)))</f>
        <v/>
      </c>
      <c r="J118" s="18" t="str">
        <f aca="false">IF($B118="","",IFERROR(SUMIFS(Datos_items!$Z:$Z,Datos_items!$B:$B,$B118,Datos_items!$O:$O,J$4,Datos_items!$E:$E,Analisis_grupo!$C$4)/COUNTIFS(Datos_items!$B:$B,$B118,Datos_items!$O:$O,J$4,Datos_items!$E:$E,Analisis_grupo!$C$4),""))</f>
        <v/>
      </c>
      <c r="K118" s="18" t="str">
        <f aca="false">IF($B118="","",IFERROR(SUMIFS(Datos_items!$Z:$Z,Datos_items!$B:$B,$B118,Datos_items!$O:$O,K$4,Datos_items!$E:$E,Analisis_grupo!$C$4)/COUNTIFS(Datos_items!$B:$B,$B118,Datos_items!$O:$O,K$4,Datos_items!$E:$E,Analisis_grupo!$C$4),""))</f>
        <v/>
      </c>
      <c r="L118" s="18" t="str">
        <f aca="false">IF($B118="","",IFERROR(SUMIFS(Datos_items!$Z:$Z,Datos_items!$B:$B,$B118,Datos_items!$O:$O,L$4,Datos_items!$E:$E,Analisis_grupo!$C$4)/COUNTIFS(Datos_items!$B:$B,$B118,Datos_items!$O:$O,L$4,Datos_items!$E:$E,Analisis_grupo!$C$4),""))</f>
        <v/>
      </c>
      <c r="M118" s="18" t="str">
        <f aca="false">IF($B118="","",IFERROR(SUMIFS(Datos_items!$Z:$Z,Datos_items!$B:$B,$B118,Datos_items!$O:$O,M$4,Datos_items!$E:$E,Analisis_grupo!$C$4)/COUNTIFS(Datos_items!$B:$B,$B118,Datos_items!$O:$O,M$4,Datos_items!$E:$E,Analisis_grupo!$C$4),""))</f>
        <v/>
      </c>
      <c r="N118" s="18" t="str">
        <f aca="false">IF($B118="","",IFERROR(SUMIFS(Datos_items!$Z:$Z,Datos_items!$B:$B,$B118,Datos_items!$O:$O,N$4,Datos_items!$E:$E,Analisis_grupo!$C$4)/COUNTIFS(Datos_items!$B:$B,$B118,Datos_items!$O:$O,N$4,Datos_items!$E:$E,Analisis_grupo!$C$4),""))</f>
        <v/>
      </c>
      <c r="O118" s="18" t="str">
        <f aca="false">IF($B118="","",IFERROR(SUMIFS(Datos_items!$Z:$Z,Datos_items!$B:$B,$B118,Datos_items!$O:$O,O$4,Datos_items!$E:$E,Analisis_grupo!$C$4)/COUNTIFS(Datos_items!$B:$B,$B118,Datos_items!$O:$O,O$4,Datos_items!$E:$E,Analisis_grupo!$C$4),""))</f>
        <v/>
      </c>
      <c r="P118" s="18" t="str">
        <f aca="false">IF($B118="","",IFERROR(SUMIFS(Datos_items!$Z:$Z,Datos_items!$B:$B,$B118,Datos_items!$O:$O,P$4,Datos_items!$E:$E,Analisis_grupo!$C$4)/COUNTIFS(Datos_items!$B:$B,$B118,Datos_items!$O:$O,P$4,Datos_items!$E:$E,Analisis_grupo!$C$4),""))</f>
        <v/>
      </c>
      <c r="Q118" s="18" t="str">
        <f aca="false">IF($B118="","",IFERROR(SUMIFS(Datos_items!$Z:$Z,Datos_items!$B:$B,$B118,Datos_items!$O:$O,Q$4,Datos_items!$E:$E,Analisis_grupo!$C$4)/COUNTIFS(Datos_items!$B:$B,$B118,Datos_items!$O:$O,Q$4,Datos_items!$E:$E,Analisis_grupo!$C$4),""))</f>
        <v/>
      </c>
      <c r="R118" s="2" t="str">
        <f aca="false">IF(COUNT(J118:Q118)=0,"",IF(MIN(J118:Q118)&gt;=Analisis_grupo!$B$7,"(ninguna)",INDEX($J$4:$Q$4,MATCH(MIN(J118:Q118),J118:Q118,0))))</f>
        <v/>
      </c>
      <c r="S118" s="2" t="str">
        <f aca="false">IF($B118="","",COUNTIF(J118:Q118,"&lt;"&amp;Analisis_grupo!$B$7))</f>
        <v/>
      </c>
      <c r="T118" s="2" t="str">
        <f aca="false">IF($B118="","",COUNTIFS(Datos_items!$B:$B,$B118,Datos_items!$AA:$AA,T$4,Datos_items!$E:$E,Analisis_grupo!$C$4))</f>
        <v/>
      </c>
      <c r="U118" s="2" t="str">
        <f aca="false">IF($B118="","",COUNTIFS(Datos_items!$B:$B,$B118,Datos_items!$AA:$AA,U$4,Datos_items!$E:$E,Analisis_grupo!$C$4))</f>
        <v/>
      </c>
      <c r="V118" s="2" t="str">
        <f aca="false">IF($B118="","",COUNTIFS(Datos_items!$B:$B,$B118,Datos_items!$AA:$AA,V$4,Datos_items!$E:$E,Analisis_grupo!$C$4))</f>
        <v/>
      </c>
      <c r="W118" s="2" t="str">
        <f aca="false">IF($B118="","",COUNTIFS(Datos_items!$B:$B,$B118,Datos_items!$AA:$AA,W$4,Datos_items!$E:$E,Analisis_grupo!$C$4))</f>
        <v/>
      </c>
      <c r="X118" s="2" t="str">
        <f aca="false">IF($B118="","",COUNTIFS(Datos_items!$B:$B,$B118,Datos_items!$AA:$AA,X$4,Datos_items!$E:$E,Analisis_grupo!$C$4))</f>
        <v/>
      </c>
      <c r="Y118" s="2" t="str">
        <f aca="false">IF($B118="","",COUNTIFS(Datos_items!$B:$B,$B118,Datos_items!$AA:$AA,Y$4,Datos_items!$E:$E,Analisis_grupo!$C$4))</f>
        <v/>
      </c>
      <c r="Z118" s="2" t="str">
        <f aca="false">IF($B118="","",COUNTIFS(Datos_items!$B:$B,$B118,Datos_items!$AA:$AA,Z$4,Datos_items!$E:$E,Analisis_grupo!$C$4))</f>
        <v/>
      </c>
      <c r="AA118" s="2" t="str">
        <f aca="false">IF($B118="","",COUNTIFS(Datos_items!$B:$B,$B118,Datos_items!$AA:$AA,AA$4,Datos_items!$E:$E,Analisis_grupo!$C$4))</f>
        <v/>
      </c>
      <c r="AB118" s="2" t="str">
        <f aca="false">IF($B118="","",COUNTIFS(Datos_items!$B:$B,$B118,Datos_items!$AA:$AA,AB$4,Datos_items!$E:$E,Analisis_grupo!$C$4))</f>
        <v/>
      </c>
      <c r="AC118" s="2" t="str">
        <f aca="false">IF($B118="","",COUNTIFS(Datos_items!$B:$B,$B118,Datos_items!$AA:$AA,AC$4,Datos_items!$E:$E,Analisis_grupo!$C$4))</f>
        <v/>
      </c>
      <c r="AD118" s="2" t="str">
        <f aca="false">IF($B118="","",COUNTIFS(Datos_items!$B:$B,$B118,Datos_items!$AA:$AA,AD$4,Datos_items!$E:$E,Analisis_grupo!$C$4))</f>
        <v/>
      </c>
      <c r="AE118" s="2" t="str">
        <f aca="false">IF($B118="","",COUNTIFS(Datos_items!$B:$B,$B118,Datos_items!$AA:$AA,AE$4,Datos_items!$E:$E,Analisis_grupo!$C$4))</f>
        <v/>
      </c>
      <c r="AF118" s="2" t="str">
        <f aca="false">IF($B118="","",COUNTIFS(Datos_items!$B:$B,$B118,Datos_items!$AA:$AA,AF$4,Datos_items!$E:$E,Analisis_grupo!$C$4))</f>
        <v/>
      </c>
      <c r="AG118" s="2" t="str">
        <f aca="false">IF($B118="","",COUNTIFS(Datos_items!$B:$B,$B118,Datos_items!$AA:$AA,AG$4,Datos_items!$E:$E,Analisis_grupo!$C$4))</f>
        <v/>
      </c>
      <c r="AH118" s="2" t="str">
        <f aca="false">IF($B118="","",COUNTIFS(Datos_items!$B:$B,$B118,Datos_items!$AA:$AA,AH$4,Datos_items!$E:$E,Analisis_grupo!$C$4))</f>
        <v/>
      </c>
      <c r="AI118" s="2" t="str">
        <f aca="false">IF($B118="","",COUNTIFS(Datos_items!$B:$B,$B118,Datos_items!$AA:$AA,AI$4,Datos_items!$E:$E,Analisis_grupo!$C$4))</f>
        <v/>
      </c>
      <c r="AJ118" s="2" t="str">
        <f aca="false">IF($B118="","",COUNTIFS(Datos_items!$B:$B,$B118,Datos_items!$AA:$AA,AJ$4,Datos_items!$E:$E,Analisis_grupo!$C$4))</f>
        <v/>
      </c>
      <c r="AK118" s="2" t="str">
        <f aca="false">IF($B118="","",COUNTIFS(Datos_items!$B:$B,$B118,Datos_items!$AA:$AA,AK$4,Datos_items!$E:$E,Analisis_grupo!$C$4))</f>
        <v/>
      </c>
      <c r="AL118" s="2" t="str">
        <f aca="false">IF($B118="","",COUNTIFS(Datos_items!$B:$B,$B118,Datos_items!$AA:$AA,AL$4,Datos_items!$E:$E,Analisis_grupo!$C$4))</f>
        <v/>
      </c>
      <c r="AM118" s="2" t="str">
        <f aca="false">IF($B118="","",IF(MAX(Y118:AL118)=0,"",INDEX($Y$4:$AL$4,MATCH(MAX(Y118:AL118),Y118:AL118,0))))</f>
        <v/>
      </c>
      <c r="AN118" s="2" t="str">
        <f aca="false">IF($B118="","",COUNTIFS(Datos_problemas!$B:$B,$B118,Datos_problemas!$F:$F,"Práctica"))</f>
        <v/>
      </c>
      <c r="AO118" s="2" t="str">
        <f aca="false">IF($B118="","",SUMIFS(Datos_problemas!$AQ:$AQ,Datos_problemas!$B:$B,$B118,Datos_problemas!$F:$F,"Práctica"))</f>
        <v/>
      </c>
      <c r="AP118" s="2" t="str">
        <f aca="false">IF($B118="","",COUNTIFS(Datos_problemas!$B:$B,$B118,Datos_problemas!$F:$F,"Práctica",Datos_problemas!$AS:$AS,"Sí"))</f>
        <v/>
      </c>
    </row>
    <row r="119" customFormat="false" ht="15" hidden="false" customHeight="false" outlineLevel="0" collapsed="false">
      <c r="A119" s="2" t="n">
        <v>115</v>
      </c>
      <c r="B119" s="2" t="str">
        <f aca="false">IFERROR(INDEX(Datos_problemas!$B:$B,MATCH($A119,Datos_problemas!$AV:$AV,0)),"")</f>
        <v/>
      </c>
      <c r="C119" s="2" t="str">
        <f aca="false">IF($B119="","",INDEX(Datos_problemas!$C:$C,MATCH($A119,Datos_problemas!$AV:$AV,0)))</f>
        <v/>
      </c>
      <c r="D119" s="2" t="str">
        <f aca="false">IF($B119="","",INDEX(Datos_problemas!$D:$D,MATCH($A119,Datos_problemas!$AV:$AV,0)))</f>
        <v/>
      </c>
      <c r="E119" s="2" t="str">
        <f aca="false">IF($B119="","",COUNTIFS(Datos_problemas!$B:$B,$B119,Datos_problemas!$F:$F,"Evaluación"))</f>
        <v/>
      </c>
      <c r="F119" s="20" t="str">
        <f aca="false">IF($B119="","",IFERROR(AVERAGEIFS(Datos_problemas!$AE:$AE,Datos_problemas!$B:$B,$B119,Datos_problemas!$F:$F,"Evaluación"),""))</f>
        <v/>
      </c>
      <c r="G119" s="20" t="str">
        <f aca="false">IF($B119="","",IFERROR(AVERAGEIFS(Datos_problemas!$AE:$AE,Datos_problemas!$B:$B,$B119,Datos_problemas!$F:$F,"Evaluación",Datos_problemas!$E:$E,"Diagnóstico"),""))</f>
        <v/>
      </c>
      <c r="H119" s="20" t="str">
        <f aca="false">IF($B119="","",IFERROR(AVERAGEIFS(Datos_problemas!$AE:$AE,Datos_problemas!$B:$B,$B119,Datos_problemas!$F:$F,"Evaluación",Datos_problemas!$E:$E,"Final"),""))</f>
        <v/>
      </c>
      <c r="I119" s="21" t="str">
        <f aca="false">IF(OR(G119="",H119=""),"",IF(G119&gt;=10,"",(H119-G119)/(10-G119)))</f>
        <v/>
      </c>
      <c r="J119" s="18" t="str">
        <f aca="false">IF($B119="","",IFERROR(SUMIFS(Datos_items!$Z:$Z,Datos_items!$B:$B,$B119,Datos_items!$O:$O,J$4,Datos_items!$E:$E,Analisis_grupo!$C$4)/COUNTIFS(Datos_items!$B:$B,$B119,Datos_items!$O:$O,J$4,Datos_items!$E:$E,Analisis_grupo!$C$4),""))</f>
        <v/>
      </c>
      <c r="K119" s="18" t="str">
        <f aca="false">IF($B119="","",IFERROR(SUMIFS(Datos_items!$Z:$Z,Datos_items!$B:$B,$B119,Datos_items!$O:$O,K$4,Datos_items!$E:$E,Analisis_grupo!$C$4)/COUNTIFS(Datos_items!$B:$B,$B119,Datos_items!$O:$O,K$4,Datos_items!$E:$E,Analisis_grupo!$C$4),""))</f>
        <v/>
      </c>
      <c r="L119" s="18" t="str">
        <f aca="false">IF($B119="","",IFERROR(SUMIFS(Datos_items!$Z:$Z,Datos_items!$B:$B,$B119,Datos_items!$O:$O,L$4,Datos_items!$E:$E,Analisis_grupo!$C$4)/COUNTIFS(Datos_items!$B:$B,$B119,Datos_items!$O:$O,L$4,Datos_items!$E:$E,Analisis_grupo!$C$4),""))</f>
        <v/>
      </c>
      <c r="M119" s="18" t="str">
        <f aca="false">IF($B119="","",IFERROR(SUMIFS(Datos_items!$Z:$Z,Datos_items!$B:$B,$B119,Datos_items!$O:$O,M$4,Datos_items!$E:$E,Analisis_grupo!$C$4)/COUNTIFS(Datos_items!$B:$B,$B119,Datos_items!$O:$O,M$4,Datos_items!$E:$E,Analisis_grupo!$C$4),""))</f>
        <v/>
      </c>
      <c r="N119" s="18" t="str">
        <f aca="false">IF($B119="","",IFERROR(SUMIFS(Datos_items!$Z:$Z,Datos_items!$B:$B,$B119,Datos_items!$O:$O,N$4,Datos_items!$E:$E,Analisis_grupo!$C$4)/COUNTIFS(Datos_items!$B:$B,$B119,Datos_items!$O:$O,N$4,Datos_items!$E:$E,Analisis_grupo!$C$4),""))</f>
        <v/>
      </c>
      <c r="O119" s="18" t="str">
        <f aca="false">IF($B119="","",IFERROR(SUMIFS(Datos_items!$Z:$Z,Datos_items!$B:$B,$B119,Datos_items!$O:$O,O$4,Datos_items!$E:$E,Analisis_grupo!$C$4)/COUNTIFS(Datos_items!$B:$B,$B119,Datos_items!$O:$O,O$4,Datos_items!$E:$E,Analisis_grupo!$C$4),""))</f>
        <v/>
      </c>
      <c r="P119" s="18" t="str">
        <f aca="false">IF($B119="","",IFERROR(SUMIFS(Datos_items!$Z:$Z,Datos_items!$B:$B,$B119,Datos_items!$O:$O,P$4,Datos_items!$E:$E,Analisis_grupo!$C$4)/COUNTIFS(Datos_items!$B:$B,$B119,Datos_items!$O:$O,P$4,Datos_items!$E:$E,Analisis_grupo!$C$4),""))</f>
        <v/>
      </c>
      <c r="Q119" s="18" t="str">
        <f aca="false">IF($B119="","",IFERROR(SUMIFS(Datos_items!$Z:$Z,Datos_items!$B:$B,$B119,Datos_items!$O:$O,Q$4,Datos_items!$E:$E,Analisis_grupo!$C$4)/COUNTIFS(Datos_items!$B:$B,$B119,Datos_items!$O:$O,Q$4,Datos_items!$E:$E,Analisis_grupo!$C$4),""))</f>
        <v/>
      </c>
      <c r="R119" s="2" t="str">
        <f aca="false">IF(COUNT(J119:Q119)=0,"",IF(MIN(J119:Q119)&gt;=Analisis_grupo!$B$7,"(ninguna)",INDEX($J$4:$Q$4,MATCH(MIN(J119:Q119),J119:Q119,0))))</f>
        <v/>
      </c>
      <c r="S119" s="2" t="str">
        <f aca="false">IF($B119="","",COUNTIF(J119:Q119,"&lt;"&amp;Analisis_grupo!$B$7))</f>
        <v/>
      </c>
      <c r="T119" s="2" t="str">
        <f aca="false">IF($B119="","",COUNTIFS(Datos_items!$B:$B,$B119,Datos_items!$AA:$AA,T$4,Datos_items!$E:$E,Analisis_grupo!$C$4))</f>
        <v/>
      </c>
      <c r="U119" s="2" t="str">
        <f aca="false">IF($B119="","",COUNTIFS(Datos_items!$B:$B,$B119,Datos_items!$AA:$AA,U$4,Datos_items!$E:$E,Analisis_grupo!$C$4))</f>
        <v/>
      </c>
      <c r="V119" s="2" t="str">
        <f aca="false">IF($B119="","",COUNTIFS(Datos_items!$B:$B,$B119,Datos_items!$AA:$AA,V$4,Datos_items!$E:$E,Analisis_grupo!$C$4))</f>
        <v/>
      </c>
      <c r="W119" s="2" t="str">
        <f aca="false">IF($B119="","",COUNTIFS(Datos_items!$B:$B,$B119,Datos_items!$AA:$AA,W$4,Datos_items!$E:$E,Analisis_grupo!$C$4))</f>
        <v/>
      </c>
      <c r="X119" s="2" t="str">
        <f aca="false">IF($B119="","",COUNTIFS(Datos_items!$B:$B,$B119,Datos_items!$AA:$AA,X$4,Datos_items!$E:$E,Analisis_grupo!$C$4))</f>
        <v/>
      </c>
      <c r="Y119" s="2" t="str">
        <f aca="false">IF($B119="","",COUNTIFS(Datos_items!$B:$B,$B119,Datos_items!$AA:$AA,Y$4,Datos_items!$E:$E,Analisis_grupo!$C$4))</f>
        <v/>
      </c>
      <c r="Z119" s="2" t="str">
        <f aca="false">IF($B119="","",COUNTIFS(Datos_items!$B:$B,$B119,Datos_items!$AA:$AA,Z$4,Datos_items!$E:$E,Analisis_grupo!$C$4))</f>
        <v/>
      </c>
      <c r="AA119" s="2" t="str">
        <f aca="false">IF($B119="","",COUNTIFS(Datos_items!$B:$B,$B119,Datos_items!$AA:$AA,AA$4,Datos_items!$E:$E,Analisis_grupo!$C$4))</f>
        <v/>
      </c>
      <c r="AB119" s="2" t="str">
        <f aca="false">IF($B119="","",COUNTIFS(Datos_items!$B:$B,$B119,Datos_items!$AA:$AA,AB$4,Datos_items!$E:$E,Analisis_grupo!$C$4))</f>
        <v/>
      </c>
      <c r="AC119" s="2" t="str">
        <f aca="false">IF($B119="","",COUNTIFS(Datos_items!$B:$B,$B119,Datos_items!$AA:$AA,AC$4,Datos_items!$E:$E,Analisis_grupo!$C$4))</f>
        <v/>
      </c>
      <c r="AD119" s="2" t="str">
        <f aca="false">IF($B119="","",COUNTIFS(Datos_items!$B:$B,$B119,Datos_items!$AA:$AA,AD$4,Datos_items!$E:$E,Analisis_grupo!$C$4))</f>
        <v/>
      </c>
      <c r="AE119" s="2" t="str">
        <f aca="false">IF($B119="","",COUNTIFS(Datos_items!$B:$B,$B119,Datos_items!$AA:$AA,AE$4,Datos_items!$E:$E,Analisis_grupo!$C$4))</f>
        <v/>
      </c>
      <c r="AF119" s="2" t="str">
        <f aca="false">IF($B119="","",COUNTIFS(Datos_items!$B:$B,$B119,Datos_items!$AA:$AA,AF$4,Datos_items!$E:$E,Analisis_grupo!$C$4))</f>
        <v/>
      </c>
      <c r="AG119" s="2" t="str">
        <f aca="false">IF($B119="","",COUNTIFS(Datos_items!$B:$B,$B119,Datos_items!$AA:$AA,AG$4,Datos_items!$E:$E,Analisis_grupo!$C$4))</f>
        <v/>
      </c>
      <c r="AH119" s="2" t="str">
        <f aca="false">IF($B119="","",COUNTIFS(Datos_items!$B:$B,$B119,Datos_items!$AA:$AA,AH$4,Datos_items!$E:$E,Analisis_grupo!$C$4))</f>
        <v/>
      </c>
      <c r="AI119" s="2" t="str">
        <f aca="false">IF($B119="","",COUNTIFS(Datos_items!$B:$B,$B119,Datos_items!$AA:$AA,AI$4,Datos_items!$E:$E,Analisis_grupo!$C$4))</f>
        <v/>
      </c>
      <c r="AJ119" s="2" t="str">
        <f aca="false">IF($B119="","",COUNTIFS(Datos_items!$B:$B,$B119,Datos_items!$AA:$AA,AJ$4,Datos_items!$E:$E,Analisis_grupo!$C$4))</f>
        <v/>
      </c>
      <c r="AK119" s="2" t="str">
        <f aca="false">IF($B119="","",COUNTIFS(Datos_items!$B:$B,$B119,Datos_items!$AA:$AA,AK$4,Datos_items!$E:$E,Analisis_grupo!$C$4))</f>
        <v/>
      </c>
      <c r="AL119" s="2" t="str">
        <f aca="false">IF($B119="","",COUNTIFS(Datos_items!$B:$B,$B119,Datos_items!$AA:$AA,AL$4,Datos_items!$E:$E,Analisis_grupo!$C$4))</f>
        <v/>
      </c>
      <c r="AM119" s="2" t="str">
        <f aca="false">IF($B119="","",IF(MAX(Y119:AL119)=0,"",INDEX($Y$4:$AL$4,MATCH(MAX(Y119:AL119),Y119:AL119,0))))</f>
        <v/>
      </c>
      <c r="AN119" s="2" t="str">
        <f aca="false">IF($B119="","",COUNTIFS(Datos_problemas!$B:$B,$B119,Datos_problemas!$F:$F,"Práctica"))</f>
        <v/>
      </c>
      <c r="AO119" s="2" t="str">
        <f aca="false">IF($B119="","",SUMIFS(Datos_problemas!$AQ:$AQ,Datos_problemas!$B:$B,$B119,Datos_problemas!$F:$F,"Práctica"))</f>
        <v/>
      </c>
      <c r="AP119" s="2" t="str">
        <f aca="false">IF($B119="","",COUNTIFS(Datos_problemas!$B:$B,$B119,Datos_problemas!$F:$F,"Práctica",Datos_problemas!$AS:$AS,"Sí"))</f>
        <v/>
      </c>
    </row>
    <row r="120" customFormat="false" ht="15" hidden="false" customHeight="false" outlineLevel="0" collapsed="false">
      <c r="A120" s="2" t="n">
        <v>116</v>
      </c>
      <c r="B120" s="2" t="str">
        <f aca="false">IFERROR(INDEX(Datos_problemas!$B:$B,MATCH($A120,Datos_problemas!$AV:$AV,0)),"")</f>
        <v/>
      </c>
      <c r="C120" s="2" t="str">
        <f aca="false">IF($B120="","",INDEX(Datos_problemas!$C:$C,MATCH($A120,Datos_problemas!$AV:$AV,0)))</f>
        <v/>
      </c>
      <c r="D120" s="2" t="str">
        <f aca="false">IF($B120="","",INDEX(Datos_problemas!$D:$D,MATCH($A120,Datos_problemas!$AV:$AV,0)))</f>
        <v/>
      </c>
      <c r="E120" s="2" t="str">
        <f aca="false">IF($B120="","",COUNTIFS(Datos_problemas!$B:$B,$B120,Datos_problemas!$F:$F,"Evaluación"))</f>
        <v/>
      </c>
      <c r="F120" s="20" t="str">
        <f aca="false">IF($B120="","",IFERROR(AVERAGEIFS(Datos_problemas!$AE:$AE,Datos_problemas!$B:$B,$B120,Datos_problemas!$F:$F,"Evaluación"),""))</f>
        <v/>
      </c>
      <c r="G120" s="20" t="str">
        <f aca="false">IF($B120="","",IFERROR(AVERAGEIFS(Datos_problemas!$AE:$AE,Datos_problemas!$B:$B,$B120,Datos_problemas!$F:$F,"Evaluación",Datos_problemas!$E:$E,"Diagnóstico"),""))</f>
        <v/>
      </c>
      <c r="H120" s="20" t="str">
        <f aca="false">IF($B120="","",IFERROR(AVERAGEIFS(Datos_problemas!$AE:$AE,Datos_problemas!$B:$B,$B120,Datos_problemas!$F:$F,"Evaluación",Datos_problemas!$E:$E,"Final"),""))</f>
        <v/>
      </c>
      <c r="I120" s="21" t="str">
        <f aca="false">IF(OR(G120="",H120=""),"",IF(G120&gt;=10,"",(H120-G120)/(10-G120)))</f>
        <v/>
      </c>
      <c r="J120" s="18" t="str">
        <f aca="false">IF($B120="","",IFERROR(SUMIFS(Datos_items!$Z:$Z,Datos_items!$B:$B,$B120,Datos_items!$O:$O,J$4,Datos_items!$E:$E,Analisis_grupo!$C$4)/COUNTIFS(Datos_items!$B:$B,$B120,Datos_items!$O:$O,J$4,Datos_items!$E:$E,Analisis_grupo!$C$4),""))</f>
        <v/>
      </c>
      <c r="K120" s="18" t="str">
        <f aca="false">IF($B120="","",IFERROR(SUMIFS(Datos_items!$Z:$Z,Datos_items!$B:$B,$B120,Datos_items!$O:$O,K$4,Datos_items!$E:$E,Analisis_grupo!$C$4)/COUNTIFS(Datos_items!$B:$B,$B120,Datos_items!$O:$O,K$4,Datos_items!$E:$E,Analisis_grupo!$C$4),""))</f>
        <v/>
      </c>
      <c r="L120" s="18" t="str">
        <f aca="false">IF($B120="","",IFERROR(SUMIFS(Datos_items!$Z:$Z,Datos_items!$B:$B,$B120,Datos_items!$O:$O,L$4,Datos_items!$E:$E,Analisis_grupo!$C$4)/COUNTIFS(Datos_items!$B:$B,$B120,Datos_items!$O:$O,L$4,Datos_items!$E:$E,Analisis_grupo!$C$4),""))</f>
        <v/>
      </c>
      <c r="M120" s="18" t="str">
        <f aca="false">IF($B120="","",IFERROR(SUMIFS(Datos_items!$Z:$Z,Datos_items!$B:$B,$B120,Datos_items!$O:$O,M$4,Datos_items!$E:$E,Analisis_grupo!$C$4)/COUNTIFS(Datos_items!$B:$B,$B120,Datos_items!$O:$O,M$4,Datos_items!$E:$E,Analisis_grupo!$C$4),""))</f>
        <v/>
      </c>
      <c r="N120" s="18" t="str">
        <f aca="false">IF($B120="","",IFERROR(SUMIFS(Datos_items!$Z:$Z,Datos_items!$B:$B,$B120,Datos_items!$O:$O,N$4,Datos_items!$E:$E,Analisis_grupo!$C$4)/COUNTIFS(Datos_items!$B:$B,$B120,Datos_items!$O:$O,N$4,Datos_items!$E:$E,Analisis_grupo!$C$4),""))</f>
        <v/>
      </c>
      <c r="O120" s="18" t="str">
        <f aca="false">IF($B120="","",IFERROR(SUMIFS(Datos_items!$Z:$Z,Datos_items!$B:$B,$B120,Datos_items!$O:$O,O$4,Datos_items!$E:$E,Analisis_grupo!$C$4)/COUNTIFS(Datos_items!$B:$B,$B120,Datos_items!$O:$O,O$4,Datos_items!$E:$E,Analisis_grupo!$C$4),""))</f>
        <v/>
      </c>
      <c r="P120" s="18" t="str">
        <f aca="false">IF($B120="","",IFERROR(SUMIFS(Datos_items!$Z:$Z,Datos_items!$B:$B,$B120,Datos_items!$O:$O,P$4,Datos_items!$E:$E,Analisis_grupo!$C$4)/COUNTIFS(Datos_items!$B:$B,$B120,Datos_items!$O:$O,P$4,Datos_items!$E:$E,Analisis_grupo!$C$4),""))</f>
        <v/>
      </c>
      <c r="Q120" s="18" t="str">
        <f aca="false">IF($B120="","",IFERROR(SUMIFS(Datos_items!$Z:$Z,Datos_items!$B:$B,$B120,Datos_items!$O:$O,Q$4,Datos_items!$E:$E,Analisis_grupo!$C$4)/COUNTIFS(Datos_items!$B:$B,$B120,Datos_items!$O:$O,Q$4,Datos_items!$E:$E,Analisis_grupo!$C$4),""))</f>
        <v/>
      </c>
      <c r="R120" s="2" t="str">
        <f aca="false">IF(COUNT(J120:Q120)=0,"",IF(MIN(J120:Q120)&gt;=Analisis_grupo!$B$7,"(ninguna)",INDEX($J$4:$Q$4,MATCH(MIN(J120:Q120),J120:Q120,0))))</f>
        <v/>
      </c>
      <c r="S120" s="2" t="str">
        <f aca="false">IF($B120="","",COUNTIF(J120:Q120,"&lt;"&amp;Analisis_grupo!$B$7))</f>
        <v/>
      </c>
      <c r="T120" s="2" t="str">
        <f aca="false">IF($B120="","",COUNTIFS(Datos_items!$B:$B,$B120,Datos_items!$AA:$AA,T$4,Datos_items!$E:$E,Analisis_grupo!$C$4))</f>
        <v/>
      </c>
      <c r="U120" s="2" t="str">
        <f aca="false">IF($B120="","",COUNTIFS(Datos_items!$B:$B,$B120,Datos_items!$AA:$AA,U$4,Datos_items!$E:$E,Analisis_grupo!$C$4))</f>
        <v/>
      </c>
      <c r="V120" s="2" t="str">
        <f aca="false">IF($B120="","",COUNTIFS(Datos_items!$B:$B,$B120,Datos_items!$AA:$AA,V$4,Datos_items!$E:$E,Analisis_grupo!$C$4))</f>
        <v/>
      </c>
      <c r="W120" s="2" t="str">
        <f aca="false">IF($B120="","",COUNTIFS(Datos_items!$B:$B,$B120,Datos_items!$AA:$AA,W$4,Datos_items!$E:$E,Analisis_grupo!$C$4))</f>
        <v/>
      </c>
      <c r="X120" s="2" t="str">
        <f aca="false">IF($B120="","",COUNTIFS(Datos_items!$B:$B,$B120,Datos_items!$AA:$AA,X$4,Datos_items!$E:$E,Analisis_grupo!$C$4))</f>
        <v/>
      </c>
      <c r="Y120" s="2" t="str">
        <f aca="false">IF($B120="","",COUNTIFS(Datos_items!$B:$B,$B120,Datos_items!$AA:$AA,Y$4,Datos_items!$E:$E,Analisis_grupo!$C$4))</f>
        <v/>
      </c>
      <c r="Z120" s="2" t="str">
        <f aca="false">IF($B120="","",COUNTIFS(Datos_items!$B:$B,$B120,Datos_items!$AA:$AA,Z$4,Datos_items!$E:$E,Analisis_grupo!$C$4))</f>
        <v/>
      </c>
      <c r="AA120" s="2" t="str">
        <f aca="false">IF($B120="","",COUNTIFS(Datos_items!$B:$B,$B120,Datos_items!$AA:$AA,AA$4,Datos_items!$E:$E,Analisis_grupo!$C$4))</f>
        <v/>
      </c>
      <c r="AB120" s="2" t="str">
        <f aca="false">IF($B120="","",COUNTIFS(Datos_items!$B:$B,$B120,Datos_items!$AA:$AA,AB$4,Datos_items!$E:$E,Analisis_grupo!$C$4))</f>
        <v/>
      </c>
      <c r="AC120" s="2" t="str">
        <f aca="false">IF($B120="","",COUNTIFS(Datos_items!$B:$B,$B120,Datos_items!$AA:$AA,AC$4,Datos_items!$E:$E,Analisis_grupo!$C$4))</f>
        <v/>
      </c>
      <c r="AD120" s="2" t="str">
        <f aca="false">IF($B120="","",COUNTIFS(Datos_items!$B:$B,$B120,Datos_items!$AA:$AA,AD$4,Datos_items!$E:$E,Analisis_grupo!$C$4))</f>
        <v/>
      </c>
      <c r="AE120" s="2" t="str">
        <f aca="false">IF($B120="","",COUNTIFS(Datos_items!$B:$B,$B120,Datos_items!$AA:$AA,AE$4,Datos_items!$E:$E,Analisis_grupo!$C$4))</f>
        <v/>
      </c>
      <c r="AF120" s="2" t="str">
        <f aca="false">IF($B120="","",COUNTIFS(Datos_items!$B:$B,$B120,Datos_items!$AA:$AA,AF$4,Datos_items!$E:$E,Analisis_grupo!$C$4))</f>
        <v/>
      </c>
      <c r="AG120" s="2" t="str">
        <f aca="false">IF($B120="","",COUNTIFS(Datos_items!$B:$B,$B120,Datos_items!$AA:$AA,AG$4,Datos_items!$E:$E,Analisis_grupo!$C$4))</f>
        <v/>
      </c>
      <c r="AH120" s="2" t="str">
        <f aca="false">IF($B120="","",COUNTIFS(Datos_items!$B:$B,$B120,Datos_items!$AA:$AA,AH$4,Datos_items!$E:$E,Analisis_grupo!$C$4))</f>
        <v/>
      </c>
      <c r="AI120" s="2" t="str">
        <f aca="false">IF($B120="","",COUNTIFS(Datos_items!$B:$B,$B120,Datos_items!$AA:$AA,AI$4,Datos_items!$E:$E,Analisis_grupo!$C$4))</f>
        <v/>
      </c>
      <c r="AJ120" s="2" t="str">
        <f aca="false">IF($B120="","",COUNTIFS(Datos_items!$B:$B,$B120,Datos_items!$AA:$AA,AJ$4,Datos_items!$E:$E,Analisis_grupo!$C$4))</f>
        <v/>
      </c>
      <c r="AK120" s="2" t="str">
        <f aca="false">IF($B120="","",COUNTIFS(Datos_items!$B:$B,$B120,Datos_items!$AA:$AA,AK$4,Datos_items!$E:$E,Analisis_grupo!$C$4))</f>
        <v/>
      </c>
      <c r="AL120" s="2" t="str">
        <f aca="false">IF($B120="","",COUNTIFS(Datos_items!$B:$B,$B120,Datos_items!$AA:$AA,AL$4,Datos_items!$E:$E,Analisis_grupo!$C$4))</f>
        <v/>
      </c>
      <c r="AM120" s="2" t="str">
        <f aca="false">IF($B120="","",IF(MAX(Y120:AL120)=0,"",INDEX($Y$4:$AL$4,MATCH(MAX(Y120:AL120),Y120:AL120,0))))</f>
        <v/>
      </c>
      <c r="AN120" s="2" t="str">
        <f aca="false">IF($B120="","",COUNTIFS(Datos_problemas!$B:$B,$B120,Datos_problemas!$F:$F,"Práctica"))</f>
        <v/>
      </c>
      <c r="AO120" s="2" t="str">
        <f aca="false">IF($B120="","",SUMIFS(Datos_problemas!$AQ:$AQ,Datos_problemas!$B:$B,$B120,Datos_problemas!$F:$F,"Práctica"))</f>
        <v/>
      </c>
      <c r="AP120" s="2" t="str">
        <f aca="false">IF($B120="","",COUNTIFS(Datos_problemas!$B:$B,$B120,Datos_problemas!$F:$F,"Práctica",Datos_problemas!$AS:$AS,"Sí"))</f>
        <v/>
      </c>
    </row>
    <row r="121" customFormat="false" ht="15" hidden="false" customHeight="false" outlineLevel="0" collapsed="false">
      <c r="A121" s="2" t="n">
        <v>117</v>
      </c>
      <c r="B121" s="2" t="str">
        <f aca="false">IFERROR(INDEX(Datos_problemas!$B:$B,MATCH($A121,Datos_problemas!$AV:$AV,0)),"")</f>
        <v/>
      </c>
      <c r="C121" s="2" t="str">
        <f aca="false">IF($B121="","",INDEX(Datos_problemas!$C:$C,MATCH($A121,Datos_problemas!$AV:$AV,0)))</f>
        <v/>
      </c>
      <c r="D121" s="2" t="str">
        <f aca="false">IF($B121="","",INDEX(Datos_problemas!$D:$D,MATCH($A121,Datos_problemas!$AV:$AV,0)))</f>
        <v/>
      </c>
      <c r="E121" s="2" t="str">
        <f aca="false">IF($B121="","",COUNTIFS(Datos_problemas!$B:$B,$B121,Datos_problemas!$F:$F,"Evaluación"))</f>
        <v/>
      </c>
      <c r="F121" s="20" t="str">
        <f aca="false">IF($B121="","",IFERROR(AVERAGEIFS(Datos_problemas!$AE:$AE,Datos_problemas!$B:$B,$B121,Datos_problemas!$F:$F,"Evaluación"),""))</f>
        <v/>
      </c>
      <c r="G121" s="20" t="str">
        <f aca="false">IF($B121="","",IFERROR(AVERAGEIFS(Datos_problemas!$AE:$AE,Datos_problemas!$B:$B,$B121,Datos_problemas!$F:$F,"Evaluación",Datos_problemas!$E:$E,"Diagnóstico"),""))</f>
        <v/>
      </c>
      <c r="H121" s="20" t="str">
        <f aca="false">IF($B121="","",IFERROR(AVERAGEIFS(Datos_problemas!$AE:$AE,Datos_problemas!$B:$B,$B121,Datos_problemas!$F:$F,"Evaluación",Datos_problemas!$E:$E,"Final"),""))</f>
        <v/>
      </c>
      <c r="I121" s="21" t="str">
        <f aca="false">IF(OR(G121="",H121=""),"",IF(G121&gt;=10,"",(H121-G121)/(10-G121)))</f>
        <v/>
      </c>
      <c r="J121" s="18" t="str">
        <f aca="false">IF($B121="","",IFERROR(SUMIFS(Datos_items!$Z:$Z,Datos_items!$B:$B,$B121,Datos_items!$O:$O,J$4,Datos_items!$E:$E,Analisis_grupo!$C$4)/COUNTIFS(Datos_items!$B:$B,$B121,Datos_items!$O:$O,J$4,Datos_items!$E:$E,Analisis_grupo!$C$4),""))</f>
        <v/>
      </c>
      <c r="K121" s="18" t="str">
        <f aca="false">IF($B121="","",IFERROR(SUMIFS(Datos_items!$Z:$Z,Datos_items!$B:$B,$B121,Datos_items!$O:$O,K$4,Datos_items!$E:$E,Analisis_grupo!$C$4)/COUNTIFS(Datos_items!$B:$B,$B121,Datos_items!$O:$O,K$4,Datos_items!$E:$E,Analisis_grupo!$C$4),""))</f>
        <v/>
      </c>
      <c r="L121" s="18" t="str">
        <f aca="false">IF($B121="","",IFERROR(SUMIFS(Datos_items!$Z:$Z,Datos_items!$B:$B,$B121,Datos_items!$O:$O,L$4,Datos_items!$E:$E,Analisis_grupo!$C$4)/COUNTIFS(Datos_items!$B:$B,$B121,Datos_items!$O:$O,L$4,Datos_items!$E:$E,Analisis_grupo!$C$4),""))</f>
        <v/>
      </c>
      <c r="M121" s="18" t="str">
        <f aca="false">IF($B121="","",IFERROR(SUMIFS(Datos_items!$Z:$Z,Datos_items!$B:$B,$B121,Datos_items!$O:$O,M$4,Datos_items!$E:$E,Analisis_grupo!$C$4)/COUNTIFS(Datos_items!$B:$B,$B121,Datos_items!$O:$O,M$4,Datos_items!$E:$E,Analisis_grupo!$C$4),""))</f>
        <v/>
      </c>
      <c r="N121" s="18" t="str">
        <f aca="false">IF($B121="","",IFERROR(SUMIFS(Datos_items!$Z:$Z,Datos_items!$B:$B,$B121,Datos_items!$O:$O,N$4,Datos_items!$E:$E,Analisis_grupo!$C$4)/COUNTIFS(Datos_items!$B:$B,$B121,Datos_items!$O:$O,N$4,Datos_items!$E:$E,Analisis_grupo!$C$4),""))</f>
        <v/>
      </c>
      <c r="O121" s="18" t="str">
        <f aca="false">IF($B121="","",IFERROR(SUMIFS(Datos_items!$Z:$Z,Datos_items!$B:$B,$B121,Datos_items!$O:$O,O$4,Datos_items!$E:$E,Analisis_grupo!$C$4)/COUNTIFS(Datos_items!$B:$B,$B121,Datos_items!$O:$O,O$4,Datos_items!$E:$E,Analisis_grupo!$C$4),""))</f>
        <v/>
      </c>
      <c r="P121" s="18" t="str">
        <f aca="false">IF($B121="","",IFERROR(SUMIFS(Datos_items!$Z:$Z,Datos_items!$B:$B,$B121,Datos_items!$O:$O,P$4,Datos_items!$E:$E,Analisis_grupo!$C$4)/COUNTIFS(Datos_items!$B:$B,$B121,Datos_items!$O:$O,P$4,Datos_items!$E:$E,Analisis_grupo!$C$4),""))</f>
        <v/>
      </c>
      <c r="Q121" s="18" t="str">
        <f aca="false">IF($B121="","",IFERROR(SUMIFS(Datos_items!$Z:$Z,Datos_items!$B:$B,$B121,Datos_items!$O:$O,Q$4,Datos_items!$E:$E,Analisis_grupo!$C$4)/COUNTIFS(Datos_items!$B:$B,$B121,Datos_items!$O:$O,Q$4,Datos_items!$E:$E,Analisis_grupo!$C$4),""))</f>
        <v/>
      </c>
      <c r="R121" s="2" t="str">
        <f aca="false">IF(COUNT(J121:Q121)=0,"",IF(MIN(J121:Q121)&gt;=Analisis_grupo!$B$7,"(ninguna)",INDEX($J$4:$Q$4,MATCH(MIN(J121:Q121),J121:Q121,0))))</f>
        <v/>
      </c>
      <c r="S121" s="2" t="str">
        <f aca="false">IF($B121="","",COUNTIF(J121:Q121,"&lt;"&amp;Analisis_grupo!$B$7))</f>
        <v/>
      </c>
      <c r="T121" s="2" t="str">
        <f aca="false">IF($B121="","",COUNTIFS(Datos_items!$B:$B,$B121,Datos_items!$AA:$AA,T$4,Datos_items!$E:$E,Analisis_grupo!$C$4))</f>
        <v/>
      </c>
      <c r="U121" s="2" t="str">
        <f aca="false">IF($B121="","",COUNTIFS(Datos_items!$B:$B,$B121,Datos_items!$AA:$AA,U$4,Datos_items!$E:$E,Analisis_grupo!$C$4))</f>
        <v/>
      </c>
      <c r="V121" s="2" t="str">
        <f aca="false">IF($B121="","",COUNTIFS(Datos_items!$B:$B,$B121,Datos_items!$AA:$AA,V$4,Datos_items!$E:$E,Analisis_grupo!$C$4))</f>
        <v/>
      </c>
      <c r="W121" s="2" t="str">
        <f aca="false">IF($B121="","",COUNTIFS(Datos_items!$B:$B,$B121,Datos_items!$AA:$AA,W$4,Datos_items!$E:$E,Analisis_grupo!$C$4))</f>
        <v/>
      </c>
      <c r="X121" s="2" t="str">
        <f aca="false">IF($B121="","",COUNTIFS(Datos_items!$B:$B,$B121,Datos_items!$AA:$AA,X$4,Datos_items!$E:$E,Analisis_grupo!$C$4))</f>
        <v/>
      </c>
      <c r="Y121" s="2" t="str">
        <f aca="false">IF($B121="","",COUNTIFS(Datos_items!$B:$B,$B121,Datos_items!$AA:$AA,Y$4,Datos_items!$E:$E,Analisis_grupo!$C$4))</f>
        <v/>
      </c>
      <c r="Z121" s="2" t="str">
        <f aca="false">IF($B121="","",COUNTIFS(Datos_items!$B:$B,$B121,Datos_items!$AA:$AA,Z$4,Datos_items!$E:$E,Analisis_grupo!$C$4))</f>
        <v/>
      </c>
      <c r="AA121" s="2" t="str">
        <f aca="false">IF($B121="","",COUNTIFS(Datos_items!$B:$B,$B121,Datos_items!$AA:$AA,AA$4,Datos_items!$E:$E,Analisis_grupo!$C$4))</f>
        <v/>
      </c>
      <c r="AB121" s="2" t="str">
        <f aca="false">IF($B121="","",COUNTIFS(Datos_items!$B:$B,$B121,Datos_items!$AA:$AA,AB$4,Datos_items!$E:$E,Analisis_grupo!$C$4))</f>
        <v/>
      </c>
      <c r="AC121" s="2" t="str">
        <f aca="false">IF($B121="","",COUNTIFS(Datos_items!$B:$B,$B121,Datos_items!$AA:$AA,AC$4,Datos_items!$E:$E,Analisis_grupo!$C$4))</f>
        <v/>
      </c>
      <c r="AD121" s="2" t="str">
        <f aca="false">IF($B121="","",COUNTIFS(Datos_items!$B:$B,$B121,Datos_items!$AA:$AA,AD$4,Datos_items!$E:$E,Analisis_grupo!$C$4))</f>
        <v/>
      </c>
      <c r="AE121" s="2" t="str">
        <f aca="false">IF($B121="","",COUNTIFS(Datos_items!$B:$B,$B121,Datos_items!$AA:$AA,AE$4,Datos_items!$E:$E,Analisis_grupo!$C$4))</f>
        <v/>
      </c>
      <c r="AF121" s="2" t="str">
        <f aca="false">IF($B121="","",COUNTIFS(Datos_items!$B:$B,$B121,Datos_items!$AA:$AA,AF$4,Datos_items!$E:$E,Analisis_grupo!$C$4))</f>
        <v/>
      </c>
      <c r="AG121" s="2" t="str">
        <f aca="false">IF($B121="","",COUNTIFS(Datos_items!$B:$B,$B121,Datos_items!$AA:$AA,AG$4,Datos_items!$E:$E,Analisis_grupo!$C$4))</f>
        <v/>
      </c>
      <c r="AH121" s="2" t="str">
        <f aca="false">IF($B121="","",COUNTIFS(Datos_items!$B:$B,$B121,Datos_items!$AA:$AA,AH$4,Datos_items!$E:$E,Analisis_grupo!$C$4))</f>
        <v/>
      </c>
      <c r="AI121" s="2" t="str">
        <f aca="false">IF($B121="","",COUNTIFS(Datos_items!$B:$B,$B121,Datos_items!$AA:$AA,AI$4,Datos_items!$E:$E,Analisis_grupo!$C$4))</f>
        <v/>
      </c>
      <c r="AJ121" s="2" t="str">
        <f aca="false">IF($B121="","",COUNTIFS(Datos_items!$B:$B,$B121,Datos_items!$AA:$AA,AJ$4,Datos_items!$E:$E,Analisis_grupo!$C$4))</f>
        <v/>
      </c>
      <c r="AK121" s="2" t="str">
        <f aca="false">IF($B121="","",COUNTIFS(Datos_items!$B:$B,$B121,Datos_items!$AA:$AA,AK$4,Datos_items!$E:$E,Analisis_grupo!$C$4))</f>
        <v/>
      </c>
      <c r="AL121" s="2" t="str">
        <f aca="false">IF($B121="","",COUNTIFS(Datos_items!$B:$B,$B121,Datos_items!$AA:$AA,AL$4,Datos_items!$E:$E,Analisis_grupo!$C$4))</f>
        <v/>
      </c>
      <c r="AM121" s="2" t="str">
        <f aca="false">IF($B121="","",IF(MAX(Y121:AL121)=0,"",INDEX($Y$4:$AL$4,MATCH(MAX(Y121:AL121),Y121:AL121,0))))</f>
        <v/>
      </c>
      <c r="AN121" s="2" t="str">
        <f aca="false">IF($B121="","",COUNTIFS(Datos_problemas!$B:$B,$B121,Datos_problemas!$F:$F,"Práctica"))</f>
        <v/>
      </c>
      <c r="AO121" s="2" t="str">
        <f aca="false">IF($B121="","",SUMIFS(Datos_problemas!$AQ:$AQ,Datos_problemas!$B:$B,$B121,Datos_problemas!$F:$F,"Práctica"))</f>
        <v/>
      </c>
      <c r="AP121" s="2" t="str">
        <f aca="false">IF($B121="","",COUNTIFS(Datos_problemas!$B:$B,$B121,Datos_problemas!$F:$F,"Práctica",Datos_problemas!$AS:$AS,"Sí"))</f>
        <v/>
      </c>
    </row>
    <row r="122" customFormat="false" ht="15" hidden="false" customHeight="false" outlineLevel="0" collapsed="false">
      <c r="A122" s="2" t="n">
        <v>118</v>
      </c>
      <c r="B122" s="2" t="str">
        <f aca="false">IFERROR(INDEX(Datos_problemas!$B:$B,MATCH($A122,Datos_problemas!$AV:$AV,0)),"")</f>
        <v/>
      </c>
      <c r="C122" s="2" t="str">
        <f aca="false">IF($B122="","",INDEX(Datos_problemas!$C:$C,MATCH($A122,Datos_problemas!$AV:$AV,0)))</f>
        <v/>
      </c>
      <c r="D122" s="2" t="str">
        <f aca="false">IF($B122="","",INDEX(Datos_problemas!$D:$D,MATCH($A122,Datos_problemas!$AV:$AV,0)))</f>
        <v/>
      </c>
      <c r="E122" s="2" t="str">
        <f aca="false">IF($B122="","",COUNTIFS(Datos_problemas!$B:$B,$B122,Datos_problemas!$F:$F,"Evaluación"))</f>
        <v/>
      </c>
      <c r="F122" s="20" t="str">
        <f aca="false">IF($B122="","",IFERROR(AVERAGEIFS(Datos_problemas!$AE:$AE,Datos_problemas!$B:$B,$B122,Datos_problemas!$F:$F,"Evaluación"),""))</f>
        <v/>
      </c>
      <c r="G122" s="20" t="str">
        <f aca="false">IF($B122="","",IFERROR(AVERAGEIFS(Datos_problemas!$AE:$AE,Datos_problemas!$B:$B,$B122,Datos_problemas!$F:$F,"Evaluación",Datos_problemas!$E:$E,"Diagnóstico"),""))</f>
        <v/>
      </c>
      <c r="H122" s="20" t="str">
        <f aca="false">IF($B122="","",IFERROR(AVERAGEIFS(Datos_problemas!$AE:$AE,Datos_problemas!$B:$B,$B122,Datos_problemas!$F:$F,"Evaluación",Datos_problemas!$E:$E,"Final"),""))</f>
        <v/>
      </c>
      <c r="I122" s="21" t="str">
        <f aca="false">IF(OR(G122="",H122=""),"",IF(G122&gt;=10,"",(H122-G122)/(10-G122)))</f>
        <v/>
      </c>
      <c r="J122" s="18" t="str">
        <f aca="false">IF($B122="","",IFERROR(SUMIFS(Datos_items!$Z:$Z,Datos_items!$B:$B,$B122,Datos_items!$O:$O,J$4,Datos_items!$E:$E,Analisis_grupo!$C$4)/COUNTIFS(Datos_items!$B:$B,$B122,Datos_items!$O:$O,J$4,Datos_items!$E:$E,Analisis_grupo!$C$4),""))</f>
        <v/>
      </c>
      <c r="K122" s="18" t="str">
        <f aca="false">IF($B122="","",IFERROR(SUMIFS(Datos_items!$Z:$Z,Datos_items!$B:$B,$B122,Datos_items!$O:$O,K$4,Datos_items!$E:$E,Analisis_grupo!$C$4)/COUNTIFS(Datos_items!$B:$B,$B122,Datos_items!$O:$O,K$4,Datos_items!$E:$E,Analisis_grupo!$C$4),""))</f>
        <v/>
      </c>
      <c r="L122" s="18" t="str">
        <f aca="false">IF($B122="","",IFERROR(SUMIFS(Datos_items!$Z:$Z,Datos_items!$B:$B,$B122,Datos_items!$O:$O,L$4,Datos_items!$E:$E,Analisis_grupo!$C$4)/COUNTIFS(Datos_items!$B:$B,$B122,Datos_items!$O:$O,L$4,Datos_items!$E:$E,Analisis_grupo!$C$4),""))</f>
        <v/>
      </c>
      <c r="M122" s="18" t="str">
        <f aca="false">IF($B122="","",IFERROR(SUMIFS(Datos_items!$Z:$Z,Datos_items!$B:$B,$B122,Datos_items!$O:$O,M$4,Datos_items!$E:$E,Analisis_grupo!$C$4)/COUNTIFS(Datos_items!$B:$B,$B122,Datos_items!$O:$O,M$4,Datos_items!$E:$E,Analisis_grupo!$C$4),""))</f>
        <v/>
      </c>
      <c r="N122" s="18" t="str">
        <f aca="false">IF($B122="","",IFERROR(SUMIFS(Datos_items!$Z:$Z,Datos_items!$B:$B,$B122,Datos_items!$O:$O,N$4,Datos_items!$E:$E,Analisis_grupo!$C$4)/COUNTIFS(Datos_items!$B:$B,$B122,Datos_items!$O:$O,N$4,Datos_items!$E:$E,Analisis_grupo!$C$4),""))</f>
        <v/>
      </c>
      <c r="O122" s="18" t="str">
        <f aca="false">IF($B122="","",IFERROR(SUMIFS(Datos_items!$Z:$Z,Datos_items!$B:$B,$B122,Datos_items!$O:$O,O$4,Datos_items!$E:$E,Analisis_grupo!$C$4)/COUNTIFS(Datos_items!$B:$B,$B122,Datos_items!$O:$O,O$4,Datos_items!$E:$E,Analisis_grupo!$C$4),""))</f>
        <v/>
      </c>
      <c r="P122" s="18" t="str">
        <f aca="false">IF($B122="","",IFERROR(SUMIFS(Datos_items!$Z:$Z,Datos_items!$B:$B,$B122,Datos_items!$O:$O,P$4,Datos_items!$E:$E,Analisis_grupo!$C$4)/COUNTIFS(Datos_items!$B:$B,$B122,Datos_items!$O:$O,P$4,Datos_items!$E:$E,Analisis_grupo!$C$4),""))</f>
        <v/>
      </c>
      <c r="Q122" s="18" t="str">
        <f aca="false">IF($B122="","",IFERROR(SUMIFS(Datos_items!$Z:$Z,Datos_items!$B:$B,$B122,Datos_items!$O:$O,Q$4,Datos_items!$E:$E,Analisis_grupo!$C$4)/COUNTIFS(Datos_items!$B:$B,$B122,Datos_items!$O:$O,Q$4,Datos_items!$E:$E,Analisis_grupo!$C$4),""))</f>
        <v/>
      </c>
      <c r="R122" s="2" t="str">
        <f aca="false">IF(COUNT(J122:Q122)=0,"",IF(MIN(J122:Q122)&gt;=Analisis_grupo!$B$7,"(ninguna)",INDEX($J$4:$Q$4,MATCH(MIN(J122:Q122),J122:Q122,0))))</f>
        <v/>
      </c>
      <c r="S122" s="2" t="str">
        <f aca="false">IF($B122="","",COUNTIF(J122:Q122,"&lt;"&amp;Analisis_grupo!$B$7))</f>
        <v/>
      </c>
      <c r="T122" s="2" t="str">
        <f aca="false">IF($B122="","",COUNTIFS(Datos_items!$B:$B,$B122,Datos_items!$AA:$AA,T$4,Datos_items!$E:$E,Analisis_grupo!$C$4))</f>
        <v/>
      </c>
      <c r="U122" s="2" t="str">
        <f aca="false">IF($B122="","",COUNTIFS(Datos_items!$B:$B,$B122,Datos_items!$AA:$AA,U$4,Datos_items!$E:$E,Analisis_grupo!$C$4))</f>
        <v/>
      </c>
      <c r="V122" s="2" t="str">
        <f aca="false">IF($B122="","",COUNTIFS(Datos_items!$B:$B,$B122,Datos_items!$AA:$AA,V$4,Datos_items!$E:$E,Analisis_grupo!$C$4))</f>
        <v/>
      </c>
      <c r="W122" s="2" t="str">
        <f aca="false">IF($B122="","",COUNTIFS(Datos_items!$B:$B,$B122,Datos_items!$AA:$AA,W$4,Datos_items!$E:$E,Analisis_grupo!$C$4))</f>
        <v/>
      </c>
      <c r="X122" s="2" t="str">
        <f aca="false">IF($B122="","",COUNTIFS(Datos_items!$B:$B,$B122,Datos_items!$AA:$AA,X$4,Datos_items!$E:$E,Analisis_grupo!$C$4))</f>
        <v/>
      </c>
      <c r="Y122" s="2" t="str">
        <f aca="false">IF($B122="","",COUNTIFS(Datos_items!$B:$B,$B122,Datos_items!$AA:$AA,Y$4,Datos_items!$E:$E,Analisis_grupo!$C$4))</f>
        <v/>
      </c>
      <c r="Z122" s="2" t="str">
        <f aca="false">IF($B122="","",COUNTIFS(Datos_items!$B:$B,$B122,Datos_items!$AA:$AA,Z$4,Datos_items!$E:$E,Analisis_grupo!$C$4))</f>
        <v/>
      </c>
      <c r="AA122" s="2" t="str">
        <f aca="false">IF($B122="","",COUNTIFS(Datos_items!$B:$B,$B122,Datos_items!$AA:$AA,AA$4,Datos_items!$E:$E,Analisis_grupo!$C$4))</f>
        <v/>
      </c>
      <c r="AB122" s="2" t="str">
        <f aca="false">IF($B122="","",COUNTIFS(Datos_items!$B:$B,$B122,Datos_items!$AA:$AA,AB$4,Datos_items!$E:$E,Analisis_grupo!$C$4))</f>
        <v/>
      </c>
      <c r="AC122" s="2" t="str">
        <f aca="false">IF($B122="","",COUNTIFS(Datos_items!$B:$B,$B122,Datos_items!$AA:$AA,AC$4,Datos_items!$E:$E,Analisis_grupo!$C$4))</f>
        <v/>
      </c>
      <c r="AD122" s="2" t="str">
        <f aca="false">IF($B122="","",COUNTIFS(Datos_items!$B:$B,$B122,Datos_items!$AA:$AA,AD$4,Datos_items!$E:$E,Analisis_grupo!$C$4))</f>
        <v/>
      </c>
      <c r="AE122" s="2" t="str">
        <f aca="false">IF($B122="","",COUNTIFS(Datos_items!$B:$B,$B122,Datos_items!$AA:$AA,AE$4,Datos_items!$E:$E,Analisis_grupo!$C$4))</f>
        <v/>
      </c>
      <c r="AF122" s="2" t="str">
        <f aca="false">IF($B122="","",COUNTIFS(Datos_items!$B:$B,$B122,Datos_items!$AA:$AA,AF$4,Datos_items!$E:$E,Analisis_grupo!$C$4))</f>
        <v/>
      </c>
      <c r="AG122" s="2" t="str">
        <f aca="false">IF($B122="","",COUNTIFS(Datos_items!$B:$B,$B122,Datos_items!$AA:$AA,AG$4,Datos_items!$E:$E,Analisis_grupo!$C$4))</f>
        <v/>
      </c>
      <c r="AH122" s="2" t="str">
        <f aca="false">IF($B122="","",COUNTIFS(Datos_items!$B:$B,$B122,Datos_items!$AA:$AA,AH$4,Datos_items!$E:$E,Analisis_grupo!$C$4))</f>
        <v/>
      </c>
      <c r="AI122" s="2" t="str">
        <f aca="false">IF($B122="","",COUNTIFS(Datos_items!$B:$B,$B122,Datos_items!$AA:$AA,AI$4,Datos_items!$E:$E,Analisis_grupo!$C$4))</f>
        <v/>
      </c>
      <c r="AJ122" s="2" t="str">
        <f aca="false">IF($B122="","",COUNTIFS(Datos_items!$B:$B,$B122,Datos_items!$AA:$AA,AJ$4,Datos_items!$E:$E,Analisis_grupo!$C$4))</f>
        <v/>
      </c>
      <c r="AK122" s="2" t="str">
        <f aca="false">IF($B122="","",COUNTIFS(Datos_items!$B:$B,$B122,Datos_items!$AA:$AA,AK$4,Datos_items!$E:$E,Analisis_grupo!$C$4))</f>
        <v/>
      </c>
      <c r="AL122" s="2" t="str">
        <f aca="false">IF($B122="","",COUNTIFS(Datos_items!$B:$B,$B122,Datos_items!$AA:$AA,AL$4,Datos_items!$E:$E,Analisis_grupo!$C$4))</f>
        <v/>
      </c>
      <c r="AM122" s="2" t="str">
        <f aca="false">IF($B122="","",IF(MAX(Y122:AL122)=0,"",INDEX($Y$4:$AL$4,MATCH(MAX(Y122:AL122),Y122:AL122,0))))</f>
        <v/>
      </c>
      <c r="AN122" s="2" t="str">
        <f aca="false">IF($B122="","",COUNTIFS(Datos_problemas!$B:$B,$B122,Datos_problemas!$F:$F,"Práctica"))</f>
        <v/>
      </c>
      <c r="AO122" s="2" t="str">
        <f aca="false">IF($B122="","",SUMIFS(Datos_problemas!$AQ:$AQ,Datos_problemas!$B:$B,$B122,Datos_problemas!$F:$F,"Práctica"))</f>
        <v/>
      </c>
      <c r="AP122" s="2" t="str">
        <f aca="false">IF($B122="","",COUNTIFS(Datos_problemas!$B:$B,$B122,Datos_problemas!$F:$F,"Práctica",Datos_problemas!$AS:$AS,"Sí"))</f>
        <v/>
      </c>
    </row>
    <row r="123" customFormat="false" ht="15" hidden="false" customHeight="false" outlineLevel="0" collapsed="false">
      <c r="A123" s="2" t="n">
        <v>119</v>
      </c>
      <c r="B123" s="2" t="str">
        <f aca="false">IFERROR(INDEX(Datos_problemas!$B:$B,MATCH($A123,Datos_problemas!$AV:$AV,0)),"")</f>
        <v/>
      </c>
      <c r="C123" s="2" t="str">
        <f aca="false">IF($B123="","",INDEX(Datos_problemas!$C:$C,MATCH($A123,Datos_problemas!$AV:$AV,0)))</f>
        <v/>
      </c>
      <c r="D123" s="2" t="str">
        <f aca="false">IF($B123="","",INDEX(Datos_problemas!$D:$D,MATCH($A123,Datos_problemas!$AV:$AV,0)))</f>
        <v/>
      </c>
      <c r="E123" s="2" t="str">
        <f aca="false">IF($B123="","",COUNTIFS(Datos_problemas!$B:$B,$B123,Datos_problemas!$F:$F,"Evaluación"))</f>
        <v/>
      </c>
      <c r="F123" s="20" t="str">
        <f aca="false">IF($B123="","",IFERROR(AVERAGEIFS(Datos_problemas!$AE:$AE,Datos_problemas!$B:$B,$B123,Datos_problemas!$F:$F,"Evaluación"),""))</f>
        <v/>
      </c>
      <c r="G123" s="20" t="str">
        <f aca="false">IF($B123="","",IFERROR(AVERAGEIFS(Datos_problemas!$AE:$AE,Datos_problemas!$B:$B,$B123,Datos_problemas!$F:$F,"Evaluación",Datos_problemas!$E:$E,"Diagnóstico"),""))</f>
        <v/>
      </c>
      <c r="H123" s="20" t="str">
        <f aca="false">IF($B123="","",IFERROR(AVERAGEIFS(Datos_problemas!$AE:$AE,Datos_problemas!$B:$B,$B123,Datos_problemas!$F:$F,"Evaluación",Datos_problemas!$E:$E,"Final"),""))</f>
        <v/>
      </c>
      <c r="I123" s="21" t="str">
        <f aca="false">IF(OR(G123="",H123=""),"",IF(G123&gt;=10,"",(H123-G123)/(10-G123)))</f>
        <v/>
      </c>
      <c r="J123" s="18" t="str">
        <f aca="false">IF($B123="","",IFERROR(SUMIFS(Datos_items!$Z:$Z,Datos_items!$B:$B,$B123,Datos_items!$O:$O,J$4,Datos_items!$E:$E,Analisis_grupo!$C$4)/COUNTIFS(Datos_items!$B:$B,$B123,Datos_items!$O:$O,J$4,Datos_items!$E:$E,Analisis_grupo!$C$4),""))</f>
        <v/>
      </c>
      <c r="K123" s="18" t="str">
        <f aca="false">IF($B123="","",IFERROR(SUMIFS(Datos_items!$Z:$Z,Datos_items!$B:$B,$B123,Datos_items!$O:$O,K$4,Datos_items!$E:$E,Analisis_grupo!$C$4)/COUNTIFS(Datos_items!$B:$B,$B123,Datos_items!$O:$O,K$4,Datos_items!$E:$E,Analisis_grupo!$C$4),""))</f>
        <v/>
      </c>
      <c r="L123" s="18" t="str">
        <f aca="false">IF($B123="","",IFERROR(SUMIFS(Datos_items!$Z:$Z,Datos_items!$B:$B,$B123,Datos_items!$O:$O,L$4,Datos_items!$E:$E,Analisis_grupo!$C$4)/COUNTIFS(Datos_items!$B:$B,$B123,Datos_items!$O:$O,L$4,Datos_items!$E:$E,Analisis_grupo!$C$4),""))</f>
        <v/>
      </c>
      <c r="M123" s="18" t="str">
        <f aca="false">IF($B123="","",IFERROR(SUMIFS(Datos_items!$Z:$Z,Datos_items!$B:$B,$B123,Datos_items!$O:$O,M$4,Datos_items!$E:$E,Analisis_grupo!$C$4)/COUNTIFS(Datos_items!$B:$B,$B123,Datos_items!$O:$O,M$4,Datos_items!$E:$E,Analisis_grupo!$C$4),""))</f>
        <v/>
      </c>
      <c r="N123" s="18" t="str">
        <f aca="false">IF($B123="","",IFERROR(SUMIFS(Datos_items!$Z:$Z,Datos_items!$B:$B,$B123,Datos_items!$O:$O,N$4,Datos_items!$E:$E,Analisis_grupo!$C$4)/COUNTIFS(Datos_items!$B:$B,$B123,Datos_items!$O:$O,N$4,Datos_items!$E:$E,Analisis_grupo!$C$4),""))</f>
        <v/>
      </c>
      <c r="O123" s="18" t="str">
        <f aca="false">IF($B123="","",IFERROR(SUMIFS(Datos_items!$Z:$Z,Datos_items!$B:$B,$B123,Datos_items!$O:$O,O$4,Datos_items!$E:$E,Analisis_grupo!$C$4)/COUNTIFS(Datos_items!$B:$B,$B123,Datos_items!$O:$O,O$4,Datos_items!$E:$E,Analisis_grupo!$C$4),""))</f>
        <v/>
      </c>
      <c r="P123" s="18" t="str">
        <f aca="false">IF($B123="","",IFERROR(SUMIFS(Datos_items!$Z:$Z,Datos_items!$B:$B,$B123,Datos_items!$O:$O,P$4,Datos_items!$E:$E,Analisis_grupo!$C$4)/COUNTIFS(Datos_items!$B:$B,$B123,Datos_items!$O:$O,P$4,Datos_items!$E:$E,Analisis_grupo!$C$4),""))</f>
        <v/>
      </c>
      <c r="Q123" s="18" t="str">
        <f aca="false">IF($B123="","",IFERROR(SUMIFS(Datos_items!$Z:$Z,Datos_items!$B:$B,$B123,Datos_items!$O:$O,Q$4,Datos_items!$E:$E,Analisis_grupo!$C$4)/COUNTIFS(Datos_items!$B:$B,$B123,Datos_items!$O:$O,Q$4,Datos_items!$E:$E,Analisis_grupo!$C$4),""))</f>
        <v/>
      </c>
      <c r="R123" s="2" t="str">
        <f aca="false">IF(COUNT(J123:Q123)=0,"",IF(MIN(J123:Q123)&gt;=Analisis_grupo!$B$7,"(ninguna)",INDEX($J$4:$Q$4,MATCH(MIN(J123:Q123),J123:Q123,0))))</f>
        <v/>
      </c>
      <c r="S123" s="2" t="str">
        <f aca="false">IF($B123="","",COUNTIF(J123:Q123,"&lt;"&amp;Analisis_grupo!$B$7))</f>
        <v/>
      </c>
      <c r="T123" s="2" t="str">
        <f aca="false">IF($B123="","",COUNTIFS(Datos_items!$B:$B,$B123,Datos_items!$AA:$AA,T$4,Datos_items!$E:$E,Analisis_grupo!$C$4))</f>
        <v/>
      </c>
      <c r="U123" s="2" t="str">
        <f aca="false">IF($B123="","",COUNTIFS(Datos_items!$B:$B,$B123,Datos_items!$AA:$AA,U$4,Datos_items!$E:$E,Analisis_grupo!$C$4))</f>
        <v/>
      </c>
      <c r="V123" s="2" t="str">
        <f aca="false">IF($B123="","",COUNTIFS(Datos_items!$B:$B,$B123,Datos_items!$AA:$AA,V$4,Datos_items!$E:$E,Analisis_grupo!$C$4))</f>
        <v/>
      </c>
      <c r="W123" s="2" t="str">
        <f aca="false">IF($B123="","",COUNTIFS(Datos_items!$B:$B,$B123,Datos_items!$AA:$AA,W$4,Datos_items!$E:$E,Analisis_grupo!$C$4))</f>
        <v/>
      </c>
      <c r="X123" s="2" t="str">
        <f aca="false">IF($B123="","",COUNTIFS(Datos_items!$B:$B,$B123,Datos_items!$AA:$AA,X$4,Datos_items!$E:$E,Analisis_grupo!$C$4))</f>
        <v/>
      </c>
      <c r="Y123" s="2" t="str">
        <f aca="false">IF($B123="","",COUNTIFS(Datos_items!$B:$B,$B123,Datos_items!$AA:$AA,Y$4,Datos_items!$E:$E,Analisis_grupo!$C$4))</f>
        <v/>
      </c>
      <c r="Z123" s="2" t="str">
        <f aca="false">IF($B123="","",COUNTIFS(Datos_items!$B:$B,$B123,Datos_items!$AA:$AA,Z$4,Datos_items!$E:$E,Analisis_grupo!$C$4))</f>
        <v/>
      </c>
      <c r="AA123" s="2" t="str">
        <f aca="false">IF($B123="","",COUNTIFS(Datos_items!$B:$B,$B123,Datos_items!$AA:$AA,AA$4,Datos_items!$E:$E,Analisis_grupo!$C$4))</f>
        <v/>
      </c>
      <c r="AB123" s="2" t="str">
        <f aca="false">IF($B123="","",COUNTIFS(Datos_items!$B:$B,$B123,Datos_items!$AA:$AA,AB$4,Datos_items!$E:$E,Analisis_grupo!$C$4))</f>
        <v/>
      </c>
      <c r="AC123" s="2" t="str">
        <f aca="false">IF($B123="","",COUNTIFS(Datos_items!$B:$B,$B123,Datos_items!$AA:$AA,AC$4,Datos_items!$E:$E,Analisis_grupo!$C$4))</f>
        <v/>
      </c>
      <c r="AD123" s="2" t="str">
        <f aca="false">IF($B123="","",COUNTIFS(Datos_items!$B:$B,$B123,Datos_items!$AA:$AA,AD$4,Datos_items!$E:$E,Analisis_grupo!$C$4))</f>
        <v/>
      </c>
      <c r="AE123" s="2" t="str">
        <f aca="false">IF($B123="","",COUNTIFS(Datos_items!$B:$B,$B123,Datos_items!$AA:$AA,AE$4,Datos_items!$E:$E,Analisis_grupo!$C$4))</f>
        <v/>
      </c>
      <c r="AF123" s="2" t="str">
        <f aca="false">IF($B123="","",COUNTIFS(Datos_items!$B:$B,$B123,Datos_items!$AA:$AA,AF$4,Datos_items!$E:$E,Analisis_grupo!$C$4))</f>
        <v/>
      </c>
      <c r="AG123" s="2" t="str">
        <f aca="false">IF($B123="","",COUNTIFS(Datos_items!$B:$B,$B123,Datos_items!$AA:$AA,AG$4,Datos_items!$E:$E,Analisis_grupo!$C$4))</f>
        <v/>
      </c>
      <c r="AH123" s="2" t="str">
        <f aca="false">IF($B123="","",COUNTIFS(Datos_items!$B:$B,$B123,Datos_items!$AA:$AA,AH$4,Datos_items!$E:$E,Analisis_grupo!$C$4))</f>
        <v/>
      </c>
      <c r="AI123" s="2" t="str">
        <f aca="false">IF($B123="","",COUNTIFS(Datos_items!$B:$B,$B123,Datos_items!$AA:$AA,AI$4,Datos_items!$E:$E,Analisis_grupo!$C$4))</f>
        <v/>
      </c>
      <c r="AJ123" s="2" t="str">
        <f aca="false">IF($B123="","",COUNTIFS(Datos_items!$B:$B,$B123,Datos_items!$AA:$AA,AJ$4,Datos_items!$E:$E,Analisis_grupo!$C$4))</f>
        <v/>
      </c>
      <c r="AK123" s="2" t="str">
        <f aca="false">IF($B123="","",COUNTIFS(Datos_items!$B:$B,$B123,Datos_items!$AA:$AA,AK$4,Datos_items!$E:$E,Analisis_grupo!$C$4))</f>
        <v/>
      </c>
      <c r="AL123" s="2" t="str">
        <f aca="false">IF($B123="","",COUNTIFS(Datos_items!$B:$B,$B123,Datos_items!$AA:$AA,AL$4,Datos_items!$E:$E,Analisis_grupo!$C$4))</f>
        <v/>
      </c>
      <c r="AM123" s="2" t="str">
        <f aca="false">IF($B123="","",IF(MAX(Y123:AL123)=0,"",INDEX($Y$4:$AL$4,MATCH(MAX(Y123:AL123),Y123:AL123,0))))</f>
        <v/>
      </c>
      <c r="AN123" s="2" t="str">
        <f aca="false">IF($B123="","",COUNTIFS(Datos_problemas!$B:$B,$B123,Datos_problemas!$F:$F,"Práctica"))</f>
        <v/>
      </c>
      <c r="AO123" s="2" t="str">
        <f aca="false">IF($B123="","",SUMIFS(Datos_problemas!$AQ:$AQ,Datos_problemas!$B:$B,$B123,Datos_problemas!$F:$F,"Práctica"))</f>
        <v/>
      </c>
      <c r="AP123" s="2" t="str">
        <f aca="false">IF($B123="","",COUNTIFS(Datos_problemas!$B:$B,$B123,Datos_problemas!$F:$F,"Práctica",Datos_problemas!$AS:$AS,"Sí"))</f>
        <v/>
      </c>
    </row>
    <row r="124" customFormat="false" ht="15" hidden="false" customHeight="false" outlineLevel="0" collapsed="false">
      <c r="A124" s="2" t="n">
        <v>120</v>
      </c>
      <c r="B124" s="2" t="str">
        <f aca="false">IFERROR(INDEX(Datos_problemas!$B:$B,MATCH($A124,Datos_problemas!$AV:$AV,0)),"")</f>
        <v/>
      </c>
      <c r="C124" s="2" t="str">
        <f aca="false">IF($B124="","",INDEX(Datos_problemas!$C:$C,MATCH($A124,Datos_problemas!$AV:$AV,0)))</f>
        <v/>
      </c>
      <c r="D124" s="2" t="str">
        <f aca="false">IF($B124="","",INDEX(Datos_problemas!$D:$D,MATCH($A124,Datos_problemas!$AV:$AV,0)))</f>
        <v/>
      </c>
      <c r="E124" s="2" t="str">
        <f aca="false">IF($B124="","",COUNTIFS(Datos_problemas!$B:$B,$B124,Datos_problemas!$F:$F,"Evaluación"))</f>
        <v/>
      </c>
      <c r="F124" s="20" t="str">
        <f aca="false">IF($B124="","",IFERROR(AVERAGEIFS(Datos_problemas!$AE:$AE,Datos_problemas!$B:$B,$B124,Datos_problemas!$F:$F,"Evaluación"),""))</f>
        <v/>
      </c>
      <c r="G124" s="20" t="str">
        <f aca="false">IF($B124="","",IFERROR(AVERAGEIFS(Datos_problemas!$AE:$AE,Datos_problemas!$B:$B,$B124,Datos_problemas!$F:$F,"Evaluación",Datos_problemas!$E:$E,"Diagnóstico"),""))</f>
        <v/>
      </c>
      <c r="H124" s="20" t="str">
        <f aca="false">IF($B124="","",IFERROR(AVERAGEIFS(Datos_problemas!$AE:$AE,Datos_problemas!$B:$B,$B124,Datos_problemas!$F:$F,"Evaluación",Datos_problemas!$E:$E,"Final"),""))</f>
        <v/>
      </c>
      <c r="I124" s="21" t="str">
        <f aca="false">IF(OR(G124="",H124=""),"",IF(G124&gt;=10,"",(H124-G124)/(10-G124)))</f>
        <v/>
      </c>
      <c r="J124" s="18" t="str">
        <f aca="false">IF($B124="","",IFERROR(SUMIFS(Datos_items!$Z:$Z,Datos_items!$B:$B,$B124,Datos_items!$O:$O,J$4,Datos_items!$E:$E,Analisis_grupo!$C$4)/COUNTIFS(Datos_items!$B:$B,$B124,Datos_items!$O:$O,J$4,Datos_items!$E:$E,Analisis_grupo!$C$4),""))</f>
        <v/>
      </c>
      <c r="K124" s="18" t="str">
        <f aca="false">IF($B124="","",IFERROR(SUMIFS(Datos_items!$Z:$Z,Datos_items!$B:$B,$B124,Datos_items!$O:$O,K$4,Datos_items!$E:$E,Analisis_grupo!$C$4)/COUNTIFS(Datos_items!$B:$B,$B124,Datos_items!$O:$O,K$4,Datos_items!$E:$E,Analisis_grupo!$C$4),""))</f>
        <v/>
      </c>
      <c r="L124" s="18" t="str">
        <f aca="false">IF($B124="","",IFERROR(SUMIFS(Datos_items!$Z:$Z,Datos_items!$B:$B,$B124,Datos_items!$O:$O,L$4,Datos_items!$E:$E,Analisis_grupo!$C$4)/COUNTIFS(Datos_items!$B:$B,$B124,Datos_items!$O:$O,L$4,Datos_items!$E:$E,Analisis_grupo!$C$4),""))</f>
        <v/>
      </c>
      <c r="M124" s="18" t="str">
        <f aca="false">IF($B124="","",IFERROR(SUMIFS(Datos_items!$Z:$Z,Datos_items!$B:$B,$B124,Datos_items!$O:$O,M$4,Datos_items!$E:$E,Analisis_grupo!$C$4)/COUNTIFS(Datos_items!$B:$B,$B124,Datos_items!$O:$O,M$4,Datos_items!$E:$E,Analisis_grupo!$C$4),""))</f>
        <v/>
      </c>
      <c r="N124" s="18" t="str">
        <f aca="false">IF($B124="","",IFERROR(SUMIFS(Datos_items!$Z:$Z,Datos_items!$B:$B,$B124,Datos_items!$O:$O,N$4,Datos_items!$E:$E,Analisis_grupo!$C$4)/COUNTIFS(Datos_items!$B:$B,$B124,Datos_items!$O:$O,N$4,Datos_items!$E:$E,Analisis_grupo!$C$4),""))</f>
        <v/>
      </c>
      <c r="O124" s="18" t="str">
        <f aca="false">IF($B124="","",IFERROR(SUMIFS(Datos_items!$Z:$Z,Datos_items!$B:$B,$B124,Datos_items!$O:$O,O$4,Datos_items!$E:$E,Analisis_grupo!$C$4)/COUNTIFS(Datos_items!$B:$B,$B124,Datos_items!$O:$O,O$4,Datos_items!$E:$E,Analisis_grupo!$C$4),""))</f>
        <v/>
      </c>
      <c r="P124" s="18" t="str">
        <f aca="false">IF($B124="","",IFERROR(SUMIFS(Datos_items!$Z:$Z,Datos_items!$B:$B,$B124,Datos_items!$O:$O,P$4,Datos_items!$E:$E,Analisis_grupo!$C$4)/COUNTIFS(Datos_items!$B:$B,$B124,Datos_items!$O:$O,P$4,Datos_items!$E:$E,Analisis_grupo!$C$4),""))</f>
        <v/>
      </c>
      <c r="Q124" s="18" t="str">
        <f aca="false">IF($B124="","",IFERROR(SUMIFS(Datos_items!$Z:$Z,Datos_items!$B:$B,$B124,Datos_items!$O:$O,Q$4,Datos_items!$E:$E,Analisis_grupo!$C$4)/COUNTIFS(Datos_items!$B:$B,$B124,Datos_items!$O:$O,Q$4,Datos_items!$E:$E,Analisis_grupo!$C$4),""))</f>
        <v/>
      </c>
      <c r="R124" s="2" t="str">
        <f aca="false">IF(COUNT(J124:Q124)=0,"",IF(MIN(J124:Q124)&gt;=Analisis_grupo!$B$7,"(ninguna)",INDEX($J$4:$Q$4,MATCH(MIN(J124:Q124),J124:Q124,0))))</f>
        <v/>
      </c>
      <c r="S124" s="2" t="str">
        <f aca="false">IF($B124="","",COUNTIF(J124:Q124,"&lt;"&amp;Analisis_grupo!$B$7))</f>
        <v/>
      </c>
      <c r="T124" s="2" t="str">
        <f aca="false">IF($B124="","",COUNTIFS(Datos_items!$B:$B,$B124,Datos_items!$AA:$AA,T$4,Datos_items!$E:$E,Analisis_grupo!$C$4))</f>
        <v/>
      </c>
      <c r="U124" s="2" t="str">
        <f aca="false">IF($B124="","",COUNTIFS(Datos_items!$B:$B,$B124,Datos_items!$AA:$AA,U$4,Datos_items!$E:$E,Analisis_grupo!$C$4))</f>
        <v/>
      </c>
      <c r="V124" s="2" t="str">
        <f aca="false">IF($B124="","",COUNTIFS(Datos_items!$B:$B,$B124,Datos_items!$AA:$AA,V$4,Datos_items!$E:$E,Analisis_grupo!$C$4))</f>
        <v/>
      </c>
      <c r="W124" s="2" t="str">
        <f aca="false">IF($B124="","",COUNTIFS(Datos_items!$B:$B,$B124,Datos_items!$AA:$AA,W$4,Datos_items!$E:$E,Analisis_grupo!$C$4))</f>
        <v/>
      </c>
      <c r="X124" s="2" t="str">
        <f aca="false">IF($B124="","",COUNTIFS(Datos_items!$B:$B,$B124,Datos_items!$AA:$AA,X$4,Datos_items!$E:$E,Analisis_grupo!$C$4))</f>
        <v/>
      </c>
      <c r="Y124" s="2" t="str">
        <f aca="false">IF($B124="","",COUNTIFS(Datos_items!$B:$B,$B124,Datos_items!$AA:$AA,Y$4,Datos_items!$E:$E,Analisis_grupo!$C$4))</f>
        <v/>
      </c>
      <c r="Z124" s="2" t="str">
        <f aca="false">IF($B124="","",COUNTIFS(Datos_items!$B:$B,$B124,Datos_items!$AA:$AA,Z$4,Datos_items!$E:$E,Analisis_grupo!$C$4))</f>
        <v/>
      </c>
      <c r="AA124" s="2" t="str">
        <f aca="false">IF($B124="","",COUNTIFS(Datos_items!$B:$B,$B124,Datos_items!$AA:$AA,AA$4,Datos_items!$E:$E,Analisis_grupo!$C$4))</f>
        <v/>
      </c>
      <c r="AB124" s="2" t="str">
        <f aca="false">IF($B124="","",COUNTIFS(Datos_items!$B:$B,$B124,Datos_items!$AA:$AA,AB$4,Datos_items!$E:$E,Analisis_grupo!$C$4))</f>
        <v/>
      </c>
      <c r="AC124" s="2" t="str">
        <f aca="false">IF($B124="","",COUNTIFS(Datos_items!$B:$B,$B124,Datos_items!$AA:$AA,AC$4,Datos_items!$E:$E,Analisis_grupo!$C$4))</f>
        <v/>
      </c>
      <c r="AD124" s="2" t="str">
        <f aca="false">IF($B124="","",COUNTIFS(Datos_items!$B:$B,$B124,Datos_items!$AA:$AA,AD$4,Datos_items!$E:$E,Analisis_grupo!$C$4))</f>
        <v/>
      </c>
      <c r="AE124" s="2" t="str">
        <f aca="false">IF($B124="","",COUNTIFS(Datos_items!$B:$B,$B124,Datos_items!$AA:$AA,AE$4,Datos_items!$E:$E,Analisis_grupo!$C$4))</f>
        <v/>
      </c>
      <c r="AF124" s="2" t="str">
        <f aca="false">IF($B124="","",COUNTIFS(Datos_items!$B:$B,$B124,Datos_items!$AA:$AA,AF$4,Datos_items!$E:$E,Analisis_grupo!$C$4))</f>
        <v/>
      </c>
      <c r="AG124" s="2" t="str">
        <f aca="false">IF($B124="","",COUNTIFS(Datos_items!$B:$B,$B124,Datos_items!$AA:$AA,AG$4,Datos_items!$E:$E,Analisis_grupo!$C$4))</f>
        <v/>
      </c>
      <c r="AH124" s="2" t="str">
        <f aca="false">IF($B124="","",COUNTIFS(Datos_items!$B:$B,$B124,Datos_items!$AA:$AA,AH$4,Datos_items!$E:$E,Analisis_grupo!$C$4))</f>
        <v/>
      </c>
      <c r="AI124" s="2" t="str">
        <f aca="false">IF($B124="","",COUNTIFS(Datos_items!$B:$B,$B124,Datos_items!$AA:$AA,AI$4,Datos_items!$E:$E,Analisis_grupo!$C$4))</f>
        <v/>
      </c>
      <c r="AJ124" s="2" t="str">
        <f aca="false">IF($B124="","",COUNTIFS(Datos_items!$B:$B,$B124,Datos_items!$AA:$AA,AJ$4,Datos_items!$E:$E,Analisis_grupo!$C$4))</f>
        <v/>
      </c>
      <c r="AK124" s="2" t="str">
        <f aca="false">IF($B124="","",COUNTIFS(Datos_items!$B:$B,$B124,Datos_items!$AA:$AA,AK$4,Datos_items!$E:$E,Analisis_grupo!$C$4))</f>
        <v/>
      </c>
      <c r="AL124" s="2" t="str">
        <f aca="false">IF($B124="","",COUNTIFS(Datos_items!$B:$B,$B124,Datos_items!$AA:$AA,AL$4,Datos_items!$E:$E,Analisis_grupo!$C$4))</f>
        <v/>
      </c>
      <c r="AM124" s="2" t="str">
        <f aca="false">IF($B124="","",IF(MAX(Y124:AL124)=0,"",INDEX($Y$4:$AL$4,MATCH(MAX(Y124:AL124),Y124:AL124,0))))</f>
        <v/>
      </c>
      <c r="AN124" s="2" t="str">
        <f aca="false">IF($B124="","",COUNTIFS(Datos_problemas!$B:$B,$B124,Datos_problemas!$F:$F,"Práctica"))</f>
        <v/>
      </c>
      <c r="AO124" s="2" t="str">
        <f aca="false">IF($B124="","",SUMIFS(Datos_problemas!$AQ:$AQ,Datos_problemas!$B:$B,$B124,Datos_problemas!$F:$F,"Práctica"))</f>
        <v/>
      </c>
      <c r="AP124" s="2" t="str">
        <f aca="false">IF($B124="","",COUNTIFS(Datos_problemas!$B:$B,$B124,Datos_problemas!$F:$F,"Práctica",Datos_problemas!$AS:$AS,"Sí"))</f>
        <v/>
      </c>
    </row>
    <row r="125" customFormat="false" ht="15" hidden="false" customHeight="false" outlineLevel="0" collapsed="false">
      <c r="A125" s="2" t="n">
        <v>121</v>
      </c>
      <c r="B125" s="2" t="str">
        <f aca="false">IFERROR(INDEX(Datos_problemas!$B:$B,MATCH($A125,Datos_problemas!$AV:$AV,0)),"")</f>
        <v/>
      </c>
      <c r="C125" s="2" t="str">
        <f aca="false">IF($B125="","",INDEX(Datos_problemas!$C:$C,MATCH($A125,Datos_problemas!$AV:$AV,0)))</f>
        <v/>
      </c>
      <c r="D125" s="2" t="str">
        <f aca="false">IF($B125="","",INDEX(Datos_problemas!$D:$D,MATCH($A125,Datos_problemas!$AV:$AV,0)))</f>
        <v/>
      </c>
      <c r="E125" s="2" t="str">
        <f aca="false">IF($B125="","",COUNTIFS(Datos_problemas!$B:$B,$B125,Datos_problemas!$F:$F,"Evaluación"))</f>
        <v/>
      </c>
      <c r="F125" s="20" t="str">
        <f aca="false">IF($B125="","",IFERROR(AVERAGEIFS(Datos_problemas!$AE:$AE,Datos_problemas!$B:$B,$B125,Datos_problemas!$F:$F,"Evaluación"),""))</f>
        <v/>
      </c>
      <c r="G125" s="20" t="str">
        <f aca="false">IF($B125="","",IFERROR(AVERAGEIFS(Datos_problemas!$AE:$AE,Datos_problemas!$B:$B,$B125,Datos_problemas!$F:$F,"Evaluación",Datos_problemas!$E:$E,"Diagnóstico"),""))</f>
        <v/>
      </c>
      <c r="H125" s="20" t="str">
        <f aca="false">IF($B125="","",IFERROR(AVERAGEIFS(Datos_problemas!$AE:$AE,Datos_problemas!$B:$B,$B125,Datos_problemas!$F:$F,"Evaluación",Datos_problemas!$E:$E,"Final"),""))</f>
        <v/>
      </c>
      <c r="I125" s="21" t="str">
        <f aca="false">IF(OR(G125="",H125=""),"",IF(G125&gt;=10,"",(H125-G125)/(10-G125)))</f>
        <v/>
      </c>
      <c r="J125" s="18" t="str">
        <f aca="false">IF($B125="","",IFERROR(SUMIFS(Datos_items!$Z:$Z,Datos_items!$B:$B,$B125,Datos_items!$O:$O,J$4,Datos_items!$E:$E,Analisis_grupo!$C$4)/COUNTIFS(Datos_items!$B:$B,$B125,Datos_items!$O:$O,J$4,Datos_items!$E:$E,Analisis_grupo!$C$4),""))</f>
        <v/>
      </c>
      <c r="K125" s="18" t="str">
        <f aca="false">IF($B125="","",IFERROR(SUMIFS(Datos_items!$Z:$Z,Datos_items!$B:$B,$B125,Datos_items!$O:$O,K$4,Datos_items!$E:$E,Analisis_grupo!$C$4)/COUNTIFS(Datos_items!$B:$B,$B125,Datos_items!$O:$O,K$4,Datos_items!$E:$E,Analisis_grupo!$C$4),""))</f>
        <v/>
      </c>
      <c r="L125" s="18" t="str">
        <f aca="false">IF($B125="","",IFERROR(SUMIFS(Datos_items!$Z:$Z,Datos_items!$B:$B,$B125,Datos_items!$O:$O,L$4,Datos_items!$E:$E,Analisis_grupo!$C$4)/COUNTIFS(Datos_items!$B:$B,$B125,Datos_items!$O:$O,L$4,Datos_items!$E:$E,Analisis_grupo!$C$4),""))</f>
        <v/>
      </c>
      <c r="M125" s="18" t="str">
        <f aca="false">IF($B125="","",IFERROR(SUMIFS(Datos_items!$Z:$Z,Datos_items!$B:$B,$B125,Datos_items!$O:$O,M$4,Datos_items!$E:$E,Analisis_grupo!$C$4)/COUNTIFS(Datos_items!$B:$B,$B125,Datos_items!$O:$O,M$4,Datos_items!$E:$E,Analisis_grupo!$C$4),""))</f>
        <v/>
      </c>
      <c r="N125" s="18" t="str">
        <f aca="false">IF($B125="","",IFERROR(SUMIFS(Datos_items!$Z:$Z,Datos_items!$B:$B,$B125,Datos_items!$O:$O,N$4,Datos_items!$E:$E,Analisis_grupo!$C$4)/COUNTIFS(Datos_items!$B:$B,$B125,Datos_items!$O:$O,N$4,Datos_items!$E:$E,Analisis_grupo!$C$4),""))</f>
        <v/>
      </c>
      <c r="O125" s="18" t="str">
        <f aca="false">IF($B125="","",IFERROR(SUMIFS(Datos_items!$Z:$Z,Datos_items!$B:$B,$B125,Datos_items!$O:$O,O$4,Datos_items!$E:$E,Analisis_grupo!$C$4)/COUNTIFS(Datos_items!$B:$B,$B125,Datos_items!$O:$O,O$4,Datos_items!$E:$E,Analisis_grupo!$C$4),""))</f>
        <v/>
      </c>
      <c r="P125" s="18" t="str">
        <f aca="false">IF($B125="","",IFERROR(SUMIFS(Datos_items!$Z:$Z,Datos_items!$B:$B,$B125,Datos_items!$O:$O,P$4,Datos_items!$E:$E,Analisis_grupo!$C$4)/COUNTIFS(Datos_items!$B:$B,$B125,Datos_items!$O:$O,P$4,Datos_items!$E:$E,Analisis_grupo!$C$4),""))</f>
        <v/>
      </c>
      <c r="Q125" s="18" t="str">
        <f aca="false">IF($B125="","",IFERROR(SUMIFS(Datos_items!$Z:$Z,Datos_items!$B:$B,$B125,Datos_items!$O:$O,Q$4,Datos_items!$E:$E,Analisis_grupo!$C$4)/COUNTIFS(Datos_items!$B:$B,$B125,Datos_items!$O:$O,Q$4,Datos_items!$E:$E,Analisis_grupo!$C$4),""))</f>
        <v/>
      </c>
      <c r="R125" s="2" t="str">
        <f aca="false">IF(COUNT(J125:Q125)=0,"",IF(MIN(J125:Q125)&gt;=Analisis_grupo!$B$7,"(ninguna)",INDEX($J$4:$Q$4,MATCH(MIN(J125:Q125),J125:Q125,0))))</f>
        <v/>
      </c>
      <c r="S125" s="2" t="str">
        <f aca="false">IF($B125="","",COUNTIF(J125:Q125,"&lt;"&amp;Analisis_grupo!$B$7))</f>
        <v/>
      </c>
      <c r="T125" s="2" t="str">
        <f aca="false">IF($B125="","",COUNTIFS(Datos_items!$B:$B,$B125,Datos_items!$AA:$AA,T$4,Datos_items!$E:$E,Analisis_grupo!$C$4))</f>
        <v/>
      </c>
      <c r="U125" s="2" t="str">
        <f aca="false">IF($B125="","",COUNTIFS(Datos_items!$B:$B,$B125,Datos_items!$AA:$AA,U$4,Datos_items!$E:$E,Analisis_grupo!$C$4))</f>
        <v/>
      </c>
      <c r="V125" s="2" t="str">
        <f aca="false">IF($B125="","",COUNTIFS(Datos_items!$B:$B,$B125,Datos_items!$AA:$AA,V$4,Datos_items!$E:$E,Analisis_grupo!$C$4))</f>
        <v/>
      </c>
      <c r="W125" s="2" t="str">
        <f aca="false">IF($B125="","",COUNTIFS(Datos_items!$B:$B,$B125,Datos_items!$AA:$AA,W$4,Datos_items!$E:$E,Analisis_grupo!$C$4))</f>
        <v/>
      </c>
      <c r="X125" s="2" t="str">
        <f aca="false">IF($B125="","",COUNTIFS(Datos_items!$B:$B,$B125,Datos_items!$AA:$AA,X$4,Datos_items!$E:$E,Analisis_grupo!$C$4))</f>
        <v/>
      </c>
      <c r="Y125" s="2" t="str">
        <f aca="false">IF($B125="","",COUNTIFS(Datos_items!$B:$B,$B125,Datos_items!$AA:$AA,Y$4,Datos_items!$E:$E,Analisis_grupo!$C$4))</f>
        <v/>
      </c>
      <c r="Z125" s="2" t="str">
        <f aca="false">IF($B125="","",COUNTIFS(Datos_items!$B:$B,$B125,Datos_items!$AA:$AA,Z$4,Datos_items!$E:$E,Analisis_grupo!$C$4))</f>
        <v/>
      </c>
      <c r="AA125" s="2" t="str">
        <f aca="false">IF($B125="","",COUNTIFS(Datos_items!$B:$B,$B125,Datos_items!$AA:$AA,AA$4,Datos_items!$E:$E,Analisis_grupo!$C$4))</f>
        <v/>
      </c>
      <c r="AB125" s="2" t="str">
        <f aca="false">IF($B125="","",COUNTIFS(Datos_items!$B:$B,$B125,Datos_items!$AA:$AA,AB$4,Datos_items!$E:$E,Analisis_grupo!$C$4))</f>
        <v/>
      </c>
      <c r="AC125" s="2" t="str">
        <f aca="false">IF($B125="","",COUNTIFS(Datos_items!$B:$B,$B125,Datos_items!$AA:$AA,AC$4,Datos_items!$E:$E,Analisis_grupo!$C$4))</f>
        <v/>
      </c>
      <c r="AD125" s="2" t="str">
        <f aca="false">IF($B125="","",COUNTIFS(Datos_items!$B:$B,$B125,Datos_items!$AA:$AA,AD$4,Datos_items!$E:$E,Analisis_grupo!$C$4))</f>
        <v/>
      </c>
      <c r="AE125" s="2" t="str">
        <f aca="false">IF($B125="","",COUNTIFS(Datos_items!$B:$B,$B125,Datos_items!$AA:$AA,AE$4,Datos_items!$E:$E,Analisis_grupo!$C$4))</f>
        <v/>
      </c>
      <c r="AF125" s="2" t="str">
        <f aca="false">IF($B125="","",COUNTIFS(Datos_items!$B:$B,$B125,Datos_items!$AA:$AA,AF$4,Datos_items!$E:$E,Analisis_grupo!$C$4))</f>
        <v/>
      </c>
      <c r="AG125" s="2" t="str">
        <f aca="false">IF($B125="","",COUNTIFS(Datos_items!$B:$B,$B125,Datos_items!$AA:$AA,AG$4,Datos_items!$E:$E,Analisis_grupo!$C$4))</f>
        <v/>
      </c>
      <c r="AH125" s="2" t="str">
        <f aca="false">IF($B125="","",COUNTIFS(Datos_items!$B:$B,$B125,Datos_items!$AA:$AA,AH$4,Datos_items!$E:$E,Analisis_grupo!$C$4))</f>
        <v/>
      </c>
      <c r="AI125" s="2" t="str">
        <f aca="false">IF($B125="","",COUNTIFS(Datos_items!$B:$B,$B125,Datos_items!$AA:$AA,AI$4,Datos_items!$E:$E,Analisis_grupo!$C$4))</f>
        <v/>
      </c>
      <c r="AJ125" s="2" t="str">
        <f aca="false">IF($B125="","",COUNTIFS(Datos_items!$B:$B,$B125,Datos_items!$AA:$AA,AJ$4,Datos_items!$E:$E,Analisis_grupo!$C$4))</f>
        <v/>
      </c>
      <c r="AK125" s="2" t="str">
        <f aca="false">IF($B125="","",COUNTIFS(Datos_items!$B:$B,$B125,Datos_items!$AA:$AA,AK$4,Datos_items!$E:$E,Analisis_grupo!$C$4))</f>
        <v/>
      </c>
      <c r="AL125" s="2" t="str">
        <f aca="false">IF($B125="","",COUNTIFS(Datos_items!$B:$B,$B125,Datos_items!$AA:$AA,AL$4,Datos_items!$E:$E,Analisis_grupo!$C$4))</f>
        <v/>
      </c>
      <c r="AM125" s="2" t="str">
        <f aca="false">IF($B125="","",IF(MAX(Y125:AL125)=0,"",INDEX($Y$4:$AL$4,MATCH(MAX(Y125:AL125),Y125:AL125,0))))</f>
        <v/>
      </c>
      <c r="AN125" s="2" t="str">
        <f aca="false">IF($B125="","",COUNTIFS(Datos_problemas!$B:$B,$B125,Datos_problemas!$F:$F,"Práctica"))</f>
        <v/>
      </c>
      <c r="AO125" s="2" t="str">
        <f aca="false">IF($B125="","",SUMIFS(Datos_problemas!$AQ:$AQ,Datos_problemas!$B:$B,$B125,Datos_problemas!$F:$F,"Práctica"))</f>
        <v/>
      </c>
      <c r="AP125" s="2" t="str">
        <f aca="false">IF($B125="","",COUNTIFS(Datos_problemas!$B:$B,$B125,Datos_problemas!$F:$F,"Práctica",Datos_problemas!$AS:$AS,"Sí"))</f>
        <v/>
      </c>
    </row>
    <row r="126" customFormat="false" ht="15" hidden="false" customHeight="false" outlineLevel="0" collapsed="false">
      <c r="A126" s="2" t="n">
        <v>122</v>
      </c>
      <c r="B126" s="2" t="str">
        <f aca="false">IFERROR(INDEX(Datos_problemas!$B:$B,MATCH($A126,Datos_problemas!$AV:$AV,0)),"")</f>
        <v/>
      </c>
      <c r="C126" s="2" t="str">
        <f aca="false">IF($B126="","",INDEX(Datos_problemas!$C:$C,MATCH($A126,Datos_problemas!$AV:$AV,0)))</f>
        <v/>
      </c>
      <c r="D126" s="2" t="str">
        <f aca="false">IF($B126="","",INDEX(Datos_problemas!$D:$D,MATCH($A126,Datos_problemas!$AV:$AV,0)))</f>
        <v/>
      </c>
      <c r="E126" s="2" t="str">
        <f aca="false">IF($B126="","",COUNTIFS(Datos_problemas!$B:$B,$B126,Datos_problemas!$F:$F,"Evaluación"))</f>
        <v/>
      </c>
      <c r="F126" s="20" t="str">
        <f aca="false">IF($B126="","",IFERROR(AVERAGEIFS(Datos_problemas!$AE:$AE,Datos_problemas!$B:$B,$B126,Datos_problemas!$F:$F,"Evaluación"),""))</f>
        <v/>
      </c>
      <c r="G126" s="20" t="str">
        <f aca="false">IF($B126="","",IFERROR(AVERAGEIFS(Datos_problemas!$AE:$AE,Datos_problemas!$B:$B,$B126,Datos_problemas!$F:$F,"Evaluación",Datos_problemas!$E:$E,"Diagnóstico"),""))</f>
        <v/>
      </c>
      <c r="H126" s="20" t="str">
        <f aca="false">IF($B126="","",IFERROR(AVERAGEIFS(Datos_problemas!$AE:$AE,Datos_problemas!$B:$B,$B126,Datos_problemas!$F:$F,"Evaluación",Datos_problemas!$E:$E,"Final"),""))</f>
        <v/>
      </c>
      <c r="I126" s="21" t="str">
        <f aca="false">IF(OR(G126="",H126=""),"",IF(G126&gt;=10,"",(H126-G126)/(10-G126)))</f>
        <v/>
      </c>
      <c r="J126" s="18" t="str">
        <f aca="false">IF($B126="","",IFERROR(SUMIFS(Datos_items!$Z:$Z,Datos_items!$B:$B,$B126,Datos_items!$O:$O,J$4,Datos_items!$E:$E,Analisis_grupo!$C$4)/COUNTIFS(Datos_items!$B:$B,$B126,Datos_items!$O:$O,J$4,Datos_items!$E:$E,Analisis_grupo!$C$4),""))</f>
        <v/>
      </c>
      <c r="K126" s="18" t="str">
        <f aca="false">IF($B126="","",IFERROR(SUMIFS(Datos_items!$Z:$Z,Datos_items!$B:$B,$B126,Datos_items!$O:$O,K$4,Datos_items!$E:$E,Analisis_grupo!$C$4)/COUNTIFS(Datos_items!$B:$B,$B126,Datos_items!$O:$O,K$4,Datos_items!$E:$E,Analisis_grupo!$C$4),""))</f>
        <v/>
      </c>
      <c r="L126" s="18" t="str">
        <f aca="false">IF($B126="","",IFERROR(SUMIFS(Datos_items!$Z:$Z,Datos_items!$B:$B,$B126,Datos_items!$O:$O,L$4,Datos_items!$E:$E,Analisis_grupo!$C$4)/COUNTIFS(Datos_items!$B:$B,$B126,Datos_items!$O:$O,L$4,Datos_items!$E:$E,Analisis_grupo!$C$4),""))</f>
        <v/>
      </c>
      <c r="M126" s="18" t="str">
        <f aca="false">IF($B126="","",IFERROR(SUMIFS(Datos_items!$Z:$Z,Datos_items!$B:$B,$B126,Datos_items!$O:$O,M$4,Datos_items!$E:$E,Analisis_grupo!$C$4)/COUNTIFS(Datos_items!$B:$B,$B126,Datos_items!$O:$O,M$4,Datos_items!$E:$E,Analisis_grupo!$C$4),""))</f>
        <v/>
      </c>
      <c r="N126" s="18" t="str">
        <f aca="false">IF($B126="","",IFERROR(SUMIFS(Datos_items!$Z:$Z,Datos_items!$B:$B,$B126,Datos_items!$O:$O,N$4,Datos_items!$E:$E,Analisis_grupo!$C$4)/COUNTIFS(Datos_items!$B:$B,$B126,Datos_items!$O:$O,N$4,Datos_items!$E:$E,Analisis_grupo!$C$4),""))</f>
        <v/>
      </c>
      <c r="O126" s="18" t="str">
        <f aca="false">IF($B126="","",IFERROR(SUMIFS(Datos_items!$Z:$Z,Datos_items!$B:$B,$B126,Datos_items!$O:$O,O$4,Datos_items!$E:$E,Analisis_grupo!$C$4)/COUNTIFS(Datos_items!$B:$B,$B126,Datos_items!$O:$O,O$4,Datos_items!$E:$E,Analisis_grupo!$C$4),""))</f>
        <v/>
      </c>
      <c r="P126" s="18" t="str">
        <f aca="false">IF($B126="","",IFERROR(SUMIFS(Datos_items!$Z:$Z,Datos_items!$B:$B,$B126,Datos_items!$O:$O,P$4,Datos_items!$E:$E,Analisis_grupo!$C$4)/COUNTIFS(Datos_items!$B:$B,$B126,Datos_items!$O:$O,P$4,Datos_items!$E:$E,Analisis_grupo!$C$4),""))</f>
        <v/>
      </c>
      <c r="Q126" s="18" t="str">
        <f aca="false">IF($B126="","",IFERROR(SUMIFS(Datos_items!$Z:$Z,Datos_items!$B:$B,$B126,Datos_items!$O:$O,Q$4,Datos_items!$E:$E,Analisis_grupo!$C$4)/COUNTIFS(Datos_items!$B:$B,$B126,Datos_items!$O:$O,Q$4,Datos_items!$E:$E,Analisis_grupo!$C$4),""))</f>
        <v/>
      </c>
      <c r="R126" s="2" t="str">
        <f aca="false">IF(COUNT(J126:Q126)=0,"",IF(MIN(J126:Q126)&gt;=Analisis_grupo!$B$7,"(ninguna)",INDEX($J$4:$Q$4,MATCH(MIN(J126:Q126),J126:Q126,0))))</f>
        <v/>
      </c>
      <c r="S126" s="2" t="str">
        <f aca="false">IF($B126="","",COUNTIF(J126:Q126,"&lt;"&amp;Analisis_grupo!$B$7))</f>
        <v/>
      </c>
      <c r="T126" s="2" t="str">
        <f aca="false">IF($B126="","",COUNTIFS(Datos_items!$B:$B,$B126,Datos_items!$AA:$AA,T$4,Datos_items!$E:$E,Analisis_grupo!$C$4))</f>
        <v/>
      </c>
      <c r="U126" s="2" t="str">
        <f aca="false">IF($B126="","",COUNTIFS(Datos_items!$B:$B,$B126,Datos_items!$AA:$AA,U$4,Datos_items!$E:$E,Analisis_grupo!$C$4))</f>
        <v/>
      </c>
      <c r="V126" s="2" t="str">
        <f aca="false">IF($B126="","",COUNTIFS(Datos_items!$B:$B,$B126,Datos_items!$AA:$AA,V$4,Datos_items!$E:$E,Analisis_grupo!$C$4))</f>
        <v/>
      </c>
      <c r="W126" s="2" t="str">
        <f aca="false">IF($B126="","",COUNTIFS(Datos_items!$B:$B,$B126,Datos_items!$AA:$AA,W$4,Datos_items!$E:$E,Analisis_grupo!$C$4))</f>
        <v/>
      </c>
      <c r="X126" s="2" t="str">
        <f aca="false">IF($B126="","",COUNTIFS(Datos_items!$B:$B,$B126,Datos_items!$AA:$AA,X$4,Datos_items!$E:$E,Analisis_grupo!$C$4))</f>
        <v/>
      </c>
      <c r="Y126" s="2" t="str">
        <f aca="false">IF($B126="","",COUNTIFS(Datos_items!$B:$B,$B126,Datos_items!$AA:$AA,Y$4,Datos_items!$E:$E,Analisis_grupo!$C$4))</f>
        <v/>
      </c>
      <c r="Z126" s="2" t="str">
        <f aca="false">IF($B126="","",COUNTIFS(Datos_items!$B:$B,$B126,Datos_items!$AA:$AA,Z$4,Datos_items!$E:$E,Analisis_grupo!$C$4))</f>
        <v/>
      </c>
      <c r="AA126" s="2" t="str">
        <f aca="false">IF($B126="","",COUNTIFS(Datos_items!$B:$B,$B126,Datos_items!$AA:$AA,AA$4,Datos_items!$E:$E,Analisis_grupo!$C$4))</f>
        <v/>
      </c>
      <c r="AB126" s="2" t="str">
        <f aca="false">IF($B126="","",COUNTIFS(Datos_items!$B:$B,$B126,Datos_items!$AA:$AA,AB$4,Datos_items!$E:$E,Analisis_grupo!$C$4))</f>
        <v/>
      </c>
      <c r="AC126" s="2" t="str">
        <f aca="false">IF($B126="","",COUNTIFS(Datos_items!$B:$B,$B126,Datos_items!$AA:$AA,AC$4,Datos_items!$E:$E,Analisis_grupo!$C$4))</f>
        <v/>
      </c>
      <c r="AD126" s="2" t="str">
        <f aca="false">IF($B126="","",COUNTIFS(Datos_items!$B:$B,$B126,Datos_items!$AA:$AA,AD$4,Datos_items!$E:$E,Analisis_grupo!$C$4))</f>
        <v/>
      </c>
      <c r="AE126" s="2" t="str">
        <f aca="false">IF($B126="","",COUNTIFS(Datos_items!$B:$B,$B126,Datos_items!$AA:$AA,AE$4,Datos_items!$E:$E,Analisis_grupo!$C$4))</f>
        <v/>
      </c>
      <c r="AF126" s="2" t="str">
        <f aca="false">IF($B126="","",COUNTIFS(Datos_items!$B:$B,$B126,Datos_items!$AA:$AA,AF$4,Datos_items!$E:$E,Analisis_grupo!$C$4))</f>
        <v/>
      </c>
      <c r="AG126" s="2" t="str">
        <f aca="false">IF($B126="","",COUNTIFS(Datos_items!$B:$B,$B126,Datos_items!$AA:$AA,AG$4,Datos_items!$E:$E,Analisis_grupo!$C$4))</f>
        <v/>
      </c>
      <c r="AH126" s="2" t="str">
        <f aca="false">IF($B126="","",COUNTIFS(Datos_items!$B:$B,$B126,Datos_items!$AA:$AA,AH$4,Datos_items!$E:$E,Analisis_grupo!$C$4))</f>
        <v/>
      </c>
      <c r="AI126" s="2" t="str">
        <f aca="false">IF($B126="","",COUNTIFS(Datos_items!$B:$B,$B126,Datos_items!$AA:$AA,AI$4,Datos_items!$E:$E,Analisis_grupo!$C$4))</f>
        <v/>
      </c>
      <c r="AJ126" s="2" t="str">
        <f aca="false">IF($B126="","",COUNTIFS(Datos_items!$B:$B,$B126,Datos_items!$AA:$AA,AJ$4,Datos_items!$E:$E,Analisis_grupo!$C$4))</f>
        <v/>
      </c>
      <c r="AK126" s="2" t="str">
        <f aca="false">IF($B126="","",COUNTIFS(Datos_items!$B:$B,$B126,Datos_items!$AA:$AA,AK$4,Datos_items!$E:$E,Analisis_grupo!$C$4))</f>
        <v/>
      </c>
      <c r="AL126" s="2" t="str">
        <f aca="false">IF($B126="","",COUNTIFS(Datos_items!$B:$B,$B126,Datos_items!$AA:$AA,AL$4,Datos_items!$E:$E,Analisis_grupo!$C$4))</f>
        <v/>
      </c>
      <c r="AM126" s="2" t="str">
        <f aca="false">IF($B126="","",IF(MAX(Y126:AL126)=0,"",INDEX($Y$4:$AL$4,MATCH(MAX(Y126:AL126),Y126:AL126,0))))</f>
        <v/>
      </c>
      <c r="AN126" s="2" t="str">
        <f aca="false">IF($B126="","",COUNTIFS(Datos_problemas!$B:$B,$B126,Datos_problemas!$F:$F,"Práctica"))</f>
        <v/>
      </c>
      <c r="AO126" s="2" t="str">
        <f aca="false">IF($B126="","",SUMIFS(Datos_problemas!$AQ:$AQ,Datos_problemas!$B:$B,$B126,Datos_problemas!$F:$F,"Práctica"))</f>
        <v/>
      </c>
      <c r="AP126" s="2" t="str">
        <f aca="false">IF($B126="","",COUNTIFS(Datos_problemas!$B:$B,$B126,Datos_problemas!$F:$F,"Práctica",Datos_problemas!$AS:$AS,"Sí"))</f>
        <v/>
      </c>
    </row>
    <row r="127" customFormat="false" ht="15" hidden="false" customHeight="false" outlineLevel="0" collapsed="false">
      <c r="A127" s="2" t="n">
        <v>123</v>
      </c>
      <c r="B127" s="2" t="str">
        <f aca="false">IFERROR(INDEX(Datos_problemas!$B:$B,MATCH($A127,Datos_problemas!$AV:$AV,0)),"")</f>
        <v/>
      </c>
      <c r="C127" s="2" t="str">
        <f aca="false">IF($B127="","",INDEX(Datos_problemas!$C:$C,MATCH($A127,Datos_problemas!$AV:$AV,0)))</f>
        <v/>
      </c>
      <c r="D127" s="2" t="str">
        <f aca="false">IF($B127="","",INDEX(Datos_problemas!$D:$D,MATCH($A127,Datos_problemas!$AV:$AV,0)))</f>
        <v/>
      </c>
      <c r="E127" s="2" t="str">
        <f aca="false">IF($B127="","",COUNTIFS(Datos_problemas!$B:$B,$B127,Datos_problemas!$F:$F,"Evaluación"))</f>
        <v/>
      </c>
      <c r="F127" s="20" t="str">
        <f aca="false">IF($B127="","",IFERROR(AVERAGEIFS(Datos_problemas!$AE:$AE,Datos_problemas!$B:$B,$B127,Datos_problemas!$F:$F,"Evaluación"),""))</f>
        <v/>
      </c>
      <c r="G127" s="20" t="str">
        <f aca="false">IF($B127="","",IFERROR(AVERAGEIFS(Datos_problemas!$AE:$AE,Datos_problemas!$B:$B,$B127,Datos_problemas!$F:$F,"Evaluación",Datos_problemas!$E:$E,"Diagnóstico"),""))</f>
        <v/>
      </c>
      <c r="H127" s="20" t="str">
        <f aca="false">IF($B127="","",IFERROR(AVERAGEIFS(Datos_problemas!$AE:$AE,Datos_problemas!$B:$B,$B127,Datos_problemas!$F:$F,"Evaluación",Datos_problemas!$E:$E,"Final"),""))</f>
        <v/>
      </c>
      <c r="I127" s="21" t="str">
        <f aca="false">IF(OR(G127="",H127=""),"",IF(G127&gt;=10,"",(H127-G127)/(10-G127)))</f>
        <v/>
      </c>
      <c r="J127" s="18" t="str">
        <f aca="false">IF($B127="","",IFERROR(SUMIFS(Datos_items!$Z:$Z,Datos_items!$B:$B,$B127,Datos_items!$O:$O,J$4,Datos_items!$E:$E,Analisis_grupo!$C$4)/COUNTIFS(Datos_items!$B:$B,$B127,Datos_items!$O:$O,J$4,Datos_items!$E:$E,Analisis_grupo!$C$4),""))</f>
        <v/>
      </c>
      <c r="K127" s="18" t="str">
        <f aca="false">IF($B127="","",IFERROR(SUMIFS(Datos_items!$Z:$Z,Datos_items!$B:$B,$B127,Datos_items!$O:$O,K$4,Datos_items!$E:$E,Analisis_grupo!$C$4)/COUNTIFS(Datos_items!$B:$B,$B127,Datos_items!$O:$O,K$4,Datos_items!$E:$E,Analisis_grupo!$C$4),""))</f>
        <v/>
      </c>
      <c r="L127" s="18" t="str">
        <f aca="false">IF($B127="","",IFERROR(SUMIFS(Datos_items!$Z:$Z,Datos_items!$B:$B,$B127,Datos_items!$O:$O,L$4,Datos_items!$E:$E,Analisis_grupo!$C$4)/COUNTIFS(Datos_items!$B:$B,$B127,Datos_items!$O:$O,L$4,Datos_items!$E:$E,Analisis_grupo!$C$4),""))</f>
        <v/>
      </c>
      <c r="M127" s="18" t="str">
        <f aca="false">IF($B127="","",IFERROR(SUMIFS(Datos_items!$Z:$Z,Datos_items!$B:$B,$B127,Datos_items!$O:$O,M$4,Datos_items!$E:$E,Analisis_grupo!$C$4)/COUNTIFS(Datos_items!$B:$B,$B127,Datos_items!$O:$O,M$4,Datos_items!$E:$E,Analisis_grupo!$C$4),""))</f>
        <v/>
      </c>
      <c r="N127" s="18" t="str">
        <f aca="false">IF($B127="","",IFERROR(SUMIFS(Datos_items!$Z:$Z,Datos_items!$B:$B,$B127,Datos_items!$O:$O,N$4,Datos_items!$E:$E,Analisis_grupo!$C$4)/COUNTIFS(Datos_items!$B:$B,$B127,Datos_items!$O:$O,N$4,Datos_items!$E:$E,Analisis_grupo!$C$4),""))</f>
        <v/>
      </c>
      <c r="O127" s="18" t="str">
        <f aca="false">IF($B127="","",IFERROR(SUMIFS(Datos_items!$Z:$Z,Datos_items!$B:$B,$B127,Datos_items!$O:$O,O$4,Datos_items!$E:$E,Analisis_grupo!$C$4)/COUNTIFS(Datos_items!$B:$B,$B127,Datos_items!$O:$O,O$4,Datos_items!$E:$E,Analisis_grupo!$C$4),""))</f>
        <v/>
      </c>
      <c r="P127" s="18" t="str">
        <f aca="false">IF($B127="","",IFERROR(SUMIFS(Datos_items!$Z:$Z,Datos_items!$B:$B,$B127,Datos_items!$O:$O,P$4,Datos_items!$E:$E,Analisis_grupo!$C$4)/COUNTIFS(Datos_items!$B:$B,$B127,Datos_items!$O:$O,P$4,Datos_items!$E:$E,Analisis_grupo!$C$4),""))</f>
        <v/>
      </c>
      <c r="Q127" s="18" t="str">
        <f aca="false">IF($B127="","",IFERROR(SUMIFS(Datos_items!$Z:$Z,Datos_items!$B:$B,$B127,Datos_items!$O:$O,Q$4,Datos_items!$E:$E,Analisis_grupo!$C$4)/COUNTIFS(Datos_items!$B:$B,$B127,Datos_items!$O:$O,Q$4,Datos_items!$E:$E,Analisis_grupo!$C$4),""))</f>
        <v/>
      </c>
      <c r="R127" s="2" t="str">
        <f aca="false">IF(COUNT(J127:Q127)=0,"",IF(MIN(J127:Q127)&gt;=Analisis_grupo!$B$7,"(ninguna)",INDEX($J$4:$Q$4,MATCH(MIN(J127:Q127),J127:Q127,0))))</f>
        <v/>
      </c>
      <c r="S127" s="2" t="str">
        <f aca="false">IF($B127="","",COUNTIF(J127:Q127,"&lt;"&amp;Analisis_grupo!$B$7))</f>
        <v/>
      </c>
      <c r="T127" s="2" t="str">
        <f aca="false">IF($B127="","",COUNTIFS(Datos_items!$B:$B,$B127,Datos_items!$AA:$AA,T$4,Datos_items!$E:$E,Analisis_grupo!$C$4))</f>
        <v/>
      </c>
      <c r="U127" s="2" t="str">
        <f aca="false">IF($B127="","",COUNTIFS(Datos_items!$B:$B,$B127,Datos_items!$AA:$AA,U$4,Datos_items!$E:$E,Analisis_grupo!$C$4))</f>
        <v/>
      </c>
      <c r="V127" s="2" t="str">
        <f aca="false">IF($B127="","",COUNTIFS(Datos_items!$B:$B,$B127,Datos_items!$AA:$AA,V$4,Datos_items!$E:$E,Analisis_grupo!$C$4))</f>
        <v/>
      </c>
      <c r="W127" s="2" t="str">
        <f aca="false">IF($B127="","",COUNTIFS(Datos_items!$B:$B,$B127,Datos_items!$AA:$AA,W$4,Datos_items!$E:$E,Analisis_grupo!$C$4))</f>
        <v/>
      </c>
      <c r="X127" s="2" t="str">
        <f aca="false">IF($B127="","",COUNTIFS(Datos_items!$B:$B,$B127,Datos_items!$AA:$AA,X$4,Datos_items!$E:$E,Analisis_grupo!$C$4))</f>
        <v/>
      </c>
      <c r="Y127" s="2" t="str">
        <f aca="false">IF($B127="","",COUNTIFS(Datos_items!$B:$B,$B127,Datos_items!$AA:$AA,Y$4,Datos_items!$E:$E,Analisis_grupo!$C$4))</f>
        <v/>
      </c>
      <c r="Z127" s="2" t="str">
        <f aca="false">IF($B127="","",COUNTIFS(Datos_items!$B:$B,$B127,Datos_items!$AA:$AA,Z$4,Datos_items!$E:$E,Analisis_grupo!$C$4))</f>
        <v/>
      </c>
      <c r="AA127" s="2" t="str">
        <f aca="false">IF($B127="","",COUNTIFS(Datos_items!$B:$B,$B127,Datos_items!$AA:$AA,AA$4,Datos_items!$E:$E,Analisis_grupo!$C$4))</f>
        <v/>
      </c>
      <c r="AB127" s="2" t="str">
        <f aca="false">IF($B127="","",COUNTIFS(Datos_items!$B:$B,$B127,Datos_items!$AA:$AA,AB$4,Datos_items!$E:$E,Analisis_grupo!$C$4))</f>
        <v/>
      </c>
      <c r="AC127" s="2" t="str">
        <f aca="false">IF($B127="","",COUNTIFS(Datos_items!$B:$B,$B127,Datos_items!$AA:$AA,AC$4,Datos_items!$E:$E,Analisis_grupo!$C$4))</f>
        <v/>
      </c>
      <c r="AD127" s="2" t="str">
        <f aca="false">IF($B127="","",COUNTIFS(Datos_items!$B:$B,$B127,Datos_items!$AA:$AA,AD$4,Datos_items!$E:$E,Analisis_grupo!$C$4))</f>
        <v/>
      </c>
      <c r="AE127" s="2" t="str">
        <f aca="false">IF($B127="","",COUNTIFS(Datos_items!$B:$B,$B127,Datos_items!$AA:$AA,AE$4,Datos_items!$E:$E,Analisis_grupo!$C$4))</f>
        <v/>
      </c>
      <c r="AF127" s="2" t="str">
        <f aca="false">IF($B127="","",COUNTIFS(Datos_items!$B:$B,$B127,Datos_items!$AA:$AA,AF$4,Datos_items!$E:$E,Analisis_grupo!$C$4))</f>
        <v/>
      </c>
      <c r="AG127" s="2" t="str">
        <f aca="false">IF($B127="","",COUNTIFS(Datos_items!$B:$B,$B127,Datos_items!$AA:$AA,AG$4,Datos_items!$E:$E,Analisis_grupo!$C$4))</f>
        <v/>
      </c>
      <c r="AH127" s="2" t="str">
        <f aca="false">IF($B127="","",COUNTIFS(Datos_items!$B:$B,$B127,Datos_items!$AA:$AA,AH$4,Datos_items!$E:$E,Analisis_grupo!$C$4))</f>
        <v/>
      </c>
      <c r="AI127" s="2" t="str">
        <f aca="false">IF($B127="","",COUNTIFS(Datos_items!$B:$B,$B127,Datos_items!$AA:$AA,AI$4,Datos_items!$E:$E,Analisis_grupo!$C$4))</f>
        <v/>
      </c>
      <c r="AJ127" s="2" t="str">
        <f aca="false">IF($B127="","",COUNTIFS(Datos_items!$B:$B,$B127,Datos_items!$AA:$AA,AJ$4,Datos_items!$E:$E,Analisis_grupo!$C$4))</f>
        <v/>
      </c>
      <c r="AK127" s="2" t="str">
        <f aca="false">IF($B127="","",COUNTIFS(Datos_items!$B:$B,$B127,Datos_items!$AA:$AA,AK$4,Datos_items!$E:$E,Analisis_grupo!$C$4))</f>
        <v/>
      </c>
      <c r="AL127" s="2" t="str">
        <f aca="false">IF($B127="","",COUNTIFS(Datos_items!$B:$B,$B127,Datos_items!$AA:$AA,AL$4,Datos_items!$E:$E,Analisis_grupo!$C$4))</f>
        <v/>
      </c>
      <c r="AM127" s="2" t="str">
        <f aca="false">IF($B127="","",IF(MAX(Y127:AL127)=0,"",INDEX($Y$4:$AL$4,MATCH(MAX(Y127:AL127),Y127:AL127,0))))</f>
        <v/>
      </c>
      <c r="AN127" s="2" t="str">
        <f aca="false">IF($B127="","",COUNTIFS(Datos_problemas!$B:$B,$B127,Datos_problemas!$F:$F,"Práctica"))</f>
        <v/>
      </c>
      <c r="AO127" s="2" t="str">
        <f aca="false">IF($B127="","",SUMIFS(Datos_problemas!$AQ:$AQ,Datos_problemas!$B:$B,$B127,Datos_problemas!$F:$F,"Práctica"))</f>
        <v/>
      </c>
      <c r="AP127" s="2" t="str">
        <f aca="false">IF($B127="","",COUNTIFS(Datos_problemas!$B:$B,$B127,Datos_problemas!$F:$F,"Práctica",Datos_problemas!$AS:$AS,"Sí"))</f>
        <v/>
      </c>
    </row>
    <row r="128" customFormat="false" ht="15" hidden="false" customHeight="false" outlineLevel="0" collapsed="false">
      <c r="A128" s="2" t="n">
        <v>124</v>
      </c>
      <c r="B128" s="2" t="str">
        <f aca="false">IFERROR(INDEX(Datos_problemas!$B:$B,MATCH($A128,Datos_problemas!$AV:$AV,0)),"")</f>
        <v/>
      </c>
      <c r="C128" s="2" t="str">
        <f aca="false">IF($B128="","",INDEX(Datos_problemas!$C:$C,MATCH($A128,Datos_problemas!$AV:$AV,0)))</f>
        <v/>
      </c>
      <c r="D128" s="2" t="str">
        <f aca="false">IF($B128="","",INDEX(Datos_problemas!$D:$D,MATCH($A128,Datos_problemas!$AV:$AV,0)))</f>
        <v/>
      </c>
      <c r="E128" s="2" t="str">
        <f aca="false">IF($B128="","",COUNTIFS(Datos_problemas!$B:$B,$B128,Datos_problemas!$F:$F,"Evaluación"))</f>
        <v/>
      </c>
      <c r="F128" s="20" t="str">
        <f aca="false">IF($B128="","",IFERROR(AVERAGEIFS(Datos_problemas!$AE:$AE,Datos_problemas!$B:$B,$B128,Datos_problemas!$F:$F,"Evaluación"),""))</f>
        <v/>
      </c>
      <c r="G128" s="20" t="str">
        <f aca="false">IF($B128="","",IFERROR(AVERAGEIFS(Datos_problemas!$AE:$AE,Datos_problemas!$B:$B,$B128,Datos_problemas!$F:$F,"Evaluación",Datos_problemas!$E:$E,"Diagnóstico"),""))</f>
        <v/>
      </c>
      <c r="H128" s="20" t="str">
        <f aca="false">IF($B128="","",IFERROR(AVERAGEIFS(Datos_problemas!$AE:$AE,Datos_problemas!$B:$B,$B128,Datos_problemas!$F:$F,"Evaluación",Datos_problemas!$E:$E,"Final"),""))</f>
        <v/>
      </c>
      <c r="I128" s="21" t="str">
        <f aca="false">IF(OR(G128="",H128=""),"",IF(G128&gt;=10,"",(H128-G128)/(10-G128)))</f>
        <v/>
      </c>
      <c r="J128" s="18" t="str">
        <f aca="false">IF($B128="","",IFERROR(SUMIFS(Datos_items!$Z:$Z,Datos_items!$B:$B,$B128,Datos_items!$O:$O,J$4,Datos_items!$E:$E,Analisis_grupo!$C$4)/COUNTIFS(Datos_items!$B:$B,$B128,Datos_items!$O:$O,J$4,Datos_items!$E:$E,Analisis_grupo!$C$4),""))</f>
        <v/>
      </c>
      <c r="K128" s="18" t="str">
        <f aca="false">IF($B128="","",IFERROR(SUMIFS(Datos_items!$Z:$Z,Datos_items!$B:$B,$B128,Datos_items!$O:$O,K$4,Datos_items!$E:$E,Analisis_grupo!$C$4)/COUNTIFS(Datos_items!$B:$B,$B128,Datos_items!$O:$O,K$4,Datos_items!$E:$E,Analisis_grupo!$C$4),""))</f>
        <v/>
      </c>
      <c r="L128" s="18" t="str">
        <f aca="false">IF($B128="","",IFERROR(SUMIFS(Datos_items!$Z:$Z,Datos_items!$B:$B,$B128,Datos_items!$O:$O,L$4,Datos_items!$E:$E,Analisis_grupo!$C$4)/COUNTIFS(Datos_items!$B:$B,$B128,Datos_items!$O:$O,L$4,Datos_items!$E:$E,Analisis_grupo!$C$4),""))</f>
        <v/>
      </c>
      <c r="M128" s="18" t="str">
        <f aca="false">IF($B128="","",IFERROR(SUMIFS(Datos_items!$Z:$Z,Datos_items!$B:$B,$B128,Datos_items!$O:$O,M$4,Datos_items!$E:$E,Analisis_grupo!$C$4)/COUNTIFS(Datos_items!$B:$B,$B128,Datos_items!$O:$O,M$4,Datos_items!$E:$E,Analisis_grupo!$C$4),""))</f>
        <v/>
      </c>
      <c r="N128" s="18" t="str">
        <f aca="false">IF($B128="","",IFERROR(SUMIFS(Datos_items!$Z:$Z,Datos_items!$B:$B,$B128,Datos_items!$O:$O,N$4,Datos_items!$E:$E,Analisis_grupo!$C$4)/COUNTIFS(Datos_items!$B:$B,$B128,Datos_items!$O:$O,N$4,Datos_items!$E:$E,Analisis_grupo!$C$4),""))</f>
        <v/>
      </c>
      <c r="O128" s="18" t="str">
        <f aca="false">IF($B128="","",IFERROR(SUMIFS(Datos_items!$Z:$Z,Datos_items!$B:$B,$B128,Datos_items!$O:$O,O$4,Datos_items!$E:$E,Analisis_grupo!$C$4)/COUNTIFS(Datos_items!$B:$B,$B128,Datos_items!$O:$O,O$4,Datos_items!$E:$E,Analisis_grupo!$C$4),""))</f>
        <v/>
      </c>
      <c r="P128" s="18" t="str">
        <f aca="false">IF($B128="","",IFERROR(SUMIFS(Datos_items!$Z:$Z,Datos_items!$B:$B,$B128,Datos_items!$O:$O,P$4,Datos_items!$E:$E,Analisis_grupo!$C$4)/COUNTIFS(Datos_items!$B:$B,$B128,Datos_items!$O:$O,P$4,Datos_items!$E:$E,Analisis_grupo!$C$4),""))</f>
        <v/>
      </c>
      <c r="Q128" s="18" t="str">
        <f aca="false">IF($B128="","",IFERROR(SUMIFS(Datos_items!$Z:$Z,Datos_items!$B:$B,$B128,Datos_items!$O:$O,Q$4,Datos_items!$E:$E,Analisis_grupo!$C$4)/COUNTIFS(Datos_items!$B:$B,$B128,Datos_items!$O:$O,Q$4,Datos_items!$E:$E,Analisis_grupo!$C$4),""))</f>
        <v/>
      </c>
      <c r="R128" s="2" t="str">
        <f aca="false">IF(COUNT(J128:Q128)=0,"",IF(MIN(J128:Q128)&gt;=Analisis_grupo!$B$7,"(ninguna)",INDEX($J$4:$Q$4,MATCH(MIN(J128:Q128),J128:Q128,0))))</f>
        <v/>
      </c>
      <c r="S128" s="2" t="str">
        <f aca="false">IF($B128="","",COUNTIF(J128:Q128,"&lt;"&amp;Analisis_grupo!$B$7))</f>
        <v/>
      </c>
      <c r="T128" s="2" t="str">
        <f aca="false">IF($B128="","",COUNTIFS(Datos_items!$B:$B,$B128,Datos_items!$AA:$AA,T$4,Datos_items!$E:$E,Analisis_grupo!$C$4))</f>
        <v/>
      </c>
      <c r="U128" s="2" t="str">
        <f aca="false">IF($B128="","",COUNTIFS(Datos_items!$B:$B,$B128,Datos_items!$AA:$AA,U$4,Datos_items!$E:$E,Analisis_grupo!$C$4))</f>
        <v/>
      </c>
      <c r="V128" s="2" t="str">
        <f aca="false">IF($B128="","",COUNTIFS(Datos_items!$B:$B,$B128,Datos_items!$AA:$AA,V$4,Datos_items!$E:$E,Analisis_grupo!$C$4))</f>
        <v/>
      </c>
      <c r="W128" s="2" t="str">
        <f aca="false">IF($B128="","",COUNTIFS(Datos_items!$B:$B,$B128,Datos_items!$AA:$AA,W$4,Datos_items!$E:$E,Analisis_grupo!$C$4))</f>
        <v/>
      </c>
      <c r="X128" s="2" t="str">
        <f aca="false">IF($B128="","",COUNTIFS(Datos_items!$B:$B,$B128,Datos_items!$AA:$AA,X$4,Datos_items!$E:$E,Analisis_grupo!$C$4))</f>
        <v/>
      </c>
      <c r="Y128" s="2" t="str">
        <f aca="false">IF($B128="","",COUNTIFS(Datos_items!$B:$B,$B128,Datos_items!$AA:$AA,Y$4,Datos_items!$E:$E,Analisis_grupo!$C$4))</f>
        <v/>
      </c>
      <c r="Z128" s="2" t="str">
        <f aca="false">IF($B128="","",COUNTIFS(Datos_items!$B:$B,$B128,Datos_items!$AA:$AA,Z$4,Datos_items!$E:$E,Analisis_grupo!$C$4))</f>
        <v/>
      </c>
      <c r="AA128" s="2" t="str">
        <f aca="false">IF($B128="","",COUNTIFS(Datos_items!$B:$B,$B128,Datos_items!$AA:$AA,AA$4,Datos_items!$E:$E,Analisis_grupo!$C$4))</f>
        <v/>
      </c>
      <c r="AB128" s="2" t="str">
        <f aca="false">IF($B128="","",COUNTIFS(Datos_items!$B:$B,$B128,Datos_items!$AA:$AA,AB$4,Datos_items!$E:$E,Analisis_grupo!$C$4))</f>
        <v/>
      </c>
      <c r="AC128" s="2" t="str">
        <f aca="false">IF($B128="","",COUNTIFS(Datos_items!$B:$B,$B128,Datos_items!$AA:$AA,AC$4,Datos_items!$E:$E,Analisis_grupo!$C$4))</f>
        <v/>
      </c>
      <c r="AD128" s="2" t="str">
        <f aca="false">IF($B128="","",COUNTIFS(Datos_items!$B:$B,$B128,Datos_items!$AA:$AA,AD$4,Datos_items!$E:$E,Analisis_grupo!$C$4))</f>
        <v/>
      </c>
      <c r="AE128" s="2" t="str">
        <f aca="false">IF($B128="","",COUNTIFS(Datos_items!$B:$B,$B128,Datos_items!$AA:$AA,AE$4,Datos_items!$E:$E,Analisis_grupo!$C$4))</f>
        <v/>
      </c>
      <c r="AF128" s="2" t="str">
        <f aca="false">IF($B128="","",COUNTIFS(Datos_items!$B:$B,$B128,Datos_items!$AA:$AA,AF$4,Datos_items!$E:$E,Analisis_grupo!$C$4))</f>
        <v/>
      </c>
      <c r="AG128" s="2" t="str">
        <f aca="false">IF($B128="","",COUNTIFS(Datos_items!$B:$B,$B128,Datos_items!$AA:$AA,AG$4,Datos_items!$E:$E,Analisis_grupo!$C$4))</f>
        <v/>
      </c>
      <c r="AH128" s="2" t="str">
        <f aca="false">IF($B128="","",COUNTIFS(Datos_items!$B:$B,$B128,Datos_items!$AA:$AA,AH$4,Datos_items!$E:$E,Analisis_grupo!$C$4))</f>
        <v/>
      </c>
      <c r="AI128" s="2" t="str">
        <f aca="false">IF($B128="","",COUNTIFS(Datos_items!$B:$B,$B128,Datos_items!$AA:$AA,AI$4,Datos_items!$E:$E,Analisis_grupo!$C$4))</f>
        <v/>
      </c>
      <c r="AJ128" s="2" t="str">
        <f aca="false">IF($B128="","",COUNTIFS(Datos_items!$B:$B,$B128,Datos_items!$AA:$AA,AJ$4,Datos_items!$E:$E,Analisis_grupo!$C$4))</f>
        <v/>
      </c>
      <c r="AK128" s="2" t="str">
        <f aca="false">IF($B128="","",COUNTIFS(Datos_items!$B:$B,$B128,Datos_items!$AA:$AA,AK$4,Datos_items!$E:$E,Analisis_grupo!$C$4))</f>
        <v/>
      </c>
      <c r="AL128" s="2" t="str">
        <f aca="false">IF($B128="","",COUNTIFS(Datos_items!$B:$B,$B128,Datos_items!$AA:$AA,AL$4,Datos_items!$E:$E,Analisis_grupo!$C$4))</f>
        <v/>
      </c>
      <c r="AM128" s="2" t="str">
        <f aca="false">IF($B128="","",IF(MAX(Y128:AL128)=0,"",INDEX($Y$4:$AL$4,MATCH(MAX(Y128:AL128),Y128:AL128,0))))</f>
        <v/>
      </c>
      <c r="AN128" s="2" t="str">
        <f aca="false">IF($B128="","",COUNTIFS(Datos_problemas!$B:$B,$B128,Datos_problemas!$F:$F,"Práctica"))</f>
        <v/>
      </c>
      <c r="AO128" s="2" t="str">
        <f aca="false">IF($B128="","",SUMIFS(Datos_problemas!$AQ:$AQ,Datos_problemas!$B:$B,$B128,Datos_problemas!$F:$F,"Práctica"))</f>
        <v/>
      </c>
      <c r="AP128" s="2" t="str">
        <f aca="false">IF($B128="","",COUNTIFS(Datos_problemas!$B:$B,$B128,Datos_problemas!$F:$F,"Práctica",Datos_problemas!$AS:$AS,"Sí"))</f>
        <v/>
      </c>
    </row>
    <row r="129" customFormat="false" ht="15" hidden="false" customHeight="false" outlineLevel="0" collapsed="false">
      <c r="A129" s="2" t="n">
        <v>125</v>
      </c>
      <c r="B129" s="2" t="str">
        <f aca="false">IFERROR(INDEX(Datos_problemas!$B:$B,MATCH($A129,Datos_problemas!$AV:$AV,0)),"")</f>
        <v/>
      </c>
      <c r="C129" s="2" t="str">
        <f aca="false">IF($B129="","",INDEX(Datos_problemas!$C:$C,MATCH($A129,Datos_problemas!$AV:$AV,0)))</f>
        <v/>
      </c>
      <c r="D129" s="2" t="str">
        <f aca="false">IF($B129="","",INDEX(Datos_problemas!$D:$D,MATCH($A129,Datos_problemas!$AV:$AV,0)))</f>
        <v/>
      </c>
      <c r="E129" s="2" t="str">
        <f aca="false">IF($B129="","",COUNTIFS(Datos_problemas!$B:$B,$B129,Datos_problemas!$F:$F,"Evaluación"))</f>
        <v/>
      </c>
      <c r="F129" s="20" t="str">
        <f aca="false">IF($B129="","",IFERROR(AVERAGEIFS(Datos_problemas!$AE:$AE,Datos_problemas!$B:$B,$B129,Datos_problemas!$F:$F,"Evaluación"),""))</f>
        <v/>
      </c>
      <c r="G129" s="20" t="str">
        <f aca="false">IF($B129="","",IFERROR(AVERAGEIFS(Datos_problemas!$AE:$AE,Datos_problemas!$B:$B,$B129,Datos_problemas!$F:$F,"Evaluación",Datos_problemas!$E:$E,"Diagnóstico"),""))</f>
        <v/>
      </c>
      <c r="H129" s="20" t="str">
        <f aca="false">IF($B129="","",IFERROR(AVERAGEIFS(Datos_problemas!$AE:$AE,Datos_problemas!$B:$B,$B129,Datos_problemas!$F:$F,"Evaluación",Datos_problemas!$E:$E,"Final"),""))</f>
        <v/>
      </c>
      <c r="I129" s="21" t="str">
        <f aca="false">IF(OR(G129="",H129=""),"",IF(G129&gt;=10,"",(H129-G129)/(10-G129)))</f>
        <v/>
      </c>
      <c r="J129" s="18" t="str">
        <f aca="false">IF($B129="","",IFERROR(SUMIFS(Datos_items!$Z:$Z,Datos_items!$B:$B,$B129,Datos_items!$O:$O,J$4,Datos_items!$E:$E,Analisis_grupo!$C$4)/COUNTIFS(Datos_items!$B:$B,$B129,Datos_items!$O:$O,J$4,Datos_items!$E:$E,Analisis_grupo!$C$4),""))</f>
        <v/>
      </c>
      <c r="K129" s="18" t="str">
        <f aca="false">IF($B129="","",IFERROR(SUMIFS(Datos_items!$Z:$Z,Datos_items!$B:$B,$B129,Datos_items!$O:$O,K$4,Datos_items!$E:$E,Analisis_grupo!$C$4)/COUNTIFS(Datos_items!$B:$B,$B129,Datos_items!$O:$O,K$4,Datos_items!$E:$E,Analisis_grupo!$C$4),""))</f>
        <v/>
      </c>
      <c r="L129" s="18" t="str">
        <f aca="false">IF($B129="","",IFERROR(SUMIFS(Datos_items!$Z:$Z,Datos_items!$B:$B,$B129,Datos_items!$O:$O,L$4,Datos_items!$E:$E,Analisis_grupo!$C$4)/COUNTIFS(Datos_items!$B:$B,$B129,Datos_items!$O:$O,L$4,Datos_items!$E:$E,Analisis_grupo!$C$4),""))</f>
        <v/>
      </c>
      <c r="M129" s="18" t="str">
        <f aca="false">IF($B129="","",IFERROR(SUMIFS(Datos_items!$Z:$Z,Datos_items!$B:$B,$B129,Datos_items!$O:$O,M$4,Datos_items!$E:$E,Analisis_grupo!$C$4)/COUNTIFS(Datos_items!$B:$B,$B129,Datos_items!$O:$O,M$4,Datos_items!$E:$E,Analisis_grupo!$C$4),""))</f>
        <v/>
      </c>
      <c r="N129" s="18" t="str">
        <f aca="false">IF($B129="","",IFERROR(SUMIFS(Datos_items!$Z:$Z,Datos_items!$B:$B,$B129,Datos_items!$O:$O,N$4,Datos_items!$E:$E,Analisis_grupo!$C$4)/COUNTIFS(Datos_items!$B:$B,$B129,Datos_items!$O:$O,N$4,Datos_items!$E:$E,Analisis_grupo!$C$4),""))</f>
        <v/>
      </c>
      <c r="O129" s="18" t="str">
        <f aca="false">IF($B129="","",IFERROR(SUMIFS(Datos_items!$Z:$Z,Datos_items!$B:$B,$B129,Datos_items!$O:$O,O$4,Datos_items!$E:$E,Analisis_grupo!$C$4)/COUNTIFS(Datos_items!$B:$B,$B129,Datos_items!$O:$O,O$4,Datos_items!$E:$E,Analisis_grupo!$C$4),""))</f>
        <v/>
      </c>
      <c r="P129" s="18" t="str">
        <f aca="false">IF($B129="","",IFERROR(SUMIFS(Datos_items!$Z:$Z,Datos_items!$B:$B,$B129,Datos_items!$O:$O,P$4,Datos_items!$E:$E,Analisis_grupo!$C$4)/COUNTIFS(Datos_items!$B:$B,$B129,Datos_items!$O:$O,P$4,Datos_items!$E:$E,Analisis_grupo!$C$4),""))</f>
        <v/>
      </c>
      <c r="Q129" s="18" t="str">
        <f aca="false">IF($B129="","",IFERROR(SUMIFS(Datos_items!$Z:$Z,Datos_items!$B:$B,$B129,Datos_items!$O:$O,Q$4,Datos_items!$E:$E,Analisis_grupo!$C$4)/COUNTIFS(Datos_items!$B:$B,$B129,Datos_items!$O:$O,Q$4,Datos_items!$E:$E,Analisis_grupo!$C$4),""))</f>
        <v/>
      </c>
      <c r="R129" s="2" t="str">
        <f aca="false">IF(COUNT(J129:Q129)=0,"",IF(MIN(J129:Q129)&gt;=Analisis_grupo!$B$7,"(ninguna)",INDEX($J$4:$Q$4,MATCH(MIN(J129:Q129),J129:Q129,0))))</f>
        <v/>
      </c>
      <c r="S129" s="2" t="str">
        <f aca="false">IF($B129="","",COUNTIF(J129:Q129,"&lt;"&amp;Analisis_grupo!$B$7))</f>
        <v/>
      </c>
      <c r="T129" s="2" t="str">
        <f aca="false">IF($B129="","",COUNTIFS(Datos_items!$B:$B,$B129,Datos_items!$AA:$AA,T$4,Datos_items!$E:$E,Analisis_grupo!$C$4))</f>
        <v/>
      </c>
      <c r="U129" s="2" t="str">
        <f aca="false">IF($B129="","",COUNTIFS(Datos_items!$B:$B,$B129,Datos_items!$AA:$AA,U$4,Datos_items!$E:$E,Analisis_grupo!$C$4))</f>
        <v/>
      </c>
      <c r="V129" s="2" t="str">
        <f aca="false">IF($B129="","",COUNTIFS(Datos_items!$B:$B,$B129,Datos_items!$AA:$AA,V$4,Datos_items!$E:$E,Analisis_grupo!$C$4))</f>
        <v/>
      </c>
      <c r="W129" s="2" t="str">
        <f aca="false">IF($B129="","",COUNTIFS(Datos_items!$B:$B,$B129,Datos_items!$AA:$AA,W$4,Datos_items!$E:$E,Analisis_grupo!$C$4))</f>
        <v/>
      </c>
      <c r="X129" s="2" t="str">
        <f aca="false">IF($B129="","",COUNTIFS(Datos_items!$B:$B,$B129,Datos_items!$AA:$AA,X$4,Datos_items!$E:$E,Analisis_grupo!$C$4))</f>
        <v/>
      </c>
      <c r="Y129" s="2" t="str">
        <f aca="false">IF($B129="","",COUNTIFS(Datos_items!$B:$B,$B129,Datos_items!$AA:$AA,Y$4,Datos_items!$E:$E,Analisis_grupo!$C$4))</f>
        <v/>
      </c>
      <c r="Z129" s="2" t="str">
        <f aca="false">IF($B129="","",COUNTIFS(Datos_items!$B:$B,$B129,Datos_items!$AA:$AA,Z$4,Datos_items!$E:$E,Analisis_grupo!$C$4))</f>
        <v/>
      </c>
      <c r="AA129" s="2" t="str">
        <f aca="false">IF($B129="","",COUNTIFS(Datos_items!$B:$B,$B129,Datos_items!$AA:$AA,AA$4,Datos_items!$E:$E,Analisis_grupo!$C$4))</f>
        <v/>
      </c>
      <c r="AB129" s="2" t="str">
        <f aca="false">IF($B129="","",COUNTIFS(Datos_items!$B:$B,$B129,Datos_items!$AA:$AA,AB$4,Datos_items!$E:$E,Analisis_grupo!$C$4))</f>
        <v/>
      </c>
      <c r="AC129" s="2" t="str">
        <f aca="false">IF($B129="","",COUNTIFS(Datos_items!$B:$B,$B129,Datos_items!$AA:$AA,AC$4,Datos_items!$E:$E,Analisis_grupo!$C$4))</f>
        <v/>
      </c>
      <c r="AD129" s="2" t="str">
        <f aca="false">IF($B129="","",COUNTIFS(Datos_items!$B:$B,$B129,Datos_items!$AA:$AA,AD$4,Datos_items!$E:$E,Analisis_grupo!$C$4))</f>
        <v/>
      </c>
      <c r="AE129" s="2" t="str">
        <f aca="false">IF($B129="","",COUNTIFS(Datos_items!$B:$B,$B129,Datos_items!$AA:$AA,AE$4,Datos_items!$E:$E,Analisis_grupo!$C$4))</f>
        <v/>
      </c>
      <c r="AF129" s="2" t="str">
        <f aca="false">IF($B129="","",COUNTIFS(Datos_items!$B:$B,$B129,Datos_items!$AA:$AA,AF$4,Datos_items!$E:$E,Analisis_grupo!$C$4))</f>
        <v/>
      </c>
      <c r="AG129" s="2" t="str">
        <f aca="false">IF($B129="","",COUNTIFS(Datos_items!$B:$B,$B129,Datos_items!$AA:$AA,AG$4,Datos_items!$E:$E,Analisis_grupo!$C$4))</f>
        <v/>
      </c>
      <c r="AH129" s="2" t="str">
        <f aca="false">IF($B129="","",COUNTIFS(Datos_items!$B:$B,$B129,Datos_items!$AA:$AA,AH$4,Datos_items!$E:$E,Analisis_grupo!$C$4))</f>
        <v/>
      </c>
      <c r="AI129" s="2" t="str">
        <f aca="false">IF($B129="","",COUNTIFS(Datos_items!$B:$B,$B129,Datos_items!$AA:$AA,AI$4,Datos_items!$E:$E,Analisis_grupo!$C$4))</f>
        <v/>
      </c>
      <c r="AJ129" s="2" t="str">
        <f aca="false">IF($B129="","",COUNTIFS(Datos_items!$B:$B,$B129,Datos_items!$AA:$AA,AJ$4,Datos_items!$E:$E,Analisis_grupo!$C$4))</f>
        <v/>
      </c>
      <c r="AK129" s="2" t="str">
        <f aca="false">IF($B129="","",COUNTIFS(Datos_items!$B:$B,$B129,Datos_items!$AA:$AA,AK$4,Datos_items!$E:$E,Analisis_grupo!$C$4))</f>
        <v/>
      </c>
      <c r="AL129" s="2" t="str">
        <f aca="false">IF($B129="","",COUNTIFS(Datos_items!$B:$B,$B129,Datos_items!$AA:$AA,AL$4,Datos_items!$E:$E,Analisis_grupo!$C$4))</f>
        <v/>
      </c>
      <c r="AM129" s="2" t="str">
        <f aca="false">IF($B129="","",IF(MAX(Y129:AL129)=0,"",INDEX($Y$4:$AL$4,MATCH(MAX(Y129:AL129),Y129:AL129,0))))</f>
        <v/>
      </c>
      <c r="AN129" s="2" t="str">
        <f aca="false">IF($B129="","",COUNTIFS(Datos_problemas!$B:$B,$B129,Datos_problemas!$F:$F,"Práctica"))</f>
        <v/>
      </c>
      <c r="AO129" s="2" t="str">
        <f aca="false">IF($B129="","",SUMIFS(Datos_problemas!$AQ:$AQ,Datos_problemas!$B:$B,$B129,Datos_problemas!$F:$F,"Práctica"))</f>
        <v/>
      </c>
      <c r="AP129" s="2" t="str">
        <f aca="false">IF($B129="","",COUNTIFS(Datos_problemas!$B:$B,$B129,Datos_problemas!$F:$F,"Práctica",Datos_problemas!$AS:$AS,"Sí"))</f>
        <v/>
      </c>
    </row>
    <row r="130" customFormat="false" ht="15" hidden="false" customHeight="false" outlineLevel="0" collapsed="false">
      <c r="A130" s="2" t="n">
        <v>126</v>
      </c>
      <c r="B130" s="2" t="str">
        <f aca="false">IFERROR(INDEX(Datos_problemas!$B:$B,MATCH($A130,Datos_problemas!$AV:$AV,0)),"")</f>
        <v/>
      </c>
      <c r="C130" s="2" t="str">
        <f aca="false">IF($B130="","",INDEX(Datos_problemas!$C:$C,MATCH($A130,Datos_problemas!$AV:$AV,0)))</f>
        <v/>
      </c>
      <c r="D130" s="2" t="str">
        <f aca="false">IF($B130="","",INDEX(Datos_problemas!$D:$D,MATCH($A130,Datos_problemas!$AV:$AV,0)))</f>
        <v/>
      </c>
      <c r="E130" s="2" t="str">
        <f aca="false">IF($B130="","",COUNTIFS(Datos_problemas!$B:$B,$B130,Datos_problemas!$F:$F,"Evaluación"))</f>
        <v/>
      </c>
      <c r="F130" s="20" t="str">
        <f aca="false">IF($B130="","",IFERROR(AVERAGEIFS(Datos_problemas!$AE:$AE,Datos_problemas!$B:$B,$B130,Datos_problemas!$F:$F,"Evaluación"),""))</f>
        <v/>
      </c>
      <c r="G130" s="20" t="str">
        <f aca="false">IF($B130="","",IFERROR(AVERAGEIFS(Datos_problemas!$AE:$AE,Datos_problemas!$B:$B,$B130,Datos_problemas!$F:$F,"Evaluación",Datos_problemas!$E:$E,"Diagnóstico"),""))</f>
        <v/>
      </c>
      <c r="H130" s="20" t="str">
        <f aca="false">IF($B130="","",IFERROR(AVERAGEIFS(Datos_problemas!$AE:$AE,Datos_problemas!$B:$B,$B130,Datos_problemas!$F:$F,"Evaluación",Datos_problemas!$E:$E,"Final"),""))</f>
        <v/>
      </c>
      <c r="I130" s="21" t="str">
        <f aca="false">IF(OR(G130="",H130=""),"",IF(G130&gt;=10,"",(H130-G130)/(10-G130)))</f>
        <v/>
      </c>
      <c r="J130" s="18" t="str">
        <f aca="false">IF($B130="","",IFERROR(SUMIFS(Datos_items!$Z:$Z,Datos_items!$B:$B,$B130,Datos_items!$O:$O,J$4,Datos_items!$E:$E,Analisis_grupo!$C$4)/COUNTIFS(Datos_items!$B:$B,$B130,Datos_items!$O:$O,J$4,Datos_items!$E:$E,Analisis_grupo!$C$4),""))</f>
        <v/>
      </c>
      <c r="K130" s="18" t="str">
        <f aca="false">IF($B130="","",IFERROR(SUMIFS(Datos_items!$Z:$Z,Datos_items!$B:$B,$B130,Datos_items!$O:$O,K$4,Datos_items!$E:$E,Analisis_grupo!$C$4)/COUNTIFS(Datos_items!$B:$B,$B130,Datos_items!$O:$O,K$4,Datos_items!$E:$E,Analisis_grupo!$C$4),""))</f>
        <v/>
      </c>
      <c r="L130" s="18" t="str">
        <f aca="false">IF($B130="","",IFERROR(SUMIFS(Datos_items!$Z:$Z,Datos_items!$B:$B,$B130,Datos_items!$O:$O,L$4,Datos_items!$E:$E,Analisis_grupo!$C$4)/COUNTIFS(Datos_items!$B:$B,$B130,Datos_items!$O:$O,L$4,Datos_items!$E:$E,Analisis_grupo!$C$4),""))</f>
        <v/>
      </c>
      <c r="M130" s="18" t="str">
        <f aca="false">IF($B130="","",IFERROR(SUMIFS(Datos_items!$Z:$Z,Datos_items!$B:$B,$B130,Datos_items!$O:$O,M$4,Datos_items!$E:$E,Analisis_grupo!$C$4)/COUNTIFS(Datos_items!$B:$B,$B130,Datos_items!$O:$O,M$4,Datos_items!$E:$E,Analisis_grupo!$C$4),""))</f>
        <v/>
      </c>
      <c r="N130" s="18" t="str">
        <f aca="false">IF($B130="","",IFERROR(SUMIFS(Datos_items!$Z:$Z,Datos_items!$B:$B,$B130,Datos_items!$O:$O,N$4,Datos_items!$E:$E,Analisis_grupo!$C$4)/COUNTIFS(Datos_items!$B:$B,$B130,Datos_items!$O:$O,N$4,Datos_items!$E:$E,Analisis_grupo!$C$4),""))</f>
        <v/>
      </c>
      <c r="O130" s="18" t="str">
        <f aca="false">IF($B130="","",IFERROR(SUMIFS(Datos_items!$Z:$Z,Datos_items!$B:$B,$B130,Datos_items!$O:$O,O$4,Datos_items!$E:$E,Analisis_grupo!$C$4)/COUNTIFS(Datos_items!$B:$B,$B130,Datos_items!$O:$O,O$4,Datos_items!$E:$E,Analisis_grupo!$C$4),""))</f>
        <v/>
      </c>
      <c r="P130" s="18" t="str">
        <f aca="false">IF($B130="","",IFERROR(SUMIFS(Datos_items!$Z:$Z,Datos_items!$B:$B,$B130,Datos_items!$O:$O,P$4,Datos_items!$E:$E,Analisis_grupo!$C$4)/COUNTIFS(Datos_items!$B:$B,$B130,Datos_items!$O:$O,P$4,Datos_items!$E:$E,Analisis_grupo!$C$4),""))</f>
        <v/>
      </c>
      <c r="Q130" s="18" t="str">
        <f aca="false">IF($B130="","",IFERROR(SUMIFS(Datos_items!$Z:$Z,Datos_items!$B:$B,$B130,Datos_items!$O:$O,Q$4,Datos_items!$E:$E,Analisis_grupo!$C$4)/COUNTIFS(Datos_items!$B:$B,$B130,Datos_items!$O:$O,Q$4,Datos_items!$E:$E,Analisis_grupo!$C$4),""))</f>
        <v/>
      </c>
      <c r="R130" s="2" t="str">
        <f aca="false">IF(COUNT(J130:Q130)=0,"",IF(MIN(J130:Q130)&gt;=Analisis_grupo!$B$7,"(ninguna)",INDEX($J$4:$Q$4,MATCH(MIN(J130:Q130),J130:Q130,0))))</f>
        <v/>
      </c>
      <c r="S130" s="2" t="str">
        <f aca="false">IF($B130="","",COUNTIF(J130:Q130,"&lt;"&amp;Analisis_grupo!$B$7))</f>
        <v/>
      </c>
      <c r="T130" s="2" t="str">
        <f aca="false">IF($B130="","",COUNTIFS(Datos_items!$B:$B,$B130,Datos_items!$AA:$AA,T$4,Datos_items!$E:$E,Analisis_grupo!$C$4))</f>
        <v/>
      </c>
      <c r="U130" s="2" t="str">
        <f aca="false">IF($B130="","",COUNTIFS(Datos_items!$B:$B,$B130,Datos_items!$AA:$AA,U$4,Datos_items!$E:$E,Analisis_grupo!$C$4))</f>
        <v/>
      </c>
      <c r="V130" s="2" t="str">
        <f aca="false">IF($B130="","",COUNTIFS(Datos_items!$B:$B,$B130,Datos_items!$AA:$AA,V$4,Datos_items!$E:$E,Analisis_grupo!$C$4))</f>
        <v/>
      </c>
      <c r="W130" s="2" t="str">
        <f aca="false">IF($B130="","",COUNTIFS(Datos_items!$B:$B,$B130,Datos_items!$AA:$AA,W$4,Datos_items!$E:$E,Analisis_grupo!$C$4))</f>
        <v/>
      </c>
      <c r="X130" s="2" t="str">
        <f aca="false">IF($B130="","",COUNTIFS(Datos_items!$B:$B,$B130,Datos_items!$AA:$AA,X$4,Datos_items!$E:$E,Analisis_grupo!$C$4))</f>
        <v/>
      </c>
      <c r="Y130" s="2" t="str">
        <f aca="false">IF($B130="","",COUNTIFS(Datos_items!$B:$B,$B130,Datos_items!$AA:$AA,Y$4,Datos_items!$E:$E,Analisis_grupo!$C$4))</f>
        <v/>
      </c>
      <c r="Z130" s="2" t="str">
        <f aca="false">IF($B130="","",COUNTIFS(Datos_items!$B:$B,$B130,Datos_items!$AA:$AA,Z$4,Datos_items!$E:$E,Analisis_grupo!$C$4))</f>
        <v/>
      </c>
      <c r="AA130" s="2" t="str">
        <f aca="false">IF($B130="","",COUNTIFS(Datos_items!$B:$B,$B130,Datos_items!$AA:$AA,AA$4,Datos_items!$E:$E,Analisis_grupo!$C$4))</f>
        <v/>
      </c>
      <c r="AB130" s="2" t="str">
        <f aca="false">IF($B130="","",COUNTIFS(Datos_items!$B:$B,$B130,Datos_items!$AA:$AA,AB$4,Datos_items!$E:$E,Analisis_grupo!$C$4))</f>
        <v/>
      </c>
      <c r="AC130" s="2" t="str">
        <f aca="false">IF($B130="","",COUNTIFS(Datos_items!$B:$B,$B130,Datos_items!$AA:$AA,AC$4,Datos_items!$E:$E,Analisis_grupo!$C$4))</f>
        <v/>
      </c>
      <c r="AD130" s="2" t="str">
        <f aca="false">IF($B130="","",COUNTIFS(Datos_items!$B:$B,$B130,Datos_items!$AA:$AA,AD$4,Datos_items!$E:$E,Analisis_grupo!$C$4))</f>
        <v/>
      </c>
      <c r="AE130" s="2" t="str">
        <f aca="false">IF($B130="","",COUNTIFS(Datos_items!$B:$B,$B130,Datos_items!$AA:$AA,AE$4,Datos_items!$E:$E,Analisis_grupo!$C$4))</f>
        <v/>
      </c>
      <c r="AF130" s="2" t="str">
        <f aca="false">IF($B130="","",COUNTIFS(Datos_items!$B:$B,$B130,Datos_items!$AA:$AA,AF$4,Datos_items!$E:$E,Analisis_grupo!$C$4))</f>
        <v/>
      </c>
      <c r="AG130" s="2" t="str">
        <f aca="false">IF($B130="","",COUNTIFS(Datos_items!$B:$B,$B130,Datos_items!$AA:$AA,AG$4,Datos_items!$E:$E,Analisis_grupo!$C$4))</f>
        <v/>
      </c>
      <c r="AH130" s="2" t="str">
        <f aca="false">IF($B130="","",COUNTIFS(Datos_items!$B:$B,$B130,Datos_items!$AA:$AA,AH$4,Datos_items!$E:$E,Analisis_grupo!$C$4))</f>
        <v/>
      </c>
      <c r="AI130" s="2" t="str">
        <f aca="false">IF($B130="","",COUNTIFS(Datos_items!$B:$B,$B130,Datos_items!$AA:$AA,AI$4,Datos_items!$E:$E,Analisis_grupo!$C$4))</f>
        <v/>
      </c>
      <c r="AJ130" s="2" t="str">
        <f aca="false">IF($B130="","",COUNTIFS(Datos_items!$B:$B,$B130,Datos_items!$AA:$AA,AJ$4,Datos_items!$E:$E,Analisis_grupo!$C$4))</f>
        <v/>
      </c>
      <c r="AK130" s="2" t="str">
        <f aca="false">IF($B130="","",COUNTIFS(Datos_items!$B:$B,$B130,Datos_items!$AA:$AA,AK$4,Datos_items!$E:$E,Analisis_grupo!$C$4))</f>
        <v/>
      </c>
      <c r="AL130" s="2" t="str">
        <f aca="false">IF($B130="","",COUNTIFS(Datos_items!$B:$B,$B130,Datos_items!$AA:$AA,AL$4,Datos_items!$E:$E,Analisis_grupo!$C$4))</f>
        <v/>
      </c>
      <c r="AM130" s="2" t="str">
        <f aca="false">IF($B130="","",IF(MAX(Y130:AL130)=0,"",INDEX($Y$4:$AL$4,MATCH(MAX(Y130:AL130),Y130:AL130,0))))</f>
        <v/>
      </c>
      <c r="AN130" s="2" t="str">
        <f aca="false">IF($B130="","",COUNTIFS(Datos_problemas!$B:$B,$B130,Datos_problemas!$F:$F,"Práctica"))</f>
        <v/>
      </c>
      <c r="AO130" s="2" t="str">
        <f aca="false">IF($B130="","",SUMIFS(Datos_problemas!$AQ:$AQ,Datos_problemas!$B:$B,$B130,Datos_problemas!$F:$F,"Práctica"))</f>
        <v/>
      </c>
      <c r="AP130" s="2" t="str">
        <f aca="false">IF($B130="","",COUNTIFS(Datos_problemas!$B:$B,$B130,Datos_problemas!$F:$F,"Práctica",Datos_problemas!$AS:$AS,"Sí"))</f>
        <v/>
      </c>
    </row>
    <row r="131" customFormat="false" ht="15" hidden="false" customHeight="false" outlineLevel="0" collapsed="false">
      <c r="A131" s="2" t="n">
        <v>127</v>
      </c>
      <c r="B131" s="2" t="str">
        <f aca="false">IFERROR(INDEX(Datos_problemas!$B:$B,MATCH($A131,Datos_problemas!$AV:$AV,0)),"")</f>
        <v/>
      </c>
      <c r="C131" s="2" t="str">
        <f aca="false">IF($B131="","",INDEX(Datos_problemas!$C:$C,MATCH($A131,Datos_problemas!$AV:$AV,0)))</f>
        <v/>
      </c>
      <c r="D131" s="2" t="str">
        <f aca="false">IF($B131="","",INDEX(Datos_problemas!$D:$D,MATCH($A131,Datos_problemas!$AV:$AV,0)))</f>
        <v/>
      </c>
      <c r="E131" s="2" t="str">
        <f aca="false">IF($B131="","",COUNTIFS(Datos_problemas!$B:$B,$B131,Datos_problemas!$F:$F,"Evaluación"))</f>
        <v/>
      </c>
      <c r="F131" s="20" t="str">
        <f aca="false">IF($B131="","",IFERROR(AVERAGEIFS(Datos_problemas!$AE:$AE,Datos_problemas!$B:$B,$B131,Datos_problemas!$F:$F,"Evaluación"),""))</f>
        <v/>
      </c>
      <c r="G131" s="20" t="str">
        <f aca="false">IF($B131="","",IFERROR(AVERAGEIFS(Datos_problemas!$AE:$AE,Datos_problemas!$B:$B,$B131,Datos_problemas!$F:$F,"Evaluación",Datos_problemas!$E:$E,"Diagnóstico"),""))</f>
        <v/>
      </c>
      <c r="H131" s="20" t="str">
        <f aca="false">IF($B131="","",IFERROR(AVERAGEIFS(Datos_problemas!$AE:$AE,Datos_problemas!$B:$B,$B131,Datos_problemas!$F:$F,"Evaluación",Datos_problemas!$E:$E,"Final"),""))</f>
        <v/>
      </c>
      <c r="I131" s="21" t="str">
        <f aca="false">IF(OR(G131="",H131=""),"",IF(G131&gt;=10,"",(H131-G131)/(10-G131)))</f>
        <v/>
      </c>
      <c r="J131" s="18" t="str">
        <f aca="false">IF($B131="","",IFERROR(SUMIFS(Datos_items!$Z:$Z,Datos_items!$B:$B,$B131,Datos_items!$O:$O,J$4,Datos_items!$E:$E,Analisis_grupo!$C$4)/COUNTIFS(Datos_items!$B:$B,$B131,Datos_items!$O:$O,J$4,Datos_items!$E:$E,Analisis_grupo!$C$4),""))</f>
        <v/>
      </c>
      <c r="K131" s="18" t="str">
        <f aca="false">IF($B131="","",IFERROR(SUMIFS(Datos_items!$Z:$Z,Datos_items!$B:$B,$B131,Datos_items!$O:$O,K$4,Datos_items!$E:$E,Analisis_grupo!$C$4)/COUNTIFS(Datos_items!$B:$B,$B131,Datos_items!$O:$O,K$4,Datos_items!$E:$E,Analisis_grupo!$C$4),""))</f>
        <v/>
      </c>
      <c r="L131" s="18" t="str">
        <f aca="false">IF($B131="","",IFERROR(SUMIFS(Datos_items!$Z:$Z,Datos_items!$B:$B,$B131,Datos_items!$O:$O,L$4,Datos_items!$E:$E,Analisis_grupo!$C$4)/COUNTIFS(Datos_items!$B:$B,$B131,Datos_items!$O:$O,L$4,Datos_items!$E:$E,Analisis_grupo!$C$4),""))</f>
        <v/>
      </c>
      <c r="M131" s="18" t="str">
        <f aca="false">IF($B131="","",IFERROR(SUMIFS(Datos_items!$Z:$Z,Datos_items!$B:$B,$B131,Datos_items!$O:$O,M$4,Datos_items!$E:$E,Analisis_grupo!$C$4)/COUNTIFS(Datos_items!$B:$B,$B131,Datos_items!$O:$O,M$4,Datos_items!$E:$E,Analisis_grupo!$C$4),""))</f>
        <v/>
      </c>
      <c r="N131" s="18" t="str">
        <f aca="false">IF($B131="","",IFERROR(SUMIFS(Datos_items!$Z:$Z,Datos_items!$B:$B,$B131,Datos_items!$O:$O,N$4,Datos_items!$E:$E,Analisis_grupo!$C$4)/COUNTIFS(Datos_items!$B:$B,$B131,Datos_items!$O:$O,N$4,Datos_items!$E:$E,Analisis_grupo!$C$4),""))</f>
        <v/>
      </c>
      <c r="O131" s="18" t="str">
        <f aca="false">IF($B131="","",IFERROR(SUMIFS(Datos_items!$Z:$Z,Datos_items!$B:$B,$B131,Datos_items!$O:$O,O$4,Datos_items!$E:$E,Analisis_grupo!$C$4)/COUNTIFS(Datos_items!$B:$B,$B131,Datos_items!$O:$O,O$4,Datos_items!$E:$E,Analisis_grupo!$C$4),""))</f>
        <v/>
      </c>
      <c r="P131" s="18" t="str">
        <f aca="false">IF($B131="","",IFERROR(SUMIFS(Datos_items!$Z:$Z,Datos_items!$B:$B,$B131,Datos_items!$O:$O,P$4,Datos_items!$E:$E,Analisis_grupo!$C$4)/COUNTIFS(Datos_items!$B:$B,$B131,Datos_items!$O:$O,P$4,Datos_items!$E:$E,Analisis_grupo!$C$4),""))</f>
        <v/>
      </c>
      <c r="Q131" s="18" t="str">
        <f aca="false">IF($B131="","",IFERROR(SUMIFS(Datos_items!$Z:$Z,Datos_items!$B:$B,$B131,Datos_items!$O:$O,Q$4,Datos_items!$E:$E,Analisis_grupo!$C$4)/COUNTIFS(Datos_items!$B:$B,$B131,Datos_items!$O:$O,Q$4,Datos_items!$E:$E,Analisis_grupo!$C$4),""))</f>
        <v/>
      </c>
      <c r="R131" s="2" t="str">
        <f aca="false">IF(COUNT(J131:Q131)=0,"",IF(MIN(J131:Q131)&gt;=Analisis_grupo!$B$7,"(ninguna)",INDEX($J$4:$Q$4,MATCH(MIN(J131:Q131),J131:Q131,0))))</f>
        <v/>
      </c>
      <c r="S131" s="2" t="str">
        <f aca="false">IF($B131="","",COUNTIF(J131:Q131,"&lt;"&amp;Analisis_grupo!$B$7))</f>
        <v/>
      </c>
      <c r="T131" s="2" t="str">
        <f aca="false">IF($B131="","",COUNTIFS(Datos_items!$B:$B,$B131,Datos_items!$AA:$AA,T$4,Datos_items!$E:$E,Analisis_grupo!$C$4))</f>
        <v/>
      </c>
      <c r="U131" s="2" t="str">
        <f aca="false">IF($B131="","",COUNTIFS(Datos_items!$B:$B,$B131,Datos_items!$AA:$AA,U$4,Datos_items!$E:$E,Analisis_grupo!$C$4))</f>
        <v/>
      </c>
      <c r="V131" s="2" t="str">
        <f aca="false">IF($B131="","",COUNTIFS(Datos_items!$B:$B,$B131,Datos_items!$AA:$AA,V$4,Datos_items!$E:$E,Analisis_grupo!$C$4))</f>
        <v/>
      </c>
      <c r="W131" s="2" t="str">
        <f aca="false">IF($B131="","",COUNTIFS(Datos_items!$B:$B,$B131,Datos_items!$AA:$AA,W$4,Datos_items!$E:$E,Analisis_grupo!$C$4))</f>
        <v/>
      </c>
      <c r="X131" s="2" t="str">
        <f aca="false">IF($B131="","",COUNTIFS(Datos_items!$B:$B,$B131,Datos_items!$AA:$AA,X$4,Datos_items!$E:$E,Analisis_grupo!$C$4))</f>
        <v/>
      </c>
      <c r="Y131" s="2" t="str">
        <f aca="false">IF($B131="","",COUNTIFS(Datos_items!$B:$B,$B131,Datos_items!$AA:$AA,Y$4,Datos_items!$E:$E,Analisis_grupo!$C$4))</f>
        <v/>
      </c>
      <c r="Z131" s="2" t="str">
        <f aca="false">IF($B131="","",COUNTIFS(Datos_items!$B:$B,$B131,Datos_items!$AA:$AA,Z$4,Datos_items!$E:$E,Analisis_grupo!$C$4))</f>
        <v/>
      </c>
      <c r="AA131" s="2" t="str">
        <f aca="false">IF($B131="","",COUNTIFS(Datos_items!$B:$B,$B131,Datos_items!$AA:$AA,AA$4,Datos_items!$E:$E,Analisis_grupo!$C$4))</f>
        <v/>
      </c>
      <c r="AB131" s="2" t="str">
        <f aca="false">IF($B131="","",COUNTIFS(Datos_items!$B:$B,$B131,Datos_items!$AA:$AA,AB$4,Datos_items!$E:$E,Analisis_grupo!$C$4))</f>
        <v/>
      </c>
      <c r="AC131" s="2" t="str">
        <f aca="false">IF($B131="","",COUNTIFS(Datos_items!$B:$B,$B131,Datos_items!$AA:$AA,AC$4,Datos_items!$E:$E,Analisis_grupo!$C$4))</f>
        <v/>
      </c>
      <c r="AD131" s="2" t="str">
        <f aca="false">IF($B131="","",COUNTIFS(Datos_items!$B:$B,$B131,Datos_items!$AA:$AA,AD$4,Datos_items!$E:$E,Analisis_grupo!$C$4))</f>
        <v/>
      </c>
      <c r="AE131" s="2" t="str">
        <f aca="false">IF($B131="","",COUNTIFS(Datos_items!$B:$B,$B131,Datos_items!$AA:$AA,AE$4,Datos_items!$E:$E,Analisis_grupo!$C$4))</f>
        <v/>
      </c>
      <c r="AF131" s="2" t="str">
        <f aca="false">IF($B131="","",COUNTIFS(Datos_items!$B:$B,$B131,Datos_items!$AA:$AA,AF$4,Datos_items!$E:$E,Analisis_grupo!$C$4))</f>
        <v/>
      </c>
      <c r="AG131" s="2" t="str">
        <f aca="false">IF($B131="","",COUNTIFS(Datos_items!$B:$B,$B131,Datos_items!$AA:$AA,AG$4,Datos_items!$E:$E,Analisis_grupo!$C$4))</f>
        <v/>
      </c>
      <c r="AH131" s="2" t="str">
        <f aca="false">IF($B131="","",COUNTIFS(Datos_items!$B:$B,$B131,Datos_items!$AA:$AA,AH$4,Datos_items!$E:$E,Analisis_grupo!$C$4))</f>
        <v/>
      </c>
      <c r="AI131" s="2" t="str">
        <f aca="false">IF($B131="","",COUNTIFS(Datos_items!$B:$B,$B131,Datos_items!$AA:$AA,AI$4,Datos_items!$E:$E,Analisis_grupo!$C$4))</f>
        <v/>
      </c>
      <c r="AJ131" s="2" t="str">
        <f aca="false">IF($B131="","",COUNTIFS(Datos_items!$B:$B,$B131,Datos_items!$AA:$AA,AJ$4,Datos_items!$E:$E,Analisis_grupo!$C$4))</f>
        <v/>
      </c>
      <c r="AK131" s="2" t="str">
        <f aca="false">IF($B131="","",COUNTIFS(Datos_items!$B:$B,$B131,Datos_items!$AA:$AA,AK$4,Datos_items!$E:$E,Analisis_grupo!$C$4))</f>
        <v/>
      </c>
      <c r="AL131" s="2" t="str">
        <f aca="false">IF($B131="","",COUNTIFS(Datos_items!$B:$B,$B131,Datos_items!$AA:$AA,AL$4,Datos_items!$E:$E,Analisis_grupo!$C$4))</f>
        <v/>
      </c>
      <c r="AM131" s="2" t="str">
        <f aca="false">IF($B131="","",IF(MAX(Y131:AL131)=0,"",INDEX($Y$4:$AL$4,MATCH(MAX(Y131:AL131),Y131:AL131,0))))</f>
        <v/>
      </c>
      <c r="AN131" s="2" t="str">
        <f aca="false">IF($B131="","",COUNTIFS(Datos_problemas!$B:$B,$B131,Datos_problemas!$F:$F,"Práctica"))</f>
        <v/>
      </c>
      <c r="AO131" s="2" t="str">
        <f aca="false">IF($B131="","",SUMIFS(Datos_problemas!$AQ:$AQ,Datos_problemas!$B:$B,$B131,Datos_problemas!$F:$F,"Práctica"))</f>
        <v/>
      </c>
      <c r="AP131" s="2" t="str">
        <f aca="false">IF($B131="","",COUNTIFS(Datos_problemas!$B:$B,$B131,Datos_problemas!$F:$F,"Práctica",Datos_problemas!$AS:$AS,"Sí"))</f>
        <v/>
      </c>
    </row>
    <row r="132" customFormat="false" ht="15" hidden="false" customHeight="false" outlineLevel="0" collapsed="false">
      <c r="A132" s="2" t="n">
        <v>128</v>
      </c>
      <c r="B132" s="2" t="str">
        <f aca="false">IFERROR(INDEX(Datos_problemas!$B:$B,MATCH($A132,Datos_problemas!$AV:$AV,0)),"")</f>
        <v/>
      </c>
      <c r="C132" s="2" t="str">
        <f aca="false">IF($B132="","",INDEX(Datos_problemas!$C:$C,MATCH($A132,Datos_problemas!$AV:$AV,0)))</f>
        <v/>
      </c>
      <c r="D132" s="2" t="str">
        <f aca="false">IF($B132="","",INDEX(Datos_problemas!$D:$D,MATCH($A132,Datos_problemas!$AV:$AV,0)))</f>
        <v/>
      </c>
      <c r="E132" s="2" t="str">
        <f aca="false">IF($B132="","",COUNTIFS(Datos_problemas!$B:$B,$B132,Datos_problemas!$F:$F,"Evaluación"))</f>
        <v/>
      </c>
      <c r="F132" s="20" t="str">
        <f aca="false">IF($B132="","",IFERROR(AVERAGEIFS(Datos_problemas!$AE:$AE,Datos_problemas!$B:$B,$B132,Datos_problemas!$F:$F,"Evaluación"),""))</f>
        <v/>
      </c>
      <c r="G132" s="20" t="str">
        <f aca="false">IF($B132="","",IFERROR(AVERAGEIFS(Datos_problemas!$AE:$AE,Datos_problemas!$B:$B,$B132,Datos_problemas!$F:$F,"Evaluación",Datos_problemas!$E:$E,"Diagnóstico"),""))</f>
        <v/>
      </c>
      <c r="H132" s="20" t="str">
        <f aca="false">IF($B132="","",IFERROR(AVERAGEIFS(Datos_problemas!$AE:$AE,Datos_problemas!$B:$B,$B132,Datos_problemas!$F:$F,"Evaluación",Datos_problemas!$E:$E,"Final"),""))</f>
        <v/>
      </c>
      <c r="I132" s="21" t="str">
        <f aca="false">IF(OR(G132="",H132=""),"",IF(G132&gt;=10,"",(H132-G132)/(10-G132)))</f>
        <v/>
      </c>
      <c r="J132" s="18" t="str">
        <f aca="false">IF($B132="","",IFERROR(SUMIFS(Datos_items!$Z:$Z,Datos_items!$B:$B,$B132,Datos_items!$O:$O,J$4,Datos_items!$E:$E,Analisis_grupo!$C$4)/COUNTIFS(Datos_items!$B:$B,$B132,Datos_items!$O:$O,J$4,Datos_items!$E:$E,Analisis_grupo!$C$4),""))</f>
        <v/>
      </c>
      <c r="K132" s="18" t="str">
        <f aca="false">IF($B132="","",IFERROR(SUMIFS(Datos_items!$Z:$Z,Datos_items!$B:$B,$B132,Datos_items!$O:$O,K$4,Datos_items!$E:$E,Analisis_grupo!$C$4)/COUNTIFS(Datos_items!$B:$B,$B132,Datos_items!$O:$O,K$4,Datos_items!$E:$E,Analisis_grupo!$C$4),""))</f>
        <v/>
      </c>
      <c r="L132" s="18" t="str">
        <f aca="false">IF($B132="","",IFERROR(SUMIFS(Datos_items!$Z:$Z,Datos_items!$B:$B,$B132,Datos_items!$O:$O,L$4,Datos_items!$E:$E,Analisis_grupo!$C$4)/COUNTIFS(Datos_items!$B:$B,$B132,Datos_items!$O:$O,L$4,Datos_items!$E:$E,Analisis_grupo!$C$4),""))</f>
        <v/>
      </c>
      <c r="M132" s="18" t="str">
        <f aca="false">IF($B132="","",IFERROR(SUMIFS(Datos_items!$Z:$Z,Datos_items!$B:$B,$B132,Datos_items!$O:$O,M$4,Datos_items!$E:$E,Analisis_grupo!$C$4)/COUNTIFS(Datos_items!$B:$B,$B132,Datos_items!$O:$O,M$4,Datos_items!$E:$E,Analisis_grupo!$C$4),""))</f>
        <v/>
      </c>
      <c r="N132" s="18" t="str">
        <f aca="false">IF($B132="","",IFERROR(SUMIFS(Datos_items!$Z:$Z,Datos_items!$B:$B,$B132,Datos_items!$O:$O,N$4,Datos_items!$E:$E,Analisis_grupo!$C$4)/COUNTIFS(Datos_items!$B:$B,$B132,Datos_items!$O:$O,N$4,Datos_items!$E:$E,Analisis_grupo!$C$4),""))</f>
        <v/>
      </c>
      <c r="O132" s="18" t="str">
        <f aca="false">IF($B132="","",IFERROR(SUMIFS(Datos_items!$Z:$Z,Datos_items!$B:$B,$B132,Datos_items!$O:$O,O$4,Datos_items!$E:$E,Analisis_grupo!$C$4)/COUNTIFS(Datos_items!$B:$B,$B132,Datos_items!$O:$O,O$4,Datos_items!$E:$E,Analisis_grupo!$C$4),""))</f>
        <v/>
      </c>
      <c r="P132" s="18" t="str">
        <f aca="false">IF($B132="","",IFERROR(SUMIFS(Datos_items!$Z:$Z,Datos_items!$B:$B,$B132,Datos_items!$O:$O,P$4,Datos_items!$E:$E,Analisis_grupo!$C$4)/COUNTIFS(Datos_items!$B:$B,$B132,Datos_items!$O:$O,P$4,Datos_items!$E:$E,Analisis_grupo!$C$4),""))</f>
        <v/>
      </c>
      <c r="Q132" s="18" t="str">
        <f aca="false">IF($B132="","",IFERROR(SUMIFS(Datos_items!$Z:$Z,Datos_items!$B:$B,$B132,Datos_items!$O:$O,Q$4,Datos_items!$E:$E,Analisis_grupo!$C$4)/COUNTIFS(Datos_items!$B:$B,$B132,Datos_items!$O:$O,Q$4,Datos_items!$E:$E,Analisis_grupo!$C$4),""))</f>
        <v/>
      </c>
      <c r="R132" s="2" t="str">
        <f aca="false">IF(COUNT(J132:Q132)=0,"",IF(MIN(J132:Q132)&gt;=Analisis_grupo!$B$7,"(ninguna)",INDEX($J$4:$Q$4,MATCH(MIN(J132:Q132),J132:Q132,0))))</f>
        <v/>
      </c>
      <c r="S132" s="2" t="str">
        <f aca="false">IF($B132="","",COUNTIF(J132:Q132,"&lt;"&amp;Analisis_grupo!$B$7))</f>
        <v/>
      </c>
      <c r="T132" s="2" t="str">
        <f aca="false">IF($B132="","",COUNTIFS(Datos_items!$B:$B,$B132,Datos_items!$AA:$AA,T$4,Datos_items!$E:$E,Analisis_grupo!$C$4))</f>
        <v/>
      </c>
      <c r="U132" s="2" t="str">
        <f aca="false">IF($B132="","",COUNTIFS(Datos_items!$B:$B,$B132,Datos_items!$AA:$AA,U$4,Datos_items!$E:$E,Analisis_grupo!$C$4))</f>
        <v/>
      </c>
      <c r="V132" s="2" t="str">
        <f aca="false">IF($B132="","",COUNTIFS(Datos_items!$B:$B,$B132,Datos_items!$AA:$AA,V$4,Datos_items!$E:$E,Analisis_grupo!$C$4))</f>
        <v/>
      </c>
      <c r="W132" s="2" t="str">
        <f aca="false">IF($B132="","",COUNTIFS(Datos_items!$B:$B,$B132,Datos_items!$AA:$AA,W$4,Datos_items!$E:$E,Analisis_grupo!$C$4))</f>
        <v/>
      </c>
      <c r="X132" s="2" t="str">
        <f aca="false">IF($B132="","",COUNTIFS(Datos_items!$B:$B,$B132,Datos_items!$AA:$AA,X$4,Datos_items!$E:$E,Analisis_grupo!$C$4))</f>
        <v/>
      </c>
      <c r="Y132" s="2" t="str">
        <f aca="false">IF($B132="","",COUNTIFS(Datos_items!$B:$B,$B132,Datos_items!$AA:$AA,Y$4,Datos_items!$E:$E,Analisis_grupo!$C$4))</f>
        <v/>
      </c>
      <c r="Z132" s="2" t="str">
        <f aca="false">IF($B132="","",COUNTIFS(Datos_items!$B:$B,$B132,Datos_items!$AA:$AA,Z$4,Datos_items!$E:$E,Analisis_grupo!$C$4))</f>
        <v/>
      </c>
      <c r="AA132" s="2" t="str">
        <f aca="false">IF($B132="","",COUNTIFS(Datos_items!$B:$B,$B132,Datos_items!$AA:$AA,AA$4,Datos_items!$E:$E,Analisis_grupo!$C$4))</f>
        <v/>
      </c>
      <c r="AB132" s="2" t="str">
        <f aca="false">IF($B132="","",COUNTIFS(Datos_items!$B:$B,$B132,Datos_items!$AA:$AA,AB$4,Datos_items!$E:$E,Analisis_grupo!$C$4))</f>
        <v/>
      </c>
      <c r="AC132" s="2" t="str">
        <f aca="false">IF($B132="","",COUNTIFS(Datos_items!$B:$B,$B132,Datos_items!$AA:$AA,AC$4,Datos_items!$E:$E,Analisis_grupo!$C$4))</f>
        <v/>
      </c>
      <c r="AD132" s="2" t="str">
        <f aca="false">IF($B132="","",COUNTIFS(Datos_items!$B:$B,$B132,Datos_items!$AA:$AA,AD$4,Datos_items!$E:$E,Analisis_grupo!$C$4))</f>
        <v/>
      </c>
      <c r="AE132" s="2" t="str">
        <f aca="false">IF($B132="","",COUNTIFS(Datos_items!$B:$B,$B132,Datos_items!$AA:$AA,AE$4,Datos_items!$E:$E,Analisis_grupo!$C$4))</f>
        <v/>
      </c>
      <c r="AF132" s="2" t="str">
        <f aca="false">IF($B132="","",COUNTIFS(Datos_items!$B:$B,$B132,Datos_items!$AA:$AA,AF$4,Datos_items!$E:$E,Analisis_grupo!$C$4))</f>
        <v/>
      </c>
      <c r="AG132" s="2" t="str">
        <f aca="false">IF($B132="","",COUNTIFS(Datos_items!$B:$B,$B132,Datos_items!$AA:$AA,AG$4,Datos_items!$E:$E,Analisis_grupo!$C$4))</f>
        <v/>
      </c>
      <c r="AH132" s="2" t="str">
        <f aca="false">IF($B132="","",COUNTIFS(Datos_items!$B:$B,$B132,Datos_items!$AA:$AA,AH$4,Datos_items!$E:$E,Analisis_grupo!$C$4))</f>
        <v/>
      </c>
      <c r="AI132" s="2" t="str">
        <f aca="false">IF($B132="","",COUNTIFS(Datos_items!$B:$B,$B132,Datos_items!$AA:$AA,AI$4,Datos_items!$E:$E,Analisis_grupo!$C$4))</f>
        <v/>
      </c>
      <c r="AJ132" s="2" t="str">
        <f aca="false">IF($B132="","",COUNTIFS(Datos_items!$B:$B,$B132,Datos_items!$AA:$AA,AJ$4,Datos_items!$E:$E,Analisis_grupo!$C$4))</f>
        <v/>
      </c>
      <c r="AK132" s="2" t="str">
        <f aca="false">IF($B132="","",COUNTIFS(Datos_items!$B:$B,$B132,Datos_items!$AA:$AA,AK$4,Datos_items!$E:$E,Analisis_grupo!$C$4))</f>
        <v/>
      </c>
      <c r="AL132" s="2" t="str">
        <f aca="false">IF($B132="","",COUNTIFS(Datos_items!$B:$B,$B132,Datos_items!$AA:$AA,AL$4,Datos_items!$E:$E,Analisis_grupo!$C$4))</f>
        <v/>
      </c>
      <c r="AM132" s="2" t="str">
        <f aca="false">IF($B132="","",IF(MAX(Y132:AL132)=0,"",INDEX($Y$4:$AL$4,MATCH(MAX(Y132:AL132),Y132:AL132,0))))</f>
        <v/>
      </c>
      <c r="AN132" s="2" t="str">
        <f aca="false">IF($B132="","",COUNTIFS(Datos_problemas!$B:$B,$B132,Datos_problemas!$F:$F,"Práctica"))</f>
        <v/>
      </c>
      <c r="AO132" s="2" t="str">
        <f aca="false">IF($B132="","",SUMIFS(Datos_problemas!$AQ:$AQ,Datos_problemas!$B:$B,$B132,Datos_problemas!$F:$F,"Práctica"))</f>
        <v/>
      </c>
      <c r="AP132" s="2" t="str">
        <f aca="false">IF($B132="","",COUNTIFS(Datos_problemas!$B:$B,$B132,Datos_problemas!$F:$F,"Práctica",Datos_problemas!$AS:$AS,"Sí"))</f>
        <v/>
      </c>
    </row>
    <row r="133" customFormat="false" ht="15" hidden="false" customHeight="false" outlineLevel="0" collapsed="false">
      <c r="A133" s="2" t="n">
        <v>129</v>
      </c>
      <c r="B133" s="2" t="str">
        <f aca="false">IFERROR(INDEX(Datos_problemas!$B:$B,MATCH($A133,Datos_problemas!$AV:$AV,0)),"")</f>
        <v/>
      </c>
      <c r="C133" s="2" t="str">
        <f aca="false">IF($B133="","",INDEX(Datos_problemas!$C:$C,MATCH($A133,Datos_problemas!$AV:$AV,0)))</f>
        <v/>
      </c>
      <c r="D133" s="2" t="str">
        <f aca="false">IF($B133="","",INDEX(Datos_problemas!$D:$D,MATCH($A133,Datos_problemas!$AV:$AV,0)))</f>
        <v/>
      </c>
      <c r="E133" s="2" t="str">
        <f aca="false">IF($B133="","",COUNTIFS(Datos_problemas!$B:$B,$B133,Datos_problemas!$F:$F,"Evaluación"))</f>
        <v/>
      </c>
      <c r="F133" s="20" t="str">
        <f aca="false">IF($B133="","",IFERROR(AVERAGEIFS(Datos_problemas!$AE:$AE,Datos_problemas!$B:$B,$B133,Datos_problemas!$F:$F,"Evaluación"),""))</f>
        <v/>
      </c>
      <c r="G133" s="20" t="str">
        <f aca="false">IF($B133="","",IFERROR(AVERAGEIFS(Datos_problemas!$AE:$AE,Datos_problemas!$B:$B,$B133,Datos_problemas!$F:$F,"Evaluación",Datos_problemas!$E:$E,"Diagnóstico"),""))</f>
        <v/>
      </c>
      <c r="H133" s="20" t="str">
        <f aca="false">IF($B133="","",IFERROR(AVERAGEIFS(Datos_problemas!$AE:$AE,Datos_problemas!$B:$B,$B133,Datos_problemas!$F:$F,"Evaluación",Datos_problemas!$E:$E,"Final"),""))</f>
        <v/>
      </c>
      <c r="I133" s="21" t="str">
        <f aca="false">IF(OR(G133="",H133=""),"",IF(G133&gt;=10,"",(H133-G133)/(10-G133)))</f>
        <v/>
      </c>
      <c r="J133" s="18" t="str">
        <f aca="false">IF($B133="","",IFERROR(SUMIFS(Datos_items!$Z:$Z,Datos_items!$B:$B,$B133,Datos_items!$O:$O,J$4,Datos_items!$E:$E,Analisis_grupo!$C$4)/COUNTIFS(Datos_items!$B:$B,$B133,Datos_items!$O:$O,J$4,Datos_items!$E:$E,Analisis_grupo!$C$4),""))</f>
        <v/>
      </c>
      <c r="K133" s="18" t="str">
        <f aca="false">IF($B133="","",IFERROR(SUMIFS(Datos_items!$Z:$Z,Datos_items!$B:$B,$B133,Datos_items!$O:$O,K$4,Datos_items!$E:$E,Analisis_grupo!$C$4)/COUNTIFS(Datos_items!$B:$B,$B133,Datos_items!$O:$O,K$4,Datos_items!$E:$E,Analisis_grupo!$C$4),""))</f>
        <v/>
      </c>
      <c r="L133" s="18" t="str">
        <f aca="false">IF($B133="","",IFERROR(SUMIFS(Datos_items!$Z:$Z,Datos_items!$B:$B,$B133,Datos_items!$O:$O,L$4,Datos_items!$E:$E,Analisis_grupo!$C$4)/COUNTIFS(Datos_items!$B:$B,$B133,Datos_items!$O:$O,L$4,Datos_items!$E:$E,Analisis_grupo!$C$4),""))</f>
        <v/>
      </c>
      <c r="M133" s="18" t="str">
        <f aca="false">IF($B133="","",IFERROR(SUMIFS(Datos_items!$Z:$Z,Datos_items!$B:$B,$B133,Datos_items!$O:$O,M$4,Datos_items!$E:$E,Analisis_grupo!$C$4)/COUNTIFS(Datos_items!$B:$B,$B133,Datos_items!$O:$O,M$4,Datos_items!$E:$E,Analisis_grupo!$C$4),""))</f>
        <v/>
      </c>
      <c r="N133" s="18" t="str">
        <f aca="false">IF($B133="","",IFERROR(SUMIFS(Datos_items!$Z:$Z,Datos_items!$B:$B,$B133,Datos_items!$O:$O,N$4,Datos_items!$E:$E,Analisis_grupo!$C$4)/COUNTIFS(Datos_items!$B:$B,$B133,Datos_items!$O:$O,N$4,Datos_items!$E:$E,Analisis_grupo!$C$4),""))</f>
        <v/>
      </c>
      <c r="O133" s="18" t="str">
        <f aca="false">IF($B133="","",IFERROR(SUMIFS(Datos_items!$Z:$Z,Datos_items!$B:$B,$B133,Datos_items!$O:$O,O$4,Datos_items!$E:$E,Analisis_grupo!$C$4)/COUNTIFS(Datos_items!$B:$B,$B133,Datos_items!$O:$O,O$4,Datos_items!$E:$E,Analisis_grupo!$C$4),""))</f>
        <v/>
      </c>
      <c r="P133" s="18" t="str">
        <f aca="false">IF($B133="","",IFERROR(SUMIFS(Datos_items!$Z:$Z,Datos_items!$B:$B,$B133,Datos_items!$O:$O,P$4,Datos_items!$E:$E,Analisis_grupo!$C$4)/COUNTIFS(Datos_items!$B:$B,$B133,Datos_items!$O:$O,P$4,Datos_items!$E:$E,Analisis_grupo!$C$4),""))</f>
        <v/>
      </c>
      <c r="Q133" s="18" t="str">
        <f aca="false">IF($B133="","",IFERROR(SUMIFS(Datos_items!$Z:$Z,Datos_items!$B:$B,$B133,Datos_items!$O:$O,Q$4,Datos_items!$E:$E,Analisis_grupo!$C$4)/COUNTIFS(Datos_items!$B:$B,$B133,Datos_items!$O:$O,Q$4,Datos_items!$E:$E,Analisis_grupo!$C$4),""))</f>
        <v/>
      </c>
      <c r="R133" s="2" t="str">
        <f aca="false">IF(COUNT(J133:Q133)=0,"",IF(MIN(J133:Q133)&gt;=Analisis_grupo!$B$7,"(ninguna)",INDEX($J$4:$Q$4,MATCH(MIN(J133:Q133),J133:Q133,0))))</f>
        <v/>
      </c>
      <c r="S133" s="2" t="str">
        <f aca="false">IF($B133="","",COUNTIF(J133:Q133,"&lt;"&amp;Analisis_grupo!$B$7))</f>
        <v/>
      </c>
      <c r="T133" s="2" t="str">
        <f aca="false">IF($B133="","",COUNTIFS(Datos_items!$B:$B,$B133,Datos_items!$AA:$AA,T$4,Datos_items!$E:$E,Analisis_grupo!$C$4))</f>
        <v/>
      </c>
      <c r="U133" s="2" t="str">
        <f aca="false">IF($B133="","",COUNTIFS(Datos_items!$B:$B,$B133,Datos_items!$AA:$AA,U$4,Datos_items!$E:$E,Analisis_grupo!$C$4))</f>
        <v/>
      </c>
      <c r="V133" s="2" t="str">
        <f aca="false">IF($B133="","",COUNTIFS(Datos_items!$B:$B,$B133,Datos_items!$AA:$AA,V$4,Datos_items!$E:$E,Analisis_grupo!$C$4))</f>
        <v/>
      </c>
      <c r="W133" s="2" t="str">
        <f aca="false">IF($B133="","",COUNTIFS(Datos_items!$B:$B,$B133,Datos_items!$AA:$AA,W$4,Datos_items!$E:$E,Analisis_grupo!$C$4))</f>
        <v/>
      </c>
      <c r="X133" s="2" t="str">
        <f aca="false">IF($B133="","",COUNTIFS(Datos_items!$B:$B,$B133,Datos_items!$AA:$AA,X$4,Datos_items!$E:$E,Analisis_grupo!$C$4))</f>
        <v/>
      </c>
      <c r="Y133" s="2" t="str">
        <f aca="false">IF($B133="","",COUNTIFS(Datos_items!$B:$B,$B133,Datos_items!$AA:$AA,Y$4,Datos_items!$E:$E,Analisis_grupo!$C$4))</f>
        <v/>
      </c>
      <c r="Z133" s="2" t="str">
        <f aca="false">IF($B133="","",COUNTIFS(Datos_items!$B:$B,$B133,Datos_items!$AA:$AA,Z$4,Datos_items!$E:$E,Analisis_grupo!$C$4))</f>
        <v/>
      </c>
      <c r="AA133" s="2" t="str">
        <f aca="false">IF($B133="","",COUNTIFS(Datos_items!$B:$B,$B133,Datos_items!$AA:$AA,AA$4,Datos_items!$E:$E,Analisis_grupo!$C$4))</f>
        <v/>
      </c>
      <c r="AB133" s="2" t="str">
        <f aca="false">IF($B133="","",COUNTIFS(Datos_items!$B:$B,$B133,Datos_items!$AA:$AA,AB$4,Datos_items!$E:$E,Analisis_grupo!$C$4))</f>
        <v/>
      </c>
      <c r="AC133" s="2" t="str">
        <f aca="false">IF($B133="","",COUNTIFS(Datos_items!$B:$B,$B133,Datos_items!$AA:$AA,AC$4,Datos_items!$E:$E,Analisis_grupo!$C$4))</f>
        <v/>
      </c>
      <c r="AD133" s="2" t="str">
        <f aca="false">IF($B133="","",COUNTIFS(Datos_items!$B:$B,$B133,Datos_items!$AA:$AA,AD$4,Datos_items!$E:$E,Analisis_grupo!$C$4))</f>
        <v/>
      </c>
      <c r="AE133" s="2" t="str">
        <f aca="false">IF($B133="","",COUNTIFS(Datos_items!$B:$B,$B133,Datos_items!$AA:$AA,AE$4,Datos_items!$E:$E,Analisis_grupo!$C$4))</f>
        <v/>
      </c>
      <c r="AF133" s="2" t="str">
        <f aca="false">IF($B133="","",COUNTIFS(Datos_items!$B:$B,$B133,Datos_items!$AA:$AA,AF$4,Datos_items!$E:$E,Analisis_grupo!$C$4))</f>
        <v/>
      </c>
      <c r="AG133" s="2" t="str">
        <f aca="false">IF($B133="","",COUNTIFS(Datos_items!$B:$B,$B133,Datos_items!$AA:$AA,AG$4,Datos_items!$E:$E,Analisis_grupo!$C$4))</f>
        <v/>
      </c>
      <c r="AH133" s="2" t="str">
        <f aca="false">IF($B133="","",COUNTIFS(Datos_items!$B:$B,$B133,Datos_items!$AA:$AA,AH$4,Datos_items!$E:$E,Analisis_grupo!$C$4))</f>
        <v/>
      </c>
      <c r="AI133" s="2" t="str">
        <f aca="false">IF($B133="","",COUNTIFS(Datos_items!$B:$B,$B133,Datos_items!$AA:$AA,AI$4,Datos_items!$E:$E,Analisis_grupo!$C$4))</f>
        <v/>
      </c>
      <c r="AJ133" s="2" t="str">
        <f aca="false">IF($B133="","",COUNTIFS(Datos_items!$B:$B,$B133,Datos_items!$AA:$AA,AJ$4,Datos_items!$E:$E,Analisis_grupo!$C$4))</f>
        <v/>
      </c>
      <c r="AK133" s="2" t="str">
        <f aca="false">IF($B133="","",COUNTIFS(Datos_items!$B:$B,$B133,Datos_items!$AA:$AA,AK$4,Datos_items!$E:$E,Analisis_grupo!$C$4))</f>
        <v/>
      </c>
      <c r="AL133" s="2" t="str">
        <f aca="false">IF($B133="","",COUNTIFS(Datos_items!$B:$B,$B133,Datos_items!$AA:$AA,AL$4,Datos_items!$E:$E,Analisis_grupo!$C$4))</f>
        <v/>
      </c>
      <c r="AM133" s="2" t="str">
        <f aca="false">IF($B133="","",IF(MAX(Y133:AL133)=0,"",INDEX($Y$4:$AL$4,MATCH(MAX(Y133:AL133),Y133:AL133,0))))</f>
        <v/>
      </c>
      <c r="AN133" s="2" t="str">
        <f aca="false">IF($B133="","",COUNTIFS(Datos_problemas!$B:$B,$B133,Datos_problemas!$F:$F,"Práctica"))</f>
        <v/>
      </c>
      <c r="AO133" s="2" t="str">
        <f aca="false">IF($B133="","",SUMIFS(Datos_problemas!$AQ:$AQ,Datos_problemas!$B:$B,$B133,Datos_problemas!$F:$F,"Práctica"))</f>
        <v/>
      </c>
      <c r="AP133" s="2" t="str">
        <f aca="false">IF($B133="","",COUNTIFS(Datos_problemas!$B:$B,$B133,Datos_problemas!$F:$F,"Práctica",Datos_problemas!$AS:$AS,"Sí"))</f>
        <v/>
      </c>
    </row>
    <row r="134" customFormat="false" ht="15" hidden="false" customHeight="false" outlineLevel="0" collapsed="false">
      <c r="A134" s="2" t="n">
        <v>130</v>
      </c>
      <c r="B134" s="2" t="str">
        <f aca="false">IFERROR(INDEX(Datos_problemas!$B:$B,MATCH($A134,Datos_problemas!$AV:$AV,0)),"")</f>
        <v/>
      </c>
      <c r="C134" s="2" t="str">
        <f aca="false">IF($B134="","",INDEX(Datos_problemas!$C:$C,MATCH($A134,Datos_problemas!$AV:$AV,0)))</f>
        <v/>
      </c>
      <c r="D134" s="2" t="str">
        <f aca="false">IF($B134="","",INDEX(Datos_problemas!$D:$D,MATCH($A134,Datos_problemas!$AV:$AV,0)))</f>
        <v/>
      </c>
      <c r="E134" s="2" t="str">
        <f aca="false">IF($B134="","",COUNTIFS(Datos_problemas!$B:$B,$B134,Datos_problemas!$F:$F,"Evaluación"))</f>
        <v/>
      </c>
      <c r="F134" s="20" t="str">
        <f aca="false">IF($B134="","",IFERROR(AVERAGEIFS(Datos_problemas!$AE:$AE,Datos_problemas!$B:$B,$B134,Datos_problemas!$F:$F,"Evaluación"),""))</f>
        <v/>
      </c>
      <c r="G134" s="20" t="str">
        <f aca="false">IF($B134="","",IFERROR(AVERAGEIFS(Datos_problemas!$AE:$AE,Datos_problemas!$B:$B,$B134,Datos_problemas!$F:$F,"Evaluación",Datos_problemas!$E:$E,"Diagnóstico"),""))</f>
        <v/>
      </c>
      <c r="H134" s="20" t="str">
        <f aca="false">IF($B134="","",IFERROR(AVERAGEIFS(Datos_problemas!$AE:$AE,Datos_problemas!$B:$B,$B134,Datos_problemas!$F:$F,"Evaluación",Datos_problemas!$E:$E,"Final"),""))</f>
        <v/>
      </c>
      <c r="I134" s="21" t="str">
        <f aca="false">IF(OR(G134="",H134=""),"",IF(G134&gt;=10,"",(H134-G134)/(10-G134)))</f>
        <v/>
      </c>
      <c r="J134" s="18" t="str">
        <f aca="false">IF($B134="","",IFERROR(SUMIFS(Datos_items!$Z:$Z,Datos_items!$B:$B,$B134,Datos_items!$O:$O,J$4,Datos_items!$E:$E,Analisis_grupo!$C$4)/COUNTIFS(Datos_items!$B:$B,$B134,Datos_items!$O:$O,J$4,Datos_items!$E:$E,Analisis_grupo!$C$4),""))</f>
        <v/>
      </c>
      <c r="K134" s="18" t="str">
        <f aca="false">IF($B134="","",IFERROR(SUMIFS(Datos_items!$Z:$Z,Datos_items!$B:$B,$B134,Datos_items!$O:$O,K$4,Datos_items!$E:$E,Analisis_grupo!$C$4)/COUNTIFS(Datos_items!$B:$B,$B134,Datos_items!$O:$O,K$4,Datos_items!$E:$E,Analisis_grupo!$C$4),""))</f>
        <v/>
      </c>
      <c r="L134" s="18" t="str">
        <f aca="false">IF($B134="","",IFERROR(SUMIFS(Datos_items!$Z:$Z,Datos_items!$B:$B,$B134,Datos_items!$O:$O,L$4,Datos_items!$E:$E,Analisis_grupo!$C$4)/COUNTIFS(Datos_items!$B:$B,$B134,Datos_items!$O:$O,L$4,Datos_items!$E:$E,Analisis_grupo!$C$4),""))</f>
        <v/>
      </c>
      <c r="M134" s="18" t="str">
        <f aca="false">IF($B134="","",IFERROR(SUMIFS(Datos_items!$Z:$Z,Datos_items!$B:$B,$B134,Datos_items!$O:$O,M$4,Datos_items!$E:$E,Analisis_grupo!$C$4)/COUNTIFS(Datos_items!$B:$B,$B134,Datos_items!$O:$O,M$4,Datos_items!$E:$E,Analisis_grupo!$C$4),""))</f>
        <v/>
      </c>
      <c r="N134" s="18" t="str">
        <f aca="false">IF($B134="","",IFERROR(SUMIFS(Datos_items!$Z:$Z,Datos_items!$B:$B,$B134,Datos_items!$O:$O,N$4,Datos_items!$E:$E,Analisis_grupo!$C$4)/COUNTIFS(Datos_items!$B:$B,$B134,Datos_items!$O:$O,N$4,Datos_items!$E:$E,Analisis_grupo!$C$4),""))</f>
        <v/>
      </c>
      <c r="O134" s="18" t="str">
        <f aca="false">IF($B134="","",IFERROR(SUMIFS(Datos_items!$Z:$Z,Datos_items!$B:$B,$B134,Datos_items!$O:$O,O$4,Datos_items!$E:$E,Analisis_grupo!$C$4)/COUNTIFS(Datos_items!$B:$B,$B134,Datos_items!$O:$O,O$4,Datos_items!$E:$E,Analisis_grupo!$C$4),""))</f>
        <v/>
      </c>
      <c r="P134" s="18" t="str">
        <f aca="false">IF($B134="","",IFERROR(SUMIFS(Datos_items!$Z:$Z,Datos_items!$B:$B,$B134,Datos_items!$O:$O,P$4,Datos_items!$E:$E,Analisis_grupo!$C$4)/COUNTIFS(Datos_items!$B:$B,$B134,Datos_items!$O:$O,P$4,Datos_items!$E:$E,Analisis_grupo!$C$4),""))</f>
        <v/>
      </c>
      <c r="Q134" s="18" t="str">
        <f aca="false">IF($B134="","",IFERROR(SUMIFS(Datos_items!$Z:$Z,Datos_items!$B:$B,$B134,Datos_items!$O:$O,Q$4,Datos_items!$E:$E,Analisis_grupo!$C$4)/COUNTIFS(Datos_items!$B:$B,$B134,Datos_items!$O:$O,Q$4,Datos_items!$E:$E,Analisis_grupo!$C$4),""))</f>
        <v/>
      </c>
      <c r="R134" s="2" t="str">
        <f aca="false">IF(COUNT(J134:Q134)=0,"",IF(MIN(J134:Q134)&gt;=Analisis_grupo!$B$7,"(ninguna)",INDEX($J$4:$Q$4,MATCH(MIN(J134:Q134),J134:Q134,0))))</f>
        <v/>
      </c>
      <c r="S134" s="2" t="str">
        <f aca="false">IF($B134="","",COUNTIF(J134:Q134,"&lt;"&amp;Analisis_grupo!$B$7))</f>
        <v/>
      </c>
      <c r="T134" s="2" t="str">
        <f aca="false">IF($B134="","",COUNTIFS(Datos_items!$B:$B,$B134,Datos_items!$AA:$AA,T$4,Datos_items!$E:$E,Analisis_grupo!$C$4))</f>
        <v/>
      </c>
      <c r="U134" s="2" t="str">
        <f aca="false">IF($B134="","",COUNTIFS(Datos_items!$B:$B,$B134,Datos_items!$AA:$AA,U$4,Datos_items!$E:$E,Analisis_grupo!$C$4))</f>
        <v/>
      </c>
      <c r="V134" s="2" t="str">
        <f aca="false">IF($B134="","",COUNTIFS(Datos_items!$B:$B,$B134,Datos_items!$AA:$AA,V$4,Datos_items!$E:$E,Analisis_grupo!$C$4))</f>
        <v/>
      </c>
      <c r="W134" s="2" t="str">
        <f aca="false">IF($B134="","",COUNTIFS(Datos_items!$B:$B,$B134,Datos_items!$AA:$AA,W$4,Datos_items!$E:$E,Analisis_grupo!$C$4))</f>
        <v/>
      </c>
      <c r="X134" s="2" t="str">
        <f aca="false">IF($B134="","",COUNTIFS(Datos_items!$B:$B,$B134,Datos_items!$AA:$AA,X$4,Datos_items!$E:$E,Analisis_grupo!$C$4))</f>
        <v/>
      </c>
      <c r="Y134" s="2" t="str">
        <f aca="false">IF($B134="","",COUNTIFS(Datos_items!$B:$B,$B134,Datos_items!$AA:$AA,Y$4,Datos_items!$E:$E,Analisis_grupo!$C$4))</f>
        <v/>
      </c>
      <c r="Z134" s="2" t="str">
        <f aca="false">IF($B134="","",COUNTIFS(Datos_items!$B:$B,$B134,Datos_items!$AA:$AA,Z$4,Datos_items!$E:$E,Analisis_grupo!$C$4))</f>
        <v/>
      </c>
      <c r="AA134" s="2" t="str">
        <f aca="false">IF($B134="","",COUNTIFS(Datos_items!$B:$B,$B134,Datos_items!$AA:$AA,AA$4,Datos_items!$E:$E,Analisis_grupo!$C$4))</f>
        <v/>
      </c>
      <c r="AB134" s="2" t="str">
        <f aca="false">IF($B134="","",COUNTIFS(Datos_items!$B:$B,$B134,Datos_items!$AA:$AA,AB$4,Datos_items!$E:$E,Analisis_grupo!$C$4))</f>
        <v/>
      </c>
      <c r="AC134" s="2" t="str">
        <f aca="false">IF($B134="","",COUNTIFS(Datos_items!$B:$B,$B134,Datos_items!$AA:$AA,AC$4,Datos_items!$E:$E,Analisis_grupo!$C$4))</f>
        <v/>
      </c>
      <c r="AD134" s="2" t="str">
        <f aca="false">IF($B134="","",COUNTIFS(Datos_items!$B:$B,$B134,Datos_items!$AA:$AA,AD$4,Datos_items!$E:$E,Analisis_grupo!$C$4))</f>
        <v/>
      </c>
      <c r="AE134" s="2" t="str">
        <f aca="false">IF($B134="","",COUNTIFS(Datos_items!$B:$B,$B134,Datos_items!$AA:$AA,AE$4,Datos_items!$E:$E,Analisis_grupo!$C$4))</f>
        <v/>
      </c>
      <c r="AF134" s="2" t="str">
        <f aca="false">IF($B134="","",COUNTIFS(Datos_items!$B:$B,$B134,Datos_items!$AA:$AA,AF$4,Datos_items!$E:$E,Analisis_grupo!$C$4))</f>
        <v/>
      </c>
      <c r="AG134" s="2" t="str">
        <f aca="false">IF($B134="","",COUNTIFS(Datos_items!$B:$B,$B134,Datos_items!$AA:$AA,AG$4,Datos_items!$E:$E,Analisis_grupo!$C$4))</f>
        <v/>
      </c>
      <c r="AH134" s="2" t="str">
        <f aca="false">IF($B134="","",COUNTIFS(Datos_items!$B:$B,$B134,Datos_items!$AA:$AA,AH$4,Datos_items!$E:$E,Analisis_grupo!$C$4))</f>
        <v/>
      </c>
      <c r="AI134" s="2" t="str">
        <f aca="false">IF($B134="","",COUNTIFS(Datos_items!$B:$B,$B134,Datos_items!$AA:$AA,AI$4,Datos_items!$E:$E,Analisis_grupo!$C$4))</f>
        <v/>
      </c>
      <c r="AJ134" s="2" t="str">
        <f aca="false">IF($B134="","",COUNTIFS(Datos_items!$B:$B,$B134,Datos_items!$AA:$AA,AJ$4,Datos_items!$E:$E,Analisis_grupo!$C$4))</f>
        <v/>
      </c>
      <c r="AK134" s="2" t="str">
        <f aca="false">IF($B134="","",COUNTIFS(Datos_items!$B:$B,$B134,Datos_items!$AA:$AA,AK$4,Datos_items!$E:$E,Analisis_grupo!$C$4))</f>
        <v/>
      </c>
      <c r="AL134" s="2" t="str">
        <f aca="false">IF($B134="","",COUNTIFS(Datos_items!$B:$B,$B134,Datos_items!$AA:$AA,AL$4,Datos_items!$E:$E,Analisis_grupo!$C$4))</f>
        <v/>
      </c>
      <c r="AM134" s="2" t="str">
        <f aca="false">IF($B134="","",IF(MAX(Y134:AL134)=0,"",INDEX($Y$4:$AL$4,MATCH(MAX(Y134:AL134),Y134:AL134,0))))</f>
        <v/>
      </c>
      <c r="AN134" s="2" t="str">
        <f aca="false">IF($B134="","",COUNTIFS(Datos_problemas!$B:$B,$B134,Datos_problemas!$F:$F,"Práctica"))</f>
        <v/>
      </c>
      <c r="AO134" s="2" t="str">
        <f aca="false">IF($B134="","",SUMIFS(Datos_problemas!$AQ:$AQ,Datos_problemas!$B:$B,$B134,Datos_problemas!$F:$F,"Práctica"))</f>
        <v/>
      </c>
      <c r="AP134" s="2" t="str">
        <f aca="false">IF($B134="","",COUNTIFS(Datos_problemas!$B:$B,$B134,Datos_problemas!$F:$F,"Práctica",Datos_problemas!$AS:$AS,"Sí"))</f>
        <v/>
      </c>
    </row>
    <row r="135" customFormat="false" ht="15" hidden="false" customHeight="false" outlineLevel="0" collapsed="false">
      <c r="A135" s="2" t="n">
        <v>131</v>
      </c>
      <c r="B135" s="2" t="str">
        <f aca="false">IFERROR(INDEX(Datos_problemas!$B:$B,MATCH($A135,Datos_problemas!$AV:$AV,0)),"")</f>
        <v/>
      </c>
      <c r="C135" s="2" t="str">
        <f aca="false">IF($B135="","",INDEX(Datos_problemas!$C:$C,MATCH($A135,Datos_problemas!$AV:$AV,0)))</f>
        <v/>
      </c>
      <c r="D135" s="2" t="str">
        <f aca="false">IF($B135="","",INDEX(Datos_problemas!$D:$D,MATCH($A135,Datos_problemas!$AV:$AV,0)))</f>
        <v/>
      </c>
      <c r="E135" s="2" t="str">
        <f aca="false">IF($B135="","",COUNTIFS(Datos_problemas!$B:$B,$B135,Datos_problemas!$F:$F,"Evaluación"))</f>
        <v/>
      </c>
      <c r="F135" s="20" t="str">
        <f aca="false">IF($B135="","",IFERROR(AVERAGEIFS(Datos_problemas!$AE:$AE,Datos_problemas!$B:$B,$B135,Datos_problemas!$F:$F,"Evaluación"),""))</f>
        <v/>
      </c>
      <c r="G135" s="20" t="str">
        <f aca="false">IF($B135="","",IFERROR(AVERAGEIFS(Datos_problemas!$AE:$AE,Datos_problemas!$B:$B,$B135,Datos_problemas!$F:$F,"Evaluación",Datos_problemas!$E:$E,"Diagnóstico"),""))</f>
        <v/>
      </c>
      <c r="H135" s="20" t="str">
        <f aca="false">IF($B135="","",IFERROR(AVERAGEIFS(Datos_problemas!$AE:$AE,Datos_problemas!$B:$B,$B135,Datos_problemas!$F:$F,"Evaluación",Datos_problemas!$E:$E,"Final"),""))</f>
        <v/>
      </c>
      <c r="I135" s="21" t="str">
        <f aca="false">IF(OR(G135="",H135=""),"",IF(G135&gt;=10,"",(H135-G135)/(10-G135)))</f>
        <v/>
      </c>
      <c r="J135" s="18" t="str">
        <f aca="false">IF($B135="","",IFERROR(SUMIFS(Datos_items!$Z:$Z,Datos_items!$B:$B,$B135,Datos_items!$O:$O,J$4,Datos_items!$E:$E,Analisis_grupo!$C$4)/COUNTIFS(Datos_items!$B:$B,$B135,Datos_items!$O:$O,J$4,Datos_items!$E:$E,Analisis_grupo!$C$4),""))</f>
        <v/>
      </c>
      <c r="K135" s="18" t="str">
        <f aca="false">IF($B135="","",IFERROR(SUMIFS(Datos_items!$Z:$Z,Datos_items!$B:$B,$B135,Datos_items!$O:$O,K$4,Datos_items!$E:$E,Analisis_grupo!$C$4)/COUNTIFS(Datos_items!$B:$B,$B135,Datos_items!$O:$O,K$4,Datos_items!$E:$E,Analisis_grupo!$C$4),""))</f>
        <v/>
      </c>
      <c r="L135" s="18" t="str">
        <f aca="false">IF($B135="","",IFERROR(SUMIFS(Datos_items!$Z:$Z,Datos_items!$B:$B,$B135,Datos_items!$O:$O,L$4,Datos_items!$E:$E,Analisis_grupo!$C$4)/COUNTIFS(Datos_items!$B:$B,$B135,Datos_items!$O:$O,L$4,Datos_items!$E:$E,Analisis_grupo!$C$4),""))</f>
        <v/>
      </c>
      <c r="M135" s="18" t="str">
        <f aca="false">IF($B135="","",IFERROR(SUMIFS(Datos_items!$Z:$Z,Datos_items!$B:$B,$B135,Datos_items!$O:$O,M$4,Datos_items!$E:$E,Analisis_grupo!$C$4)/COUNTIFS(Datos_items!$B:$B,$B135,Datos_items!$O:$O,M$4,Datos_items!$E:$E,Analisis_grupo!$C$4),""))</f>
        <v/>
      </c>
      <c r="N135" s="18" t="str">
        <f aca="false">IF($B135="","",IFERROR(SUMIFS(Datos_items!$Z:$Z,Datos_items!$B:$B,$B135,Datos_items!$O:$O,N$4,Datos_items!$E:$E,Analisis_grupo!$C$4)/COUNTIFS(Datos_items!$B:$B,$B135,Datos_items!$O:$O,N$4,Datos_items!$E:$E,Analisis_grupo!$C$4),""))</f>
        <v/>
      </c>
      <c r="O135" s="18" t="str">
        <f aca="false">IF($B135="","",IFERROR(SUMIFS(Datos_items!$Z:$Z,Datos_items!$B:$B,$B135,Datos_items!$O:$O,O$4,Datos_items!$E:$E,Analisis_grupo!$C$4)/COUNTIFS(Datos_items!$B:$B,$B135,Datos_items!$O:$O,O$4,Datos_items!$E:$E,Analisis_grupo!$C$4),""))</f>
        <v/>
      </c>
      <c r="P135" s="18" t="str">
        <f aca="false">IF($B135="","",IFERROR(SUMIFS(Datos_items!$Z:$Z,Datos_items!$B:$B,$B135,Datos_items!$O:$O,P$4,Datos_items!$E:$E,Analisis_grupo!$C$4)/COUNTIFS(Datos_items!$B:$B,$B135,Datos_items!$O:$O,P$4,Datos_items!$E:$E,Analisis_grupo!$C$4),""))</f>
        <v/>
      </c>
      <c r="Q135" s="18" t="str">
        <f aca="false">IF($B135="","",IFERROR(SUMIFS(Datos_items!$Z:$Z,Datos_items!$B:$B,$B135,Datos_items!$O:$O,Q$4,Datos_items!$E:$E,Analisis_grupo!$C$4)/COUNTIFS(Datos_items!$B:$B,$B135,Datos_items!$O:$O,Q$4,Datos_items!$E:$E,Analisis_grupo!$C$4),""))</f>
        <v/>
      </c>
      <c r="R135" s="2" t="str">
        <f aca="false">IF(COUNT(J135:Q135)=0,"",IF(MIN(J135:Q135)&gt;=Analisis_grupo!$B$7,"(ninguna)",INDEX($J$4:$Q$4,MATCH(MIN(J135:Q135),J135:Q135,0))))</f>
        <v/>
      </c>
      <c r="S135" s="2" t="str">
        <f aca="false">IF($B135="","",COUNTIF(J135:Q135,"&lt;"&amp;Analisis_grupo!$B$7))</f>
        <v/>
      </c>
      <c r="T135" s="2" t="str">
        <f aca="false">IF($B135="","",COUNTIFS(Datos_items!$B:$B,$B135,Datos_items!$AA:$AA,T$4,Datos_items!$E:$E,Analisis_grupo!$C$4))</f>
        <v/>
      </c>
      <c r="U135" s="2" t="str">
        <f aca="false">IF($B135="","",COUNTIFS(Datos_items!$B:$B,$B135,Datos_items!$AA:$AA,U$4,Datos_items!$E:$E,Analisis_grupo!$C$4))</f>
        <v/>
      </c>
      <c r="V135" s="2" t="str">
        <f aca="false">IF($B135="","",COUNTIFS(Datos_items!$B:$B,$B135,Datos_items!$AA:$AA,V$4,Datos_items!$E:$E,Analisis_grupo!$C$4))</f>
        <v/>
      </c>
      <c r="W135" s="2" t="str">
        <f aca="false">IF($B135="","",COUNTIFS(Datos_items!$B:$B,$B135,Datos_items!$AA:$AA,W$4,Datos_items!$E:$E,Analisis_grupo!$C$4))</f>
        <v/>
      </c>
      <c r="X135" s="2" t="str">
        <f aca="false">IF($B135="","",COUNTIFS(Datos_items!$B:$B,$B135,Datos_items!$AA:$AA,X$4,Datos_items!$E:$E,Analisis_grupo!$C$4))</f>
        <v/>
      </c>
      <c r="Y135" s="2" t="str">
        <f aca="false">IF($B135="","",COUNTIFS(Datos_items!$B:$B,$B135,Datos_items!$AA:$AA,Y$4,Datos_items!$E:$E,Analisis_grupo!$C$4))</f>
        <v/>
      </c>
      <c r="Z135" s="2" t="str">
        <f aca="false">IF($B135="","",COUNTIFS(Datos_items!$B:$B,$B135,Datos_items!$AA:$AA,Z$4,Datos_items!$E:$E,Analisis_grupo!$C$4))</f>
        <v/>
      </c>
      <c r="AA135" s="2" t="str">
        <f aca="false">IF($B135="","",COUNTIFS(Datos_items!$B:$B,$B135,Datos_items!$AA:$AA,AA$4,Datos_items!$E:$E,Analisis_grupo!$C$4))</f>
        <v/>
      </c>
      <c r="AB135" s="2" t="str">
        <f aca="false">IF($B135="","",COUNTIFS(Datos_items!$B:$B,$B135,Datos_items!$AA:$AA,AB$4,Datos_items!$E:$E,Analisis_grupo!$C$4))</f>
        <v/>
      </c>
      <c r="AC135" s="2" t="str">
        <f aca="false">IF($B135="","",COUNTIFS(Datos_items!$B:$B,$B135,Datos_items!$AA:$AA,AC$4,Datos_items!$E:$E,Analisis_grupo!$C$4))</f>
        <v/>
      </c>
      <c r="AD135" s="2" t="str">
        <f aca="false">IF($B135="","",COUNTIFS(Datos_items!$B:$B,$B135,Datos_items!$AA:$AA,AD$4,Datos_items!$E:$E,Analisis_grupo!$C$4))</f>
        <v/>
      </c>
      <c r="AE135" s="2" t="str">
        <f aca="false">IF($B135="","",COUNTIFS(Datos_items!$B:$B,$B135,Datos_items!$AA:$AA,AE$4,Datos_items!$E:$E,Analisis_grupo!$C$4))</f>
        <v/>
      </c>
      <c r="AF135" s="2" t="str">
        <f aca="false">IF($B135="","",COUNTIFS(Datos_items!$B:$B,$B135,Datos_items!$AA:$AA,AF$4,Datos_items!$E:$E,Analisis_grupo!$C$4))</f>
        <v/>
      </c>
      <c r="AG135" s="2" t="str">
        <f aca="false">IF($B135="","",COUNTIFS(Datos_items!$B:$B,$B135,Datos_items!$AA:$AA,AG$4,Datos_items!$E:$E,Analisis_grupo!$C$4))</f>
        <v/>
      </c>
      <c r="AH135" s="2" t="str">
        <f aca="false">IF($B135="","",COUNTIFS(Datos_items!$B:$B,$B135,Datos_items!$AA:$AA,AH$4,Datos_items!$E:$E,Analisis_grupo!$C$4))</f>
        <v/>
      </c>
      <c r="AI135" s="2" t="str">
        <f aca="false">IF($B135="","",COUNTIFS(Datos_items!$B:$B,$B135,Datos_items!$AA:$AA,AI$4,Datos_items!$E:$E,Analisis_grupo!$C$4))</f>
        <v/>
      </c>
      <c r="AJ135" s="2" t="str">
        <f aca="false">IF($B135="","",COUNTIFS(Datos_items!$B:$B,$B135,Datos_items!$AA:$AA,AJ$4,Datos_items!$E:$E,Analisis_grupo!$C$4))</f>
        <v/>
      </c>
      <c r="AK135" s="2" t="str">
        <f aca="false">IF($B135="","",COUNTIFS(Datos_items!$B:$B,$B135,Datos_items!$AA:$AA,AK$4,Datos_items!$E:$E,Analisis_grupo!$C$4))</f>
        <v/>
      </c>
      <c r="AL135" s="2" t="str">
        <f aca="false">IF($B135="","",COUNTIFS(Datos_items!$B:$B,$B135,Datos_items!$AA:$AA,AL$4,Datos_items!$E:$E,Analisis_grupo!$C$4))</f>
        <v/>
      </c>
      <c r="AM135" s="2" t="str">
        <f aca="false">IF($B135="","",IF(MAX(Y135:AL135)=0,"",INDEX($Y$4:$AL$4,MATCH(MAX(Y135:AL135),Y135:AL135,0))))</f>
        <v/>
      </c>
      <c r="AN135" s="2" t="str">
        <f aca="false">IF($B135="","",COUNTIFS(Datos_problemas!$B:$B,$B135,Datos_problemas!$F:$F,"Práctica"))</f>
        <v/>
      </c>
      <c r="AO135" s="2" t="str">
        <f aca="false">IF($B135="","",SUMIFS(Datos_problemas!$AQ:$AQ,Datos_problemas!$B:$B,$B135,Datos_problemas!$F:$F,"Práctica"))</f>
        <v/>
      </c>
      <c r="AP135" s="2" t="str">
        <f aca="false">IF($B135="","",COUNTIFS(Datos_problemas!$B:$B,$B135,Datos_problemas!$F:$F,"Práctica",Datos_problemas!$AS:$AS,"Sí"))</f>
        <v/>
      </c>
    </row>
    <row r="136" customFormat="false" ht="15" hidden="false" customHeight="false" outlineLevel="0" collapsed="false">
      <c r="A136" s="2" t="n">
        <v>132</v>
      </c>
      <c r="B136" s="2" t="str">
        <f aca="false">IFERROR(INDEX(Datos_problemas!$B:$B,MATCH($A136,Datos_problemas!$AV:$AV,0)),"")</f>
        <v/>
      </c>
      <c r="C136" s="2" t="str">
        <f aca="false">IF($B136="","",INDEX(Datos_problemas!$C:$C,MATCH($A136,Datos_problemas!$AV:$AV,0)))</f>
        <v/>
      </c>
      <c r="D136" s="2" t="str">
        <f aca="false">IF($B136="","",INDEX(Datos_problemas!$D:$D,MATCH($A136,Datos_problemas!$AV:$AV,0)))</f>
        <v/>
      </c>
      <c r="E136" s="2" t="str">
        <f aca="false">IF($B136="","",COUNTIFS(Datos_problemas!$B:$B,$B136,Datos_problemas!$F:$F,"Evaluación"))</f>
        <v/>
      </c>
      <c r="F136" s="20" t="str">
        <f aca="false">IF($B136="","",IFERROR(AVERAGEIFS(Datos_problemas!$AE:$AE,Datos_problemas!$B:$B,$B136,Datos_problemas!$F:$F,"Evaluación"),""))</f>
        <v/>
      </c>
      <c r="G136" s="20" t="str">
        <f aca="false">IF($B136="","",IFERROR(AVERAGEIFS(Datos_problemas!$AE:$AE,Datos_problemas!$B:$B,$B136,Datos_problemas!$F:$F,"Evaluación",Datos_problemas!$E:$E,"Diagnóstico"),""))</f>
        <v/>
      </c>
      <c r="H136" s="20" t="str">
        <f aca="false">IF($B136="","",IFERROR(AVERAGEIFS(Datos_problemas!$AE:$AE,Datos_problemas!$B:$B,$B136,Datos_problemas!$F:$F,"Evaluación",Datos_problemas!$E:$E,"Final"),""))</f>
        <v/>
      </c>
      <c r="I136" s="21" t="str">
        <f aca="false">IF(OR(G136="",H136=""),"",IF(G136&gt;=10,"",(H136-G136)/(10-G136)))</f>
        <v/>
      </c>
      <c r="J136" s="18" t="str">
        <f aca="false">IF($B136="","",IFERROR(SUMIFS(Datos_items!$Z:$Z,Datos_items!$B:$B,$B136,Datos_items!$O:$O,J$4,Datos_items!$E:$E,Analisis_grupo!$C$4)/COUNTIFS(Datos_items!$B:$B,$B136,Datos_items!$O:$O,J$4,Datos_items!$E:$E,Analisis_grupo!$C$4),""))</f>
        <v/>
      </c>
      <c r="K136" s="18" t="str">
        <f aca="false">IF($B136="","",IFERROR(SUMIFS(Datos_items!$Z:$Z,Datos_items!$B:$B,$B136,Datos_items!$O:$O,K$4,Datos_items!$E:$E,Analisis_grupo!$C$4)/COUNTIFS(Datos_items!$B:$B,$B136,Datos_items!$O:$O,K$4,Datos_items!$E:$E,Analisis_grupo!$C$4),""))</f>
        <v/>
      </c>
      <c r="L136" s="18" t="str">
        <f aca="false">IF($B136="","",IFERROR(SUMIFS(Datos_items!$Z:$Z,Datos_items!$B:$B,$B136,Datos_items!$O:$O,L$4,Datos_items!$E:$E,Analisis_grupo!$C$4)/COUNTIFS(Datos_items!$B:$B,$B136,Datos_items!$O:$O,L$4,Datos_items!$E:$E,Analisis_grupo!$C$4),""))</f>
        <v/>
      </c>
      <c r="M136" s="18" t="str">
        <f aca="false">IF($B136="","",IFERROR(SUMIFS(Datos_items!$Z:$Z,Datos_items!$B:$B,$B136,Datos_items!$O:$O,M$4,Datos_items!$E:$E,Analisis_grupo!$C$4)/COUNTIFS(Datos_items!$B:$B,$B136,Datos_items!$O:$O,M$4,Datos_items!$E:$E,Analisis_grupo!$C$4),""))</f>
        <v/>
      </c>
      <c r="N136" s="18" t="str">
        <f aca="false">IF($B136="","",IFERROR(SUMIFS(Datos_items!$Z:$Z,Datos_items!$B:$B,$B136,Datos_items!$O:$O,N$4,Datos_items!$E:$E,Analisis_grupo!$C$4)/COUNTIFS(Datos_items!$B:$B,$B136,Datos_items!$O:$O,N$4,Datos_items!$E:$E,Analisis_grupo!$C$4),""))</f>
        <v/>
      </c>
      <c r="O136" s="18" t="str">
        <f aca="false">IF($B136="","",IFERROR(SUMIFS(Datos_items!$Z:$Z,Datos_items!$B:$B,$B136,Datos_items!$O:$O,O$4,Datos_items!$E:$E,Analisis_grupo!$C$4)/COUNTIFS(Datos_items!$B:$B,$B136,Datos_items!$O:$O,O$4,Datos_items!$E:$E,Analisis_grupo!$C$4),""))</f>
        <v/>
      </c>
      <c r="P136" s="18" t="str">
        <f aca="false">IF($B136="","",IFERROR(SUMIFS(Datos_items!$Z:$Z,Datos_items!$B:$B,$B136,Datos_items!$O:$O,P$4,Datos_items!$E:$E,Analisis_grupo!$C$4)/COUNTIFS(Datos_items!$B:$B,$B136,Datos_items!$O:$O,P$4,Datos_items!$E:$E,Analisis_grupo!$C$4),""))</f>
        <v/>
      </c>
      <c r="Q136" s="18" t="str">
        <f aca="false">IF($B136="","",IFERROR(SUMIFS(Datos_items!$Z:$Z,Datos_items!$B:$B,$B136,Datos_items!$O:$O,Q$4,Datos_items!$E:$E,Analisis_grupo!$C$4)/COUNTIFS(Datos_items!$B:$B,$B136,Datos_items!$O:$O,Q$4,Datos_items!$E:$E,Analisis_grupo!$C$4),""))</f>
        <v/>
      </c>
      <c r="R136" s="2" t="str">
        <f aca="false">IF(COUNT(J136:Q136)=0,"",IF(MIN(J136:Q136)&gt;=Analisis_grupo!$B$7,"(ninguna)",INDEX($J$4:$Q$4,MATCH(MIN(J136:Q136),J136:Q136,0))))</f>
        <v/>
      </c>
      <c r="S136" s="2" t="str">
        <f aca="false">IF($B136="","",COUNTIF(J136:Q136,"&lt;"&amp;Analisis_grupo!$B$7))</f>
        <v/>
      </c>
      <c r="T136" s="2" t="str">
        <f aca="false">IF($B136="","",COUNTIFS(Datos_items!$B:$B,$B136,Datos_items!$AA:$AA,T$4,Datos_items!$E:$E,Analisis_grupo!$C$4))</f>
        <v/>
      </c>
      <c r="U136" s="2" t="str">
        <f aca="false">IF($B136="","",COUNTIFS(Datos_items!$B:$B,$B136,Datos_items!$AA:$AA,U$4,Datos_items!$E:$E,Analisis_grupo!$C$4))</f>
        <v/>
      </c>
      <c r="V136" s="2" t="str">
        <f aca="false">IF($B136="","",COUNTIFS(Datos_items!$B:$B,$B136,Datos_items!$AA:$AA,V$4,Datos_items!$E:$E,Analisis_grupo!$C$4))</f>
        <v/>
      </c>
      <c r="W136" s="2" t="str">
        <f aca="false">IF($B136="","",COUNTIFS(Datos_items!$B:$B,$B136,Datos_items!$AA:$AA,W$4,Datos_items!$E:$E,Analisis_grupo!$C$4))</f>
        <v/>
      </c>
      <c r="X136" s="2" t="str">
        <f aca="false">IF($B136="","",COUNTIFS(Datos_items!$B:$B,$B136,Datos_items!$AA:$AA,X$4,Datos_items!$E:$E,Analisis_grupo!$C$4))</f>
        <v/>
      </c>
      <c r="Y136" s="2" t="str">
        <f aca="false">IF($B136="","",COUNTIFS(Datos_items!$B:$B,$B136,Datos_items!$AA:$AA,Y$4,Datos_items!$E:$E,Analisis_grupo!$C$4))</f>
        <v/>
      </c>
      <c r="Z136" s="2" t="str">
        <f aca="false">IF($B136="","",COUNTIFS(Datos_items!$B:$B,$B136,Datos_items!$AA:$AA,Z$4,Datos_items!$E:$E,Analisis_grupo!$C$4))</f>
        <v/>
      </c>
      <c r="AA136" s="2" t="str">
        <f aca="false">IF($B136="","",COUNTIFS(Datos_items!$B:$B,$B136,Datos_items!$AA:$AA,AA$4,Datos_items!$E:$E,Analisis_grupo!$C$4))</f>
        <v/>
      </c>
      <c r="AB136" s="2" t="str">
        <f aca="false">IF($B136="","",COUNTIFS(Datos_items!$B:$B,$B136,Datos_items!$AA:$AA,AB$4,Datos_items!$E:$E,Analisis_grupo!$C$4))</f>
        <v/>
      </c>
      <c r="AC136" s="2" t="str">
        <f aca="false">IF($B136="","",COUNTIFS(Datos_items!$B:$B,$B136,Datos_items!$AA:$AA,AC$4,Datos_items!$E:$E,Analisis_grupo!$C$4))</f>
        <v/>
      </c>
      <c r="AD136" s="2" t="str">
        <f aca="false">IF($B136="","",COUNTIFS(Datos_items!$B:$B,$B136,Datos_items!$AA:$AA,AD$4,Datos_items!$E:$E,Analisis_grupo!$C$4))</f>
        <v/>
      </c>
      <c r="AE136" s="2" t="str">
        <f aca="false">IF($B136="","",COUNTIFS(Datos_items!$B:$B,$B136,Datos_items!$AA:$AA,AE$4,Datos_items!$E:$E,Analisis_grupo!$C$4))</f>
        <v/>
      </c>
      <c r="AF136" s="2" t="str">
        <f aca="false">IF($B136="","",COUNTIFS(Datos_items!$B:$B,$B136,Datos_items!$AA:$AA,AF$4,Datos_items!$E:$E,Analisis_grupo!$C$4))</f>
        <v/>
      </c>
      <c r="AG136" s="2" t="str">
        <f aca="false">IF($B136="","",COUNTIFS(Datos_items!$B:$B,$B136,Datos_items!$AA:$AA,AG$4,Datos_items!$E:$E,Analisis_grupo!$C$4))</f>
        <v/>
      </c>
      <c r="AH136" s="2" t="str">
        <f aca="false">IF($B136="","",COUNTIFS(Datos_items!$B:$B,$B136,Datos_items!$AA:$AA,AH$4,Datos_items!$E:$E,Analisis_grupo!$C$4))</f>
        <v/>
      </c>
      <c r="AI136" s="2" t="str">
        <f aca="false">IF($B136="","",COUNTIFS(Datos_items!$B:$B,$B136,Datos_items!$AA:$AA,AI$4,Datos_items!$E:$E,Analisis_grupo!$C$4))</f>
        <v/>
      </c>
      <c r="AJ136" s="2" t="str">
        <f aca="false">IF($B136="","",COUNTIFS(Datos_items!$B:$B,$B136,Datos_items!$AA:$AA,AJ$4,Datos_items!$E:$E,Analisis_grupo!$C$4))</f>
        <v/>
      </c>
      <c r="AK136" s="2" t="str">
        <f aca="false">IF($B136="","",COUNTIFS(Datos_items!$B:$B,$B136,Datos_items!$AA:$AA,AK$4,Datos_items!$E:$E,Analisis_grupo!$C$4))</f>
        <v/>
      </c>
      <c r="AL136" s="2" t="str">
        <f aca="false">IF($B136="","",COUNTIFS(Datos_items!$B:$B,$B136,Datos_items!$AA:$AA,AL$4,Datos_items!$E:$E,Analisis_grupo!$C$4))</f>
        <v/>
      </c>
      <c r="AM136" s="2" t="str">
        <f aca="false">IF($B136="","",IF(MAX(Y136:AL136)=0,"",INDEX($Y$4:$AL$4,MATCH(MAX(Y136:AL136),Y136:AL136,0))))</f>
        <v/>
      </c>
      <c r="AN136" s="2" t="str">
        <f aca="false">IF($B136="","",COUNTIFS(Datos_problemas!$B:$B,$B136,Datos_problemas!$F:$F,"Práctica"))</f>
        <v/>
      </c>
      <c r="AO136" s="2" t="str">
        <f aca="false">IF($B136="","",SUMIFS(Datos_problemas!$AQ:$AQ,Datos_problemas!$B:$B,$B136,Datos_problemas!$F:$F,"Práctica"))</f>
        <v/>
      </c>
      <c r="AP136" s="2" t="str">
        <f aca="false">IF($B136="","",COUNTIFS(Datos_problemas!$B:$B,$B136,Datos_problemas!$F:$F,"Práctica",Datos_problemas!$AS:$AS,"Sí"))</f>
        <v/>
      </c>
    </row>
    <row r="137" customFormat="false" ht="15" hidden="false" customHeight="false" outlineLevel="0" collapsed="false">
      <c r="A137" s="2" t="n">
        <v>133</v>
      </c>
      <c r="B137" s="2" t="str">
        <f aca="false">IFERROR(INDEX(Datos_problemas!$B:$B,MATCH($A137,Datos_problemas!$AV:$AV,0)),"")</f>
        <v/>
      </c>
      <c r="C137" s="2" t="str">
        <f aca="false">IF($B137="","",INDEX(Datos_problemas!$C:$C,MATCH($A137,Datos_problemas!$AV:$AV,0)))</f>
        <v/>
      </c>
      <c r="D137" s="2" t="str">
        <f aca="false">IF($B137="","",INDEX(Datos_problemas!$D:$D,MATCH($A137,Datos_problemas!$AV:$AV,0)))</f>
        <v/>
      </c>
      <c r="E137" s="2" t="str">
        <f aca="false">IF($B137="","",COUNTIFS(Datos_problemas!$B:$B,$B137,Datos_problemas!$F:$F,"Evaluación"))</f>
        <v/>
      </c>
      <c r="F137" s="20" t="str">
        <f aca="false">IF($B137="","",IFERROR(AVERAGEIFS(Datos_problemas!$AE:$AE,Datos_problemas!$B:$B,$B137,Datos_problemas!$F:$F,"Evaluación"),""))</f>
        <v/>
      </c>
      <c r="G137" s="20" t="str">
        <f aca="false">IF($B137="","",IFERROR(AVERAGEIFS(Datos_problemas!$AE:$AE,Datos_problemas!$B:$B,$B137,Datos_problemas!$F:$F,"Evaluación",Datos_problemas!$E:$E,"Diagnóstico"),""))</f>
        <v/>
      </c>
      <c r="H137" s="20" t="str">
        <f aca="false">IF($B137="","",IFERROR(AVERAGEIFS(Datos_problemas!$AE:$AE,Datos_problemas!$B:$B,$B137,Datos_problemas!$F:$F,"Evaluación",Datos_problemas!$E:$E,"Final"),""))</f>
        <v/>
      </c>
      <c r="I137" s="21" t="str">
        <f aca="false">IF(OR(G137="",H137=""),"",IF(G137&gt;=10,"",(H137-G137)/(10-G137)))</f>
        <v/>
      </c>
      <c r="J137" s="18" t="str">
        <f aca="false">IF($B137="","",IFERROR(SUMIFS(Datos_items!$Z:$Z,Datos_items!$B:$B,$B137,Datos_items!$O:$O,J$4,Datos_items!$E:$E,Analisis_grupo!$C$4)/COUNTIFS(Datos_items!$B:$B,$B137,Datos_items!$O:$O,J$4,Datos_items!$E:$E,Analisis_grupo!$C$4),""))</f>
        <v/>
      </c>
      <c r="K137" s="18" t="str">
        <f aca="false">IF($B137="","",IFERROR(SUMIFS(Datos_items!$Z:$Z,Datos_items!$B:$B,$B137,Datos_items!$O:$O,K$4,Datos_items!$E:$E,Analisis_grupo!$C$4)/COUNTIFS(Datos_items!$B:$B,$B137,Datos_items!$O:$O,K$4,Datos_items!$E:$E,Analisis_grupo!$C$4),""))</f>
        <v/>
      </c>
      <c r="L137" s="18" t="str">
        <f aca="false">IF($B137="","",IFERROR(SUMIFS(Datos_items!$Z:$Z,Datos_items!$B:$B,$B137,Datos_items!$O:$O,L$4,Datos_items!$E:$E,Analisis_grupo!$C$4)/COUNTIFS(Datos_items!$B:$B,$B137,Datos_items!$O:$O,L$4,Datos_items!$E:$E,Analisis_grupo!$C$4),""))</f>
        <v/>
      </c>
      <c r="M137" s="18" t="str">
        <f aca="false">IF($B137="","",IFERROR(SUMIFS(Datos_items!$Z:$Z,Datos_items!$B:$B,$B137,Datos_items!$O:$O,M$4,Datos_items!$E:$E,Analisis_grupo!$C$4)/COUNTIFS(Datos_items!$B:$B,$B137,Datos_items!$O:$O,M$4,Datos_items!$E:$E,Analisis_grupo!$C$4),""))</f>
        <v/>
      </c>
      <c r="N137" s="18" t="str">
        <f aca="false">IF($B137="","",IFERROR(SUMIFS(Datos_items!$Z:$Z,Datos_items!$B:$B,$B137,Datos_items!$O:$O,N$4,Datos_items!$E:$E,Analisis_grupo!$C$4)/COUNTIFS(Datos_items!$B:$B,$B137,Datos_items!$O:$O,N$4,Datos_items!$E:$E,Analisis_grupo!$C$4),""))</f>
        <v/>
      </c>
      <c r="O137" s="18" t="str">
        <f aca="false">IF($B137="","",IFERROR(SUMIFS(Datos_items!$Z:$Z,Datos_items!$B:$B,$B137,Datos_items!$O:$O,O$4,Datos_items!$E:$E,Analisis_grupo!$C$4)/COUNTIFS(Datos_items!$B:$B,$B137,Datos_items!$O:$O,O$4,Datos_items!$E:$E,Analisis_grupo!$C$4),""))</f>
        <v/>
      </c>
      <c r="P137" s="18" t="str">
        <f aca="false">IF($B137="","",IFERROR(SUMIFS(Datos_items!$Z:$Z,Datos_items!$B:$B,$B137,Datos_items!$O:$O,P$4,Datos_items!$E:$E,Analisis_grupo!$C$4)/COUNTIFS(Datos_items!$B:$B,$B137,Datos_items!$O:$O,P$4,Datos_items!$E:$E,Analisis_grupo!$C$4),""))</f>
        <v/>
      </c>
      <c r="Q137" s="18" t="str">
        <f aca="false">IF($B137="","",IFERROR(SUMIFS(Datos_items!$Z:$Z,Datos_items!$B:$B,$B137,Datos_items!$O:$O,Q$4,Datos_items!$E:$E,Analisis_grupo!$C$4)/COUNTIFS(Datos_items!$B:$B,$B137,Datos_items!$O:$O,Q$4,Datos_items!$E:$E,Analisis_grupo!$C$4),""))</f>
        <v/>
      </c>
      <c r="R137" s="2" t="str">
        <f aca="false">IF(COUNT(J137:Q137)=0,"",IF(MIN(J137:Q137)&gt;=Analisis_grupo!$B$7,"(ninguna)",INDEX($J$4:$Q$4,MATCH(MIN(J137:Q137),J137:Q137,0))))</f>
        <v/>
      </c>
      <c r="S137" s="2" t="str">
        <f aca="false">IF($B137="","",COUNTIF(J137:Q137,"&lt;"&amp;Analisis_grupo!$B$7))</f>
        <v/>
      </c>
      <c r="T137" s="2" t="str">
        <f aca="false">IF($B137="","",COUNTIFS(Datos_items!$B:$B,$B137,Datos_items!$AA:$AA,T$4,Datos_items!$E:$E,Analisis_grupo!$C$4))</f>
        <v/>
      </c>
      <c r="U137" s="2" t="str">
        <f aca="false">IF($B137="","",COUNTIFS(Datos_items!$B:$B,$B137,Datos_items!$AA:$AA,U$4,Datos_items!$E:$E,Analisis_grupo!$C$4))</f>
        <v/>
      </c>
      <c r="V137" s="2" t="str">
        <f aca="false">IF($B137="","",COUNTIFS(Datos_items!$B:$B,$B137,Datos_items!$AA:$AA,V$4,Datos_items!$E:$E,Analisis_grupo!$C$4))</f>
        <v/>
      </c>
      <c r="W137" s="2" t="str">
        <f aca="false">IF($B137="","",COUNTIFS(Datos_items!$B:$B,$B137,Datos_items!$AA:$AA,W$4,Datos_items!$E:$E,Analisis_grupo!$C$4))</f>
        <v/>
      </c>
      <c r="X137" s="2" t="str">
        <f aca="false">IF($B137="","",COUNTIFS(Datos_items!$B:$B,$B137,Datos_items!$AA:$AA,X$4,Datos_items!$E:$E,Analisis_grupo!$C$4))</f>
        <v/>
      </c>
      <c r="Y137" s="2" t="str">
        <f aca="false">IF($B137="","",COUNTIFS(Datos_items!$B:$B,$B137,Datos_items!$AA:$AA,Y$4,Datos_items!$E:$E,Analisis_grupo!$C$4))</f>
        <v/>
      </c>
      <c r="Z137" s="2" t="str">
        <f aca="false">IF($B137="","",COUNTIFS(Datos_items!$B:$B,$B137,Datos_items!$AA:$AA,Z$4,Datos_items!$E:$E,Analisis_grupo!$C$4))</f>
        <v/>
      </c>
      <c r="AA137" s="2" t="str">
        <f aca="false">IF($B137="","",COUNTIFS(Datos_items!$B:$B,$B137,Datos_items!$AA:$AA,AA$4,Datos_items!$E:$E,Analisis_grupo!$C$4))</f>
        <v/>
      </c>
      <c r="AB137" s="2" t="str">
        <f aca="false">IF($B137="","",COUNTIFS(Datos_items!$B:$B,$B137,Datos_items!$AA:$AA,AB$4,Datos_items!$E:$E,Analisis_grupo!$C$4))</f>
        <v/>
      </c>
      <c r="AC137" s="2" t="str">
        <f aca="false">IF($B137="","",COUNTIFS(Datos_items!$B:$B,$B137,Datos_items!$AA:$AA,AC$4,Datos_items!$E:$E,Analisis_grupo!$C$4))</f>
        <v/>
      </c>
      <c r="AD137" s="2" t="str">
        <f aca="false">IF($B137="","",COUNTIFS(Datos_items!$B:$B,$B137,Datos_items!$AA:$AA,AD$4,Datos_items!$E:$E,Analisis_grupo!$C$4))</f>
        <v/>
      </c>
      <c r="AE137" s="2" t="str">
        <f aca="false">IF($B137="","",COUNTIFS(Datos_items!$B:$B,$B137,Datos_items!$AA:$AA,AE$4,Datos_items!$E:$E,Analisis_grupo!$C$4))</f>
        <v/>
      </c>
      <c r="AF137" s="2" t="str">
        <f aca="false">IF($B137="","",COUNTIFS(Datos_items!$B:$B,$B137,Datos_items!$AA:$AA,AF$4,Datos_items!$E:$E,Analisis_grupo!$C$4))</f>
        <v/>
      </c>
      <c r="AG137" s="2" t="str">
        <f aca="false">IF($B137="","",COUNTIFS(Datos_items!$B:$B,$B137,Datos_items!$AA:$AA,AG$4,Datos_items!$E:$E,Analisis_grupo!$C$4))</f>
        <v/>
      </c>
      <c r="AH137" s="2" t="str">
        <f aca="false">IF($B137="","",COUNTIFS(Datos_items!$B:$B,$B137,Datos_items!$AA:$AA,AH$4,Datos_items!$E:$E,Analisis_grupo!$C$4))</f>
        <v/>
      </c>
      <c r="AI137" s="2" t="str">
        <f aca="false">IF($B137="","",COUNTIFS(Datos_items!$B:$B,$B137,Datos_items!$AA:$AA,AI$4,Datos_items!$E:$E,Analisis_grupo!$C$4))</f>
        <v/>
      </c>
      <c r="AJ137" s="2" t="str">
        <f aca="false">IF($B137="","",COUNTIFS(Datos_items!$B:$B,$B137,Datos_items!$AA:$AA,AJ$4,Datos_items!$E:$E,Analisis_grupo!$C$4))</f>
        <v/>
      </c>
      <c r="AK137" s="2" t="str">
        <f aca="false">IF($B137="","",COUNTIFS(Datos_items!$B:$B,$B137,Datos_items!$AA:$AA,AK$4,Datos_items!$E:$E,Analisis_grupo!$C$4))</f>
        <v/>
      </c>
      <c r="AL137" s="2" t="str">
        <f aca="false">IF($B137="","",COUNTIFS(Datos_items!$B:$B,$B137,Datos_items!$AA:$AA,AL$4,Datos_items!$E:$E,Analisis_grupo!$C$4))</f>
        <v/>
      </c>
      <c r="AM137" s="2" t="str">
        <f aca="false">IF($B137="","",IF(MAX(Y137:AL137)=0,"",INDEX($Y$4:$AL$4,MATCH(MAX(Y137:AL137),Y137:AL137,0))))</f>
        <v/>
      </c>
      <c r="AN137" s="2" t="str">
        <f aca="false">IF($B137="","",COUNTIFS(Datos_problemas!$B:$B,$B137,Datos_problemas!$F:$F,"Práctica"))</f>
        <v/>
      </c>
      <c r="AO137" s="2" t="str">
        <f aca="false">IF($B137="","",SUMIFS(Datos_problemas!$AQ:$AQ,Datos_problemas!$B:$B,$B137,Datos_problemas!$F:$F,"Práctica"))</f>
        <v/>
      </c>
      <c r="AP137" s="2" t="str">
        <f aca="false">IF($B137="","",COUNTIFS(Datos_problemas!$B:$B,$B137,Datos_problemas!$F:$F,"Práctica",Datos_problemas!$AS:$AS,"Sí"))</f>
        <v/>
      </c>
    </row>
    <row r="138" customFormat="false" ht="15" hidden="false" customHeight="false" outlineLevel="0" collapsed="false">
      <c r="A138" s="2" t="n">
        <v>134</v>
      </c>
      <c r="B138" s="2" t="str">
        <f aca="false">IFERROR(INDEX(Datos_problemas!$B:$B,MATCH($A138,Datos_problemas!$AV:$AV,0)),"")</f>
        <v/>
      </c>
      <c r="C138" s="2" t="str">
        <f aca="false">IF($B138="","",INDEX(Datos_problemas!$C:$C,MATCH($A138,Datos_problemas!$AV:$AV,0)))</f>
        <v/>
      </c>
      <c r="D138" s="2" t="str">
        <f aca="false">IF($B138="","",INDEX(Datos_problemas!$D:$D,MATCH($A138,Datos_problemas!$AV:$AV,0)))</f>
        <v/>
      </c>
      <c r="E138" s="2" t="str">
        <f aca="false">IF($B138="","",COUNTIFS(Datos_problemas!$B:$B,$B138,Datos_problemas!$F:$F,"Evaluación"))</f>
        <v/>
      </c>
      <c r="F138" s="20" t="str">
        <f aca="false">IF($B138="","",IFERROR(AVERAGEIFS(Datos_problemas!$AE:$AE,Datos_problemas!$B:$B,$B138,Datos_problemas!$F:$F,"Evaluación"),""))</f>
        <v/>
      </c>
      <c r="G138" s="20" t="str">
        <f aca="false">IF($B138="","",IFERROR(AVERAGEIFS(Datos_problemas!$AE:$AE,Datos_problemas!$B:$B,$B138,Datos_problemas!$F:$F,"Evaluación",Datos_problemas!$E:$E,"Diagnóstico"),""))</f>
        <v/>
      </c>
      <c r="H138" s="20" t="str">
        <f aca="false">IF($B138="","",IFERROR(AVERAGEIFS(Datos_problemas!$AE:$AE,Datos_problemas!$B:$B,$B138,Datos_problemas!$F:$F,"Evaluación",Datos_problemas!$E:$E,"Final"),""))</f>
        <v/>
      </c>
      <c r="I138" s="21" t="str">
        <f aca="false">IF(OR(G138="",H138=""),"",IF(G138&gt;=10,"",(H138-G138)/(10-G138)))</f>
        <v/>
      </c>
      <c r="J138" s="18" t="str">
        <f aca="false">IF($B138="","",IFERROR(SUMIFS(Datos_items!$Z:$Z,Datos_items!$B:$B,$B138,Datos_items!$O:$O,J$4,Datos_items!$E:$E,Analisis_grupo!$C$4)/COUNTIFS(Datos_items!$B:$B,$B138,Datos_items!$O:$O,J$4,Datos_items!$E:$E,Analisis_grupo!$C$4),""))</f>
        <v/>
      </c>
      <c r="K138" s="18" t="str">
        <f aca="false">IF($B138="","",IFERROR(SUMIFS(Datos_items!$Z:$Z,Datos_items!$B:$B,$B138,Datos_items!$O:$O,K$4,Datos_items!$E:$E,Analisis_grupo!$C$4)/COUNTIFS(Datos_items!$B:$B,$B138,Datos_items!$O:$O,K$4,Datos_items!$E:$E,Analisis_grupo!$C$4),""))</f>
        <v/>
      </c>
      <c r="L138" s="18" t="str">
        <f aca="false">IF($B138="","",IFERROR(SUMIFS(Datos_items!$Z:$Z,Datos_items!$B:$B,$B138,Datos_items!$O:$O,L$4,Datos_items!$E:$E,Analisis_grupo!$C$4)/COUNTIFS(Datos_items!$B:$B,$B138,Datos_items!$O:$O,L$4,Datos_items!$E:$E,Analisis_grupo!$C$4),""))</f>
        <v/>
      </c>
      <c r="M138" s="18" t="str">
        <f aca="false">IF($B138="","",IFERROR(SUMIFS(Datos_items!$Z:$Z,Datos_items!$B:$B,$B138,Datos_items!$O:$O,M$4,Datos_items!$E:$E,Analisis_grupo!$C$4)/COUNTIFS(Datos_items!$B:$B,$B138,Datos_items!$O:$O,M$4,Datos_items!$E:$E,Analisis_grupo!$C$4),""))</f>
        <v/>
      </c>
      <c r="N138" s="18" t="str">
        <f aca="false">IF($B138="","",IFERROR(SUMIFS(Datos_items!$Z:$Z,Datos_items!$B:$B,$B138,Datos_items!$O:$O,N$4,Datos_items!$E:$E,Analisis_grupo!$C$4)/COUNTIFS(Datos_items!$B:$B,$B138,Datos_items!$O:$O,N$4,Datos_items!$E:$E,Analisis_grupo!$C$4),""))</f>
        <v/>
      </c>
      <c r="O138" s="18" t="str">
        <f aca="false">IF($B138="","",IFERROR(SUMIFS(Datos_items!$Z:$Z,Datos_items!$B:$B,$B138,Datos_items!$O:$O,O$4,Datos_items!$E:$E,Analisis_grupo!$C$4)/COUNTIFS(Datos_items!$B:$B,$B138,Datos_items!$O:$O,O$4,Datos_items!$E:$E,Analisis_grupo!$C$4),""))</f>
        <v/>
      </c>
      <c r="P138" s="18" t="str">
        <f aca="false">IF($B138="","",IFERROR(SUMIFS(Datos_items!$Z:$Z,Datos_items!$B:$B,$B138,Datos_items!$O:$O,P$4,Datos_items!$E:$E,Analisis_grupo!$C$4)/COUNTIFS(Datos_items!$B:$B,$B138,Datos_items!$O:$O,P$4,Datos_items!$E:$E,Analisis_grupo!$C$4),""))</f>
        <v/>
      </c>
      <c r="Q138" s="18" t="str">
        <f aca="false">IF($B138="","",IFERROR(SUMIFS(Datos_items!$Z:$Z,Datos_items!$B:$B,$B138,Datos_items!$O:$O,Q$4,Datos_items!$E:$E,Analisis_grupo!$C$4)/COUNTIFS(Datos_items!$B:$B,$B138,Datos_items!$O:$O,Q$4,Datos_items!$E:$E,Analisis_grupo!$C$4),""))</f>
        <v/>
      </c>
      <c r="R138" s="2" t="str">
        <f aca="false">IF(COUNT(J138:Q138)=0,"",IF(MIN(J138:Q138)&gt;=Analisis_grupo!$B$7,"(ninguna)",INDEX($J$4:$Q$4,MATCH(MIN(J138:Q138),J138:Q138,0))))</f>
        <v/>
      </c>
      <c r="S138" s="2" t="str">
        <f aca="false">IF($B138="","",COUNTIF(J138:Q138,"&lt;"&amp;Analisis_grupo!$B$7))</f>
        <v/>
      </c>
      <c r="T138" s="2" t="str">
        <f aca="false">IF($B138="","",COUNTIFS(Datos_items!$B:$B,$B138,Datos_items!$AA:$AA,T$4,Datos_items!$E:$E,Analisis_grupo!$C$4))</f>
        <v/>
      </c>
      <c r="U138" s="2" t="str">
        <f aca="false">IF($B138="","",COUNTIFS(Datos_items!$B:$B,$B138,Datos_items!$AA:$AA,U$4,Datos_items!$E:$E,Analisis_grupo!$C$4))</f>
        <v/>
      </c>
      <c r="V138" s="2" t="str">
        <f aca="false">IF($B138="","",COUNTIFS(Datos_items!$B:$B,$B138,Datos_items!$AA:$AA,V$4,Datos_items!$E:$E,Analisis_grupo!$C$4))</f>
        <v/>
      </c>
      <c r="W138" s="2" t="str">
        <f aca="false">IF($B138="","",COUNTIFS(Datos_items!$B:$B,$B138,Datos_items!$AA:$AA,W$4,Datos_items!$E:$E,Analisis_grupo!$C$4))</f>
        <v/>
      </c>
      <c r="X138" s="2" t="str">
        <f aca="false">IF($B138="","",COUNTIFS(Datos_items!$B:$B,$B138,Datos_items!$AA:$AA,X$4,Datos_items!$E:$E,Analisis_grupo!$C$4))</f>
        <v/>
      </c>
      <c r="Y138" s="2" t="str">
        <f aca="false">IF($B138="","",COUNTIFS(Datos_items!$B:$B,$B138,Datos_items!$AA:$AA,Y$4,Datos_items!$E:$E,Analisis_grupo!$C$4))</f>
        <v/>
      </c>
      <c r="Z138" s="2" t="str">
        <f aca="false">IF($B138="","",COUNTIFS(Datos_items!$B:$B,$B138,Datos_items!$AA:$AA,Z$4,Datos_items!$E:$E,Analisis_grupo!$C$4))</f>
        <v/>
      </c>
      <c r="AA138" s="2" t="str">
        <f aca="false">IF($B138="","",COUNTIFS(Datos_items!$B:$B,$B138,Datos_items!$AA:$AA,AA$4,Datos_items!$E:$E,Analisis_grupo!$C$4))</f>
        <v/>
      </c>
      <c r="AB138" s="2" t="str">
        <f aca="false">IF($B138="","",COUNTIFS(Datos_items!$B:$B,$B138,Datos_items!$AA:$AA,AB$4,Datos_items!$E:$E,Analisis_grupo!$C$4))</f>
        <v/>
      </c>
      <c r="AC138" s="2" t="str">
        <f aca="false">IF($B138="","",COUNTIFS(Datos_items!$B:$B,$B138,Datos_items!$AA:$AA,AC$4,Datos_items!$E:$E,Analisis_grupo!$C$4))</f>
        <v/>
      </c>
      <c r="AD138" s="2" t="str">
        <f aca="false">IF($B138="","",COUNTIFS(Datos_items!$B:$B,$B138,Datos_items!$AA:$AA,AD$4,Datos_items!$E:$E,Analisis_grupo!$C$4))</f>
        <v/>
      </c>
      <c r="AE138" s="2" t="str">
        <f aca="false">IF($B138="","",COUNTIFS(Datos_items!$B:$B,$B138,Datos_items!$AA:$AA,AE$4,Datos_items!$E:$E,Analisis_grupo!$C$4))</f>
        <v/>
      </c>
      <c r="AF138" s="2" t="str">
        <f aca="false">IF($B138="","",COUNTIFS(Datos_items!$B:$B,$B138,Datos_items!$AA:$AA,AF$4,Datos_items!$E:$E,Analisis_grupo!$C$4))</f>
        <v/>
      </c>
      <c r="AG138" s="2" t="str">
        <f aca="false">IF($B138="","",COUNTIFS(Datos_items!$B:$B,$B138,Datos_items!$AA:$AA,AG$4,Datos_items!$E:$E,Analisis_grupo!$C$4))</f>
        <v/>
      </c>
      <c r="AH138" s="2" t="str">
        <f aca="false">IF($B138="","",COUNTIFS(Datos_items!$B:$B,$B138,Datos_items!$AA:$AA,AH$4,Datos_items!$E:$E,Analisis_grupo!$C$4))</f>
        <v/>
      </c>
      <c r="AI138" s="2" t="str">
        <f aca="false">IF($B138="","",COUNTIFS(Datos_items!$B:$B,$B138,Datos_items!$AA:$AA,AI$4,Datos_items!$E:$E,Analisis_grupo!$C$4))</f>
        <v/>
      </c>
      <c r="AJ138" s="2" t="str">
        <f aca="false">IF($B138="","",COUNTIFS(Datos_items!$B:$B,$B138,Datos_items!$AA:$AA,AJ$4,Datos_items!$E:$E,Analisis_grupo!$C$4))</f>
        <v/>
      </c>
      <c r="AK138" s="2" t="str">
        <f aca="false">IF($B138="","",COUNTIFS(Datos_items!$B:$B,$B138,Datos_items!$AA:$AA,AK$4,Datos_items!$E:$E,Analisis_grupo!$C$4))</f>
        <v/>
      </c>
      <c r="AL138" s="2" t="str">
        <f aca="false">IF($B138="","",COUNTIFS(Datos_items!$B:$B,$B138,Datos_items!$AA:$AA,AL$4,Datos_items!$E:$E,Analisis_grupo!$C$4))</f>
        <v/>
      </c>
      <c r="AM138" s="2" t="str">
        <f aca="false">IF($B138="","",IF(MAX(Y138:AL138)=0,"",INDEX($Y$4:$AL$4,MATCH(MAX(Y138:AL138),Y138:AL138,0))))</f>
        <v/>
      </c>
      <c r="AN138" s="2" t="str">
        <f aca="false">IF($B138="","",COUNTIFS(Datos_problemas!$B:$B,$B138,Datos_problemas!$F:$F,"Práctica"))</f>
        <v/>
      </c>
      <c r="AO138" s="2" t="str">
        <f aca="false">IF($B138="","",SUMIFS(Datos_problemas!$AQ:$AQ,Datos_problemas!$B:$B,$B138,Datos_problemas!$F:$F,"Práctica"))</f>
        <v/>
      </c>
      <c r="AP138" s="2" t="str">
        <f aca="false">IF($B138="","",COUNTIFS(Datos_problemas!$B:$B,$B138,Datos_problemas!$F:$F,"Práctica",Datos_problemas!$AS:$AS,"Sí"))</f>
        <v/>
      </c>
    </row>
    <row r="139" customFormat="false" ht="15" hidden="false" customHeight="false" outlineLevel="0" collapsed="false">
      <c r="A139" s="2" t="n">
        <v>135</v>
      </c>
      <c r="B139" s="2" t="str">
        <f aca="false">IFERROR(INDEX(Datos_problemas!$B:$B,MATCH($A139,Datos_problemas!$AV:$AV,0)),"")</f>
        <v/>
      </c>
      <c r="C139" s="2" t="str">
        <f aca="false">IF($B139="","",INDEX(Datos_problemas!$C:$C,MATCH($A139,Datos_problemas!$AV:$AV,0)))</f>
        <v/>
      </c>
      <c r="D139" s="2" t="str">
        <f aca="false">IF($B139="","",INDEX(Datos_problemas!$D:$D,MATCH($A139,Datos_problemas!$AV:$AV,0)))</f>
        <v/>
      </c>
      <c r="E139" s="2" t="str">
        <f aca="false">IF($B139="","",COUNTIFS(Datos_problemas!$B:$B,$B139,Datos_problemas!$F:$F,"Evaluación"))</f>
        <v/>
      </c>
      <c r="F139" s="20" t="str">
        <f aca="false">IF($B139="","",IFERROR(AVERAGEIFS(Datos_problemas!$AE:$AE,Datos_problemas!$B:$B,$B139,Datos_problemas!$F:$F,"Evaluación"),""))</f>
        <v/>
      </c>
      <c r="G139" s="20" t="str">
        <f aca="false">IF($B139="","",IFERROR(AVERAGEIFS(Datos_problemas!$AE:$AE,Datos_problemas!$B:$B,$B139,Datos_problemas!$F:$F,"Evaluación",Datos_problemas!$E:$E,"Diagnóstico"),""))</f>
        <v/>
      </c>
      <c r="H139" s="20" t="str">
        <f aca="false">IF($B139="","",IFERROR(AVERAGEIFS(Datos_problemas!$AE:$AE,Datos_problemas!$B:$B,$B139,Datos_problemas!$F:$F,"Evaluación",Datos_problemas!$E:$E,"Final"),""))</f>
        <v/>
      </c>
      <c r="I139" s="21" t="str">
        <f aca="false">IF(OR(G139="",H139=""),"",IF(G139&gt;=10,"",(H139-G139)/(10-G139)))</f>
        <v/>
      </c>
      <c r="J139" s="18" t="str">
        <f aca="false">IF($B139="","",IFERROR(SUMIFS(Datos_items!$Z:$Z,Datos_items!$B:$B,$B139,Datos_items!$O:$O,J$4,Datos_items!$E:$E,Analisis_grupo!$C$4)/COUNTIFS(Datos_items!$B:$B,$B139,Datos_items!$O:$O,J$4,Datos_items!$E:$E,Analisis_grupo!$C$4),""))</f>
        <v/>
      </c>
      <c r="K139" s="18" t="str">
        <f aca="false">IF($B139="","",IFERROR(SUMIFS(Datos_items!$Z:$Z,Datos_items!$B:$B,$B139,Datos_items!$O:$O,K$4,Datos_items!$E:$E,Analisis_grupo!$C$4)/COUNTIFS(Datos_items!$B:$B,$B139,Datos_items!$O:$O,K$4,Datos_items!$E:$E,Analisis_grupo!$C$4),""))</f>
        <v/>
      </c>
      <c r="L139" s="18" t="str">
        <f aca="false">IF($B139="","",IFERROR(SUMIFS(Datos_items!$Z:$Z,Datos_items!$B:$B,$B139,Datos_items!$O:$O,L$4,Datos_items!$E:$E,Analisis_grupo!$C$4)/COUNTIFS(Datos_items!$B:$B,$B139,Datos_items!$O:$O,L$4,Datos_items!$E:$E,Analisis_grupo!$C$4),""))</f>
        <v/>
      </c>
      <c r="M139" s="18" t="str">
        <f aca="false">IF($B139="","",IFERROR(SUMIFS(Datos_items!$Z:$Z,Datos_items!$B:$B,$B139,Datos_items!$O:$O,M$4,Datos_items!$E:$E,Analisis_grupo!$C$4)/COUNTIFS(Datos_items!$B:$B,$B139,Datos_items!$O:$O,M$4,Datos_items!$E:$E,Analisis_grupo!$C$4),""))</f>
        <v/>
      </c>
      <c r="N139" s="18" t="str">
        <f aca="false">IF($B139="","",IFERROR(SUMIFS(Datos_items!$Z:$Z,Datos_items!$B:$B,$B139,Datos_items!$O:$O,N$4,Datos_items!$E:$E,Analisis_grupo!$C$4)/COUNTIFS(Datos_items!$B:$B,$B139,Datos_items!$O:$O,N$4,Datos_items!$E:$E,Analisis_grupo!$C$4),""))</f>
        <v/>
      </c>
      <c r="O139" s="18" t="str">
        <f aca="false">IF($B139="","",IFERROR(SUMIFS(Datos_items!$Z:$Z,Datos_items!$B:$B,$B139,Datos_items!$O:$O,O$4,Datos_items!$E:$E,Analisis_grupo!$C$4)/COUNTIFS(Datos_items!$B:$B,$B139,Datos_items!$O:$O,O$4,Datos_items!$E:$E,Analisis_grupo!$C$4),""))</f>
        <v/>
      </c>
      <c r="P139" s="18" t="str">
        <f aca="false">IF($B139="","",IFERROR(SUMIFS(Datos_items!$Z:$Z,Datos_items!$B:$B,$B139,Datos_items!$O:$O,P$4,Datos_items!$E:$E,Analisis_grupo!$C$4)/COUNTIFS(Datos_items!$B:$B,$B139,Datos_items!$O:$O,P$4,Datos_items!$E:$E,Analisis_grupo!$C$4),""))</f>
        <v/>
      </c>
      <c r="Q139" s="18" t="str">
        <f aca="false">IF($B139="","",IFERROR(SUMIFS(Datos_items!$Z:$Z,Datos_items!$B:$B,$B139,Datos_items!$O:$O,Q$4,Datos_items!$E:$E,Analisis_grupo!$C$4)/COUNTIFS(Datos_items!$B:$B,$B139,Datos_items!$O:$O,Q$4,Datos_items!$E:$E,Analisis_grupo!$C$4),""))</f>
        <v/>
      </c>
      <c r="R139" s="2" t="str">
        <f aca="false">IF(COUNT(J139:Q139)=0,"",IF(MIN(J139:Q139)&gt;=Analisis_grupo!$B$7,"(ninguna)",INDEX($J$4:$Q$4,MATCH(MIN(J139:Q139),J139:Q139,0))))</f>
        <v/>
      </c>
      <c r="S139" s="2" t="str">
        <f aca="false">IF($B139="","",COUNTIF(J139:Q139,"&lt;"&amp;Analisis_grupo!$B$7))</f>
        <v/>
      </c>
      <c r="T139" s="2" t="str">
        <f aca="false">IF($B139="","",COUNTIFS(Datos_items!$B:$B,$B139,Datos_items!$AA:$AA,T$4,Datos_items!$E:$E,Analisis_grupo!$C$4))</f>
        <v/>
      </c>
      <c r="U139" s="2" t="str">
        <f aca="false">IF($B139="","",COUNTIFS(Datos_items!$B:$B,$B139,Datos_items!$AA:$AA,U$4,Datos_items!$E:$E,Analisis_grupo!$C$4))</f>
        <v/>
      </c>
      <c r="V139" s="2" t="str">
        <f aca="false">IF($B139="","",COUNTIFS(Datos_items!$B:$B,$B139,Datos_items!$AA:$AA,V$4,Datos_items!$E:$E,Analisis_grupo!$C$4))</f>
        <v/>
      </c>
      <c r="W139" s="2" t="str">
        <f aca="false">IF($B139="","",COUNTIFS(Datos_items!$B:$B,$B139,Datos_items!$AA:$AA,W$4,Datos_items!$E:$E,Analisis_grupo!$C$4))</f>
        <v/>
      </c>
      <c r="X139" s="2" t="str">
        <f aca="false">IF($B139="","",COUNTIFS(Datos_items!$B:$B,$B139,Datos_items!$AA:$AA,X$4,Datos_items!$E:$E,Analisis_grupo!$C$4))</f>
        <v/>
      </c>
      <c r="Y139" s="2" t="str">
        <f aca="false">IF($B139="","",COUNTIFS(Datos_items!$B:$B,$B139,Datos_items!$AA:$AA,Y$4,Datos_items!$E:$E,Analisis_grupo!$C$4))</f>
        <v/>
      </c>
      <c r="Z139" s="2" t="str">
        <f aca="false">IF($B139="","",COUNTIFS(Datos_items!$B:$B,$B139,Datos_items!$AA:$AA,Z$4,Datos_items!$E:$E,Analisis_grupo!$C$4))</f>
        <v/>
      </c>
      <c r="AA139" s="2" t="str">
        <f aca="false">IF($B139="","",COUNTIFS(Datos_items!$B:$B,$B139,Datos_items!$AA:$AA,AA$4,Datos_items!$E:$E,Analisis_grupo!$C$4))</f>
        <v/>
      </c>
      <c r="AB139" s="2" t="str">
        <f aca="false">IF($B139="","",COUNTIFS(Datos_items!$B:$B,$B139,Datos_items!$AA:$AA,AB$4,Datos_items!$E:$E,Analisis_grupo!$C$4))</f>
        <v/>
      </c>
      <c r="AC139" s="2" t="str">
        <f aca="false">IF($B139="","",COUNTIFS(Datos_items!$B:$B,$B139,Datos_items!$AA:$AA,AC$4,Datos_items!$E:$E,Analisis_grupo!$C$4))</f>
        <v/>
      </c>
      <c r="AD139" s="2" t="str">
        <f aca="false">IF($B139="","",COUNTIFS(Datos_items!$B:$B,$B139,Datos_items!$AA:$AA,AD$4,Datos_items!$E:$E,Analisis_grupo!$C$4))</f>
        <v/>
      </c>
      <c r="AE139" s="2" t="str">
        <f aca="false">IF($B139="","",COUNTIFS(Datos_items!$B:$B,$B139,Datos_items!$AA:$AA,AE$4,Datos_items!$E:$E,Analisis_grupo!$C$4))</f>
        <v/>
      </c>
      <c r="AF139" s="2" t="str">
        <f aca="false">IF($B139="","",COUNTIFS(Datos_items!$B:$B,$B139,Datos_items!$AA:$AA,AF$4,Datos_items!$E:$E,Analisis_grupo!$C$4))</f>
        <v/>
      </c>
      <c r="AG139" s="2" t="str">
        <f aca="false">IF($B139="","",COUNTIFS(Datos_items!$B:$B,$B139,Datos_items!$AA:$AA,AG$4,Datos_items!$E:$E,Analisis_grupo!$C$4))</f>
        <v/>
      </c>
      <c r="AH139" s="2" t="str">
        <f aca="false">IF($B139="","",COUNTIFS(Datos_items!$B:$B,$B139,Datos_items!$AA:$AA,AH$4,Datos_items!$E:$E,Analisis_grupo!$C$4))</f>
        <v/>
      </c>
      <c r="AI139" s="2" t="str">
        <f aca="false">IF($B139="","",COUNTIFS(Datos_items!$B:$B,$B139,Datos_items!$AA:$AA,AI$4,Datos_items!$E:$E,Analisis_grupo!$C$4))</f>
        <v/>
      </c>
      <c r="AJ139" s="2" t="str">
        <f aca="false">IF($B139="","",COUNTIFS(Datos_items!$B:$B,$B139,Datos_items!$AA:$AA,AJ$4,Datos_items!$E:$E,Analisis_grupo!$C$4))</f>
        <v/>
      </c>
      <c r="AK139" s="2" t="str">
        <f aca="false">IF($B139="","",COUNTIFS(Datos_items!$B:$B,$B139,Datos_items!$AA:$AA,AK$4,Datos_items!$E:$E,Analisis_grupo!$C$4))</f>
        <v/>
      </c>
      <c r="AL139" s="2" t="str">
        <f aca="false">IF($B139="","",COUNTIFS(Datos_items!$B:$B,$B139,Datos_items!$AA:$AA,AL$4,Datos_items!$E:$E,Analisis_grupo!$C$4))</f>
        <v/>
      </c>
      <c r="AM139" s="2" t="str">
        <f aca="false">IF($B139="","",IF(MAX(Y139:AL139)=0,"",INDEX($Y$4:$AL$4,MATCH(MAX(Y139:AL139),Y139:AL139,0))))</f>
        <v/>
      </c>
      <c r="AN139" s="2" t="str">
        <f aca="false">IF($B139="","",COUNTIFS(Datos_problemas!$B:$B,$B139,Datos_problemas!$F:$F,"Práctica"))</f>
        <v/>
      </c>
      <c r="AO139" s="2" t="str">
        <f aca="false">IF($B139="","",SUMIFS(Datos_problemas!$AQ:$AQ,Datos_problemas!$B:$B,$B139,Datos_problemas!$F:$F,"Práctica"))</f>
        <v/>
      </c>
      <c r="AP139" s="2" t="str">
        <f aca="false">IF($B139="","",COUNTIFS(Datos_problemas!$B:$B,$B139,Datos_problemas!$F:$F,"Práctica",Datos_problemas!$AS:$AS,"Sí"))</f>
        <v/>
      </c>
    </row>
    <row r="140" customFormat="false" ht="15" hidden="false" customHeight="false" outlineLevel="0" collapsed="false">
      <c r="A140" s="2" t="n">
        <v>136</v>
      </c>
      <c r="B140" s="2" t="str">
        <f aca="false">IFERROR(INDEX(Datos_problemas!$B:$B,MATCH($A140,Datos_problemas!$AV:$AV,0)),"")</f>
        <v/>
      </c>
      <c r="C140" s="2" t="str">
        <f aca="false">IF($B140="","",INDEX(Datos_problemas!$C:$C,MATCH($A140,Datos_problemas!$AV:$AV,0)))</f>
        <v/>
      </c>
      <c r="D140" s="2" t="str">
        <f aca="false">IF($B140="","",INDEX(Datos_problemas!$D:$D,MATCH($A140,Datos_problemas!$AV:$AV,0)))</f>
        <v/>
      </c>
      <c r="E140" s="2" t="str">
        <f aca="false">IF($B140="","",COUNTIFS(Datos_problemas!$B:$B,$B140,Datos_problemas!$F:$F,"Evaluación"))</f>
        <v/>
      </c>
      <c r="F140" s="20" t="str">
        <f aca="false">IF($B140="","",IFERROR(AVERAGEIFS(Datos_problemas!$AE:$AE,Datos_problemas!$B:$B,$B140,Datos_problemas!$F:$F,"Evaluación"),""))</f>
        <v/>
      </c>
      <c r="G140" s="20" t="str">
        <f aca="false">IF($B140="","",IFERROR(AVERAGEIFS(Datos_problemas!$AE:$AE,Datos_problemas!$B:$B,$B140,Datos_problemas!$F:$F,"Evaluación",Datos_problemas!$E:$E,"Diagnóstico"),""))</f>
        <v/>
      </c>
      <c r="H140" s="20" t="str">
        <f aca="false">IF($B140="","",IFERROR(AVERAGEIFS(Datos_problemas!$AE:$AE,Datos_problemas!$B:$B,$B140,Datos_problemas!$F:$F,"Evaluación",Datos_problemas!$E:$E,"Final"),""))</f>
        <v/>
      </c>
      <c r="I140" s="21" t="str">
        <f aca="false">IF(OR(G140="",H140=""),"",IF(G140&gt;=10,"",(H140-G140)/(10-G140)))</f>
        <v/>
      </c>
      <c r="J140" s="18" t="str">
        <f aca="false">IF($B140="","",IFERROR(SUMIFS(Datos_items!$Z:$Z,Datos_items!$B:$B,$B140,Datos_items!$O:$O,J$4,Datos_items!$E:$E,Analisis_grupo!$C$4)/COUNTIFS(Datos_items!$B:$B,$B140,Datos_items!$O:$O,J$4,Datos_items!$E:$E,Analisis_grupo!$C$4),""))</f>
        <v/>
      </c>
      <c r="K140" s="18" t="str">
        <f aca="false">IF($B140="","",IFERROR(SUMIFS(Datos_items!$Z:$Z,Datos_items!$B:$B,$B140,Datos_items!$O:$O,K$4,Datos_items!$E:$E,Analisis_grupo!$C$4)/COUNTIFS(Datos_items!$B:$B,$B140,Datos_items!$O:$O,K$4,Datos_items!$E:$E,Analisis_grupo!$C$4),""))</f>
        <v/>
      </c>
      <c r="L140" s="18" t="str">
        <f aca="false">IF($B140="","",IFERROR(SUMIFS(Datos_items!$Z:$Z,Datos_items!$B:$B,$B140,Datos_items!$O:$O,L$4,Datos_items!$E:$E,Analisis_grupo!$C$4)/COUNTIFS(Datos_items!$B:$B,$B140,Datos_items!$O:$O,L$4,Datos_items!$E:$E,Analisis_grupo!$C$4),""))</f>
        <v/>
      </c>
      <c r="M140" s="18" t="str">
        <f aca="false">IF($B140="","",IFERROR(SUMIFS(Datos_items!$Z:$Z,Datos_items!$B:$B,$B140,Datos_items!$O:$O,M$4,Datos_items!$E:$E,Analisis_grupo!$C$4)/COUNTIFS(Datos_items!$B:$B,$B140,Datos_items!$O:$O,M$4,Datos_items!$E:$E,Analisis_grupo!$C$4),""))</f>
        <v/>
      </c>
      <c r="N140" s="18" t="str">
        <f aca="false">IF($B140="","",IFERROR(SUMIFS(Datos_items!$Z:$Z,Datos_items!$B:$B,$B140,Datos_items!$O:$O,N$4,Datos_items!$E:$E,Analisis_grupo!$C$4)/COUNTIFS(Datos_items!$B:$B,$B140,Datos_items!$O:$O,N$4,Datos_items!$E:$E,Analisis_grupo!$C$4),""))</f>
        <v/>
      </c>
      <c r="O140" s="18" t="str">
        <f aca="false">IF($B140="","",IFERROR(SUMIFS(Datos_items!$Z:$Z,Datos_items!$B:$B,$B140,Datos_items!$O:$O,O$4,Datos_items!$E:$E,Analisis_grupo!$C$4)/COUNTIFS(Datos_items!$B:$B,$B140,Datos_items!$O:$O,O$4,Datos_items!$E:$E,Analisis_grupo!$C$4),""))</f>
        <v/>
      </c>
      <c r="P140" s="18" t="str">
        <f aca="false">IF($B140="","",IFERROR(SUMIFS(Datos_items!$Z:$Z,Datos_items!$B:$B,$B140,Datos_items!$O:$O,P$4,Datos_items!$E:$E,Analisis_grupo!$C$4)/COUNTIFS(Datos_items!$B:$B,$B140,Datos_items!$O:$O,P$4,Datos_items!$E:$E,Analisis_grupo!$C$4),""))</f>
        <v/>
      </c>
      <c r="Q140" s="18" t="str">
        <f aca="false">IF($B140="","",IFERROR(SUMIFS(Datos_items!$Z:$Z,Datos_items!$B:$B,$B140,Datos_items!$O:$O,Q$4,Datos_items!$E:$E,Analisis_grupo!$C$4)/COUNTIFS(Datos_items!$B:$B,$B140,Datos_items!$O:$O,Q$4,Datos_items!$E:$E,Analisis_grupo!$C$4),""))</f>
        <v/>
      </c>
      <c r="R140" s="2" t="str">
        <f aca="false">IF(COUNT(J140:Q140)=0,"",IF(MIN(J140:Q140)&gt;=Analisis_grupo!$B$7,"(ninguna)",INDEX($J$4:$Q$4,MATCH(MIN(J140:Q140),J140:Q140,0))))</f>
        <v/>
      </c>
      <c r="S140" s="2" t="str">
        <f aca="false">IF($B140="","",COUNTIF(J140:Q140,"&lt;"&amp;Analisis_grupo!$B$7))</f>
        <v/>
      </c>
      <c r="T140" s="2" t="str">
        <f aca="false">IF($B140="","",COUNTIFS(Datos_items!$B:$B,$B140,Datos_items!$AA:$AA,T$4,Datos_items!$E:$E,Analisis_grupo!$C$4))</f>
        <v/>
      </c>
      <c r="U140" s="2" t="str">
        <f aca="false">IF($B140="","",COUNTIFS(Datos_items!$B:$B,$B140,Datos_items!$AA:$AA,U$4,Datos_items!$E:$E,Analisis_grupo!$C$4))</f>
        <v/>
      </c>
      <c r="V140" s="2" t="str">
        <f aca="false">IF($B140="","",COUNTIFS(Datos_items!$B:$B,$B140,Datos_items!$AA:$AA,V$4,Datos_items!$E:$E,Analisis_grupo!$C$4))</f>
        <v/>
      </c>
      <c r="W140" s="2" t="str">
        <f aca="false">IF($B140="","",COUNTIFS(Datos_items!$B:$B,$B140,Datos_items!$AA:$AA,W$4,Datos_items!$E:$E,Analisis_grupo!$C$4))</f>
        <v/>
      </c>
      <c r="X140" s="2" t="str">
        <f aca="false">IF($B140="","",COUNTIFS(Datos_items!$B:$B,$B140,Datos_items!$AA:$AA,X$4,Datos_items!$E:$E,Analisis_grupo!$C$4))</f>
        <v/>
      </c>
      <c r="Y140" s="2" t="str">
        <f aca="false">IF($B140="","",COUNTIFS(Datos_items!$B:$B,$B140,Datos_items!$AA:$AA,Y$4,Datos_items!$E:$E,Analisis_grupo!$C$4))</f>
        <v/>
      </c>
      <c r="Z140" s="2" t="str">
        <f aca="false">IF($B140="","",COUNTIFS(Datos_items!$B:$B,$B140,Datos_items!$AA:$AA,Z$4,Datos_items!$E:$E,Analisis_grupo!$C$4))</f>
        <v/>
      </c>
      <c r="AA140" s="2" t="str">
        <f aca="false">IF($B140="","",COUNTIFS(Datos_items!$B:$B,$B140,Datos_items!$AA:$AA,AA$4,Datos_items!$E:$E,Analisis_grupo!$C$4))</f>
        <v/>
      </c>
      <c r="AB140" s="2" t="str">
        <f aca="false">IF($B140="","",COUNTIFS(Datos_items!$B:$B,$B140,Datos_items!$AA:$AA,AB$4,Datos_items!$E:$E,Analisis_grupo!$C$4))</f>
        <v/>
      </c>
      <c r="AC140" s="2" t="str">
        <f aca="false">IF($B140="","",COUNTIFS(Datos_items!$B:$B,$B140,Datos_items!$AA:$AA,AC$4,Datos_items!$E:$E,Analisis_grupo!$C$4))</f>
        <v/>
      </c>
      <c r="AD140" s="2" t="str">
        <f aca="false">IF($B140="","",COUNTIFS(Datos_items!$B:$B,$B140,Datos_items!$AA:$AA,AD$4,Datos_items!$E:$E,Analisis_grupo!$C$4))</f>
        <v/>
      </c>
      <c r="AE140" s="2" t="str">
        <f aca="false">IF($B140="","",COUNTIFS(Datos_items!$B:$B,$B140,Datos_items!$AA:$AA,AE$4,Datos_items!$E:$E,Analisis_grupo!$C$4))</f>
        <v/>
      </c>
      <c r="AF140" s="2" t="str">
        <f aca="false">IF($B140="","",COUNTIFS(Datos_items!$B:$B,$B140,Datos_items!$AA:$AA,AF$4,Datos_items!$E:$E,Analisis_grupo!$C$4))</f>
        <v/>
      </c>
      <c r="AG140" s="2" t="str">
        <f aca="false">IF($B140="","",COUNTIFS(Datos_items!$B:$B,$B140,Datos_items!$AA:$AA,AG$4,Datos_items!$E:$E,Analisis_grupo!$C$4))</f>
        <v/>
      </c>
      <c r="AH140" s="2" t="str">
        <f aca="false">IF($B140="","",COUNTIFS(Datos_items!$B:$B,$B140,Datos_items!$AA:$AA,AH$4,Datos_items!$E:$E,Analisis_grupo!$C$4))</f>
        <v/>
      </c>
      <c r="AI140" s="2" t="str">
        <f aca="false">IF($B140="","",COUNTIFS(Datos_items!$B:$B,$B140,Datos_items!$AA:$AA,AI$4,Datos_items!$E:$E,Analisis_grupo!$C$4))</f>
        <v/>
      </c>
      <c r="AJ140" s="2" t="str">
        <f aca="false">IF($B140="","",COUNTIFS(Datos_items!$B:$B,$B140,Datos_items!$AA:$AA,AJ$4,Datos_items!$E:$E,Analisis_grupo!$C$4))</f>
        <v/>
      </c>
      <c r="AK140" s="2" t="str">
        <f aca="false">IF($B140="","",COUNTIFS(Datos_items!$B:$B,$B140,Datos_items!$AA:$AA,AK$4,Datos_items!$E:$E,Analisis_grupo!$C$4))</f>
        <v/>
      </c>
      <c r="AL140" s="2" t="str">
        <f aca="false">IF($B140="","",COUNTIFS(Datos_items!$B:$B,$B140,Datos_items!$AA:$AA,AL$4,Datos_items!$E:$E,Analisis_grupo!$C$4))</f>
        <v/>
      </c>
      <c r="AM140" s="2" t="str">
        <f aca="false">IF($B140="","",IF(MAX(Y140:AL140)=0,"",INDEX($Y$4:$AL$4,MATCH(MAX(Y140:AL140),Y140:AL140,0))))</f>
        <v/>
      </c>
      <c r="AN140" s="2" t="str">
        <f aca="false">IF($B140="","",COUNTIFS(Datos_problemas!$B:$B,$B140,Datos_problemas!$F:$F,"Práctica"))</f>
        <v/>
      </c>
      <c r="AO140" s="2" t="str">
        <f aca="false">IF($B140="","",SUMIFS(Datos_problemas!$AQ:$AQ,Datos_problemas!$B:$B,$B140,Datos_problemas!$F:$F,"Práctica"))</f>
        <v/>
      </c>
      <c r="AP140" s="2" t="str">
        <f aca="false">IF($B140="","",COUNTIFS(Datos_problemas!$B:$B,$B140,Datos_problemas!$F:$F,"Práctica",Datos_problemas!$AS:$AS,"Sí"))</f>
        <v/>
      </c>
    </row>
    <row r="141" customFormat="false" ht="15" hidden="false" customHeight="false" outlineLevel="0" collapsed="false">
      <c r="A141" s="2" t="n">
        <v>137</v>
      </c>
      <c r="B141" s="2" t="str">
        <f aca="false">IFERROR(INDEX(Datos_problemas!$B:$B,MATCH($A141,Datos_problemas!$AV:$AV,0)),"")</f>
        <v/>
      </c>
      <c r="C141" s="2" t="str">
        <f aca="false">IF($B141="","",INDEX(Datos_problemas!$C:$C,MATCH($A141,Datos_problemas!$AV:$AV,0)))</f>
        <v/>
      </c>
      <c r="D141" s="2" t="str">
        <f aca="false">IF($B141="","",INDEX(Datos_problemas!$D:$D,MATCH($A141,Datos_problemas!$AV:$AV,0)))</f>
        <v/>
      </c>
      <c r="E141" s="2" t="str">
        <f aca="false">IF($B141="","",COUNTIFS(Datos_problemas!$B:$B,$B141,Datos_problemas!$F:$F,"Evaluación"))</f>
        <v/>
      </c>
      <c r="F141" s="20" t="str">
        <f aca="false">IF($B141="","",IFERROR(AVERAGEIFS(Datos_problemas!$AE:$AE,Datos_problemas!$B:$B,$B141,Datos_problemas!$F:$F,"Evaluación"),""))</f>
        <v/>
      </c>
      <c r="G141" s="20" t="str">
        <f aca="false">IF($B141="","",IFERROR(AVERAGEIFS(Datos_problemas!$AE:$AE,Datos_problemas!$B:$B,$B141,Datos_problemas!$F:$F,"Evaluación",Datos_problemas!$E:$E,"Diagnóstico"),""))</f>
        <v/>
      </c>
      <c r="H141" s="20" t="str">
        <f aca="false">IF($B141="","",IFERROR(AVERAGEIFS(Datos_problemas!$AE:$AE,Datos_problemas!$B:$B,$B141,Datos_problemas!$F:$F,"Evaluación",Datos_problemas!$E:$E,"Final"),""))</f>
        <v/>
      </c>
      <c r="I141" s="21" t="str">
        <f aca="false">IF(OR(G141="",H141=""),"",IF(G141&gt;=10,"",(H141-G141)/(10-G141)))</f>
        <v/>
      </c>
      <c r="J141" s="18" t="str">
        <f aca="false">IF($B141="","",IFERROR(SUMIFS(Datos_items!$Z:$Z,Datos_items!$B:$B,$B141,Datos_items!$O:$O,J$4,Datos_items!$E:$E,Analisis_grupo!$C$4)/COUNTIFS(Datos_items!$B:$B,$B141,Datos_items!$O:$O,J$4,Datos_items!$E:$E,Analisis_grupo!$C$4),""))</f>
        <v/>
      </c>
      <c r="K141" s="18" t="str">
        <f aca="false">IF($B141="","",IFERROR(SUMIFS(Datos_items!$Z:$Z,Datos_items!$B:$B,$B141,Datos_items!$O:$O,K$4,Datos_items!$E:$E,Analisis_grupo!$C$4)/COUNTIFS(Datos_items!$B:$B,$B141,Datos_items!$O:$O,K$4,Datos_items!$E:$E,Analisis_grupo!$C$4),""))</f>
        <v/>
      </c>
      <c r="L141" s="18" t="str">
        <f aca="false">IF($B141="","",IFERROR(SUMIFS(Datos_items!$Z:$Z,Datos_items!$B:$B,$B141,Datos_items!$O:$O,L$4,Datos_items!$E:$E,Analisis_grupo!$C$4)/COUNTIFS(Datos_items!$B:$B,$B141,Datos_items!$O:$O,L$4,Datos_items!$E:$E,Analisis_grupo!$C$4),""))</f>
        <v/>
      </c>
      <c r="M141" s="18" t="str">
        <f aca="false">IF($B141="","",IFERROR(SUMIFS(Datos_items!$Z:$Z,Datos_items!$B:$B,$B141,Datos_items!$O:$O,M$4,Datos_items!$E:$E,Analisis_grupo!$C$4)/COUNTIFS(Datos_items!$B:$B,$B141,Datos_items!$O:$O,M$4,Datos_items!$E:$E,Analisis_grupo!$C$4),""))</f>
        <v/>
      </c>
      <c r="N141" s="18" t="str">
        <f aca="false">IF($B141="","",IFERROR(SUMIFS(Datos_items!$Z:$Z,Datos_items!$B:$B,$B141,Datos_items!$O:$O,N$4,Datos_items!$E:$E,Analisis_grupo!$C$4)/COUNTIFS(Datos_items!$B:$B,$B141,Datos_items!$O:$O,N$4,Datos_items!$E:$E,Analisis_grupo!$C$4),""))</f>
        <v/>
      </c>
      <c r="O141" s="18" t="str">
        <f aca="false">IF($B141="","",IFERROR(SUMIFS(Datos_items!$Z:$Z,Datos_items!$B:$B,$B141,Datos_items!$O:$O,O$4,Datos_items!$E:$E,Analisis_grupo!$C$4)/COUNTIFS(Datos_items!$B:$B,$B141,Datos_items!$O:$O,O$4,Datos_items!$E:$E,Analisis_grupo!$C$4),""))</f>
        <v/>
      </c>
      <c r="P141" s="18" t="str">
        <f aca="false">IF($B141="","",IFERROR(SUMIFS(Datos_items!$Z:$Z,Datos_items!$B:$B,$B141,Datos_items!$O:$O,P$4,Datos_items!$E:$E,Analisis_grupo!$C$4)/COUNTIFS(Datos_items!$B:$B,$B141,Datos_items!$O:$O,P$4,Datos_items!$E:$E,Analisis_grupo!$C$4),""))</f>
        <v/>
      </c>
      <c r="Q141" s="18" t="str">
        <f aca="false">IF($B141="","",IFERROR(SUMIFS(Datos_items!$Z:$Z,Datos_items!$B:$B,$B141,Datos_items!$O:$O,Q$4,Datos_items!$E:$E,Analisis_grupo!$C$4)/COUNTIFS(Datos_items!$B:$B,$B141,Datos_items!$O:$O,Q$4,Datos_items!$E:$E,Analisis_grupo!$C$4),""))</f>
        <v/>
      </c>
      <c r="R141" s="2" t="str">
        <f aca="false">IF(COUNT(J141:Q141)=0,"",IF(MIN(J141:Q141)&gt;=Analisis_grupo!$B$7,"(ninguna)",INDEX($J$4:$Q$4,MATCH(MIN(J141:Q141),J141:Q141,0))))</f>
        <v/>
      </c>
      <c r="S141" s="2" t="str">
        <f aca="false">IF($B141="","",COUNTIF(J141:Q141,"&lt;"&amp;Analisis_grupo!$B$7))</f>
        <v/>
      </c>
      <c r="T141" s="2" t="str">
        <f aca="false">IF($B141="","",COUNTIFS(Datos_items!$B:$B,$B141,Datos_items!$AA:$AA,T$4,Datos_items!$E:$E,Analisis_grupo!$C$4))</f>
        <v/>
      </c>
      <c r="U141" s="2" t="str">
        <f aca="false">IF($B141="","",COUNTIFS(Datos_items!$B:$B,$B141,Datos_items!$AA:$AA,U$4,Datos_items!$E:$E,Analisis_grupo!$C$4))</f>
        <v/>
      </c>
      <c r="V141" s="2" t="str">
        <f aca="false">IF($B141="","",COUNTIFS(Datos_items!$B:$B,$B141,Datos_items!$AA:$AA,V$4,Datos_items!$E:$E,Analisis_grupo!$C$4))</f>
        <v/>
      </c>
      <c r="W141" s="2" t="str">
        <f aca="false">IF($B141="","",COUNTIFS(Datos_items!$B:$B,$B141,Datos_items!$AA:$AA,W$4,Datos_items!$E:$E,Analisis_grupo!$C$4))</f>
        <v/>
      </c>
      <c r="X141" s="2" t="str">
        <f aca="false">IF($B141="","",COUNTIFS(Datos_items!$B:$B,$B141,Datos_items!$AA:$AA,X$4,Datos_items!$E:$E,Analisis_grupo!$C$4))</f>
        <v/>
      </c>
      <c r="Y141" s="2" t="str">
        <f aca="false">IF($B141="","",COUNTIFS(Datos_items!$B:$B,$B141,Datos_items!$AA:$AA,Y$4,Datos_items!$E:$E,Analisis_grupo!$C$4))</f>
        <v/>
      </c>
      <c r="Z141" s="2" t="str">
        <f aca="false">IF($B141="","",COUNTIFS(Datos_items!$B:$B,$B141,Datos_items!$AA:$AA,Z$4,Datos_items!$E:$E,Analisis_grupo!$C$4))</f>
        <v/>
      </c>
      <c r="AA141" s="2" t="str">
        <f aca="false">IF($B141="","",COUNTIFS(Datos_items!$B:$B,$B141,Datos_items!$AA:$AA,AA$4,Datos_items!$E:$E,Analisis_grupo!$C$4))</f>
        <v/>
      </c>
      <c r="AB141" s="2" t="str">
        <f aca="false">IF($B141="","",COUNTIFS(Datos_items!$B:$B,$B141,Datos_items!$AA:$AA,AB$4,Datos_items!$E:$E,Analisis_grupo!$C$4))</f>
        <v/>
      </c>
      <c r="AC141" s="2" t="str">
        <f aca="false">IF($B141="","",COUNTIFS(Datos_items!$B:$B,$B141,Datos_items!$AA:$AA,AC$4,Datos_items!$E:$E,Analisis_grupo!$C$4))</f>
        <v/>
      </c>
      <c r="AD141" s="2" t="str">
        <f aca="false">IF($B141="","",COUNTIFS(Datos_items!$B:$B,$B141,Datos_items!$AA:$AA,AD$4,Datos_items!$E:$E,Analisis_grupo!$C$4))</f>
        <v/>
      </c>
      <c r="AE141" s="2" t="str">
        <f aca="false">IF($B141="","",COUNTIFS(Datos_items!$B:$B,$B141,Datos_items!$AA:$AA,AE$4,Datos_items!$E:$E,Analisis_grupo!$C$4))</f>
        <v/>
      </c>
      <c r="AF141" s="2" t="str">
        <f aca="false">IF($B141="","",COUNTIFS(Datos_items!$B:$B,$B141,Datos_items!$AA:$AA,AF$4,Datos_items!$E:$E,Analisis_grupo!$C$4))</f>
        <v/>
      </c>
      <c r="AG141" s="2" t="str">
        <f aca="false">IF($B141="","",COUNTIFS(Datos_items!$B:$B,$B141,Datos_items!$AA:$AA,AG$4,Datos_items!$E:$E,Analisis_grupo!$C$4))</f>
        <v/>
      </c>
      <c r="AH141" s="2" t="str">
        <f aca="false">IF($B141="","",COUNTIFS(Datos_items!$B:$B,$B141,Datos_items!$AA:$AA,AH$4,Datos_items!$E:$E,Analisis_grupo!$C$4))</f>
        <v/>
      </c>
      <c r="AI141" s="2" t="str">
        <f aca="false">IF($B141="","",COUNTIFS(Datos_items!$B:$B,$B141,Datos_items!$AA:$AA,AI$4,Datos_items!$E:$E,Analisis_grupo!$C$4))</f>
        <v/>
      </c>
      <c r="AJ141" s="2" t="str">
        <f aca="false">IF($B141="","",COUNTIFS(Datos_items!$B:$B,$B141,Datos_items!$AA:$AA,AJ$4,Datos_items!$E:$E,Analisis_grupo!$C$4))</f>
        <v/>
      </c>
      <c r="AK141" s="2" t="str">
        <f aca="false">IF($B141="","",COUNTIFS(Datos_items!$B:$B,$B141,Datos_items!$AA:$AA,AK$4,Datos_items!$E:$E,Analisis_grupo!$C$4))</f>
        <v/>
      </c>
      <c r="AL141" s="2" t="str">
        <f aca="false">IF($B141="","",COUNTIFS(Datos_items!$B:$B,$B141,Datos_items!$AA:$AA,AL$4,Datos_items!$E:$E,Analisis_grupo!$C$4))</f>
        <v/>
      </c>
      <c r="AM141" s="2" t="str">
        <f aca="false">IF($B141="","",IF(MAX(Y141:AL141)=0,"",INDEX($Y$4:$AL$4,MATCH(MAX(Y141:AL141),Y141:AL141,0))))</f>
        <v/>
      </c>
      <c r="AN141" s="2" t="str">
        <f aca="false">IF($B141="","",COUNTIFS(Datos_problemas!$B:$B,$B141,Datos_problemas!$F:$F,"Práctica"))</f>
        <v/>
      </c>
      <c r="AO141" s="2" t="str">
        <f aca="false">IF($B141="","",SUMIFS(Datos_problemas!$AQ:$AQ,Datos_problemas!$B:$B,$B141,Datos_problemas!$F:$F,"Práctica"))</f>
        <v/>
      </c>
      <c r="AP141" s="2" t="str">
        <f aca="false">IF($B141="","",COUNTIFS(Datos_problemas!$B:$B,$B141,Datos_problemas!$F:$F,"Práctica",Datos_problemas!$AS:$AS,"Sí"))</f>
        <v/>
      </c>
    </row>
    <row r="142" customFormat="false" ht="15" hidden="false" customHeight="false" outlineLevel="0" collapsed="false">
      <c r="A142" s="2" t="n">
        <v>138</v>
      </c>
      <c r="B142" s="2" t="str">
        <f aca="false">IFERROR(INDEX(Datos_problemas!$B:$B,MATCH($A142,Datos_problemas!$AV:$AV,0)),"")</f>
        <v/>
      </c>
      <c r="C142" s="2" t="str">
        <f aca="false">IF($B142="","",INDEX(Datos_problemas!$C:$C,MATCH($A142,Datos_problemas!$AV:$AV,0)))</f>
        <v/>
      </c>
      <c r="D142" s="2" t="str">
        <f aca="false">IF($B142="","",INDEX(Datos_problemas!$D:$D,MATCH($A142,Datos_problemas!$AV:$AV,0)))</f>
        <v/>
      </c>
      <c r="E142" s="2" t="str">
        <f aca="false">IF($B142="","",COUNTIFS(Datos_problemas!$B:$B,$B142,Datos_problemas!$F:$F,"Evaluación"))</f>
        <v/>
      </c>
      <c r="F142" s="20" t="str">
        <f aca="false">IF($B142="","",IFERROR(AVERAGEIFS(Datos_problemas!$AE:$AE,Datos_problemas!$B:$B,$B142,Datos_problemas!$F:$F,"Evaluación"),""))</f>
        <v/>
      </c>
      <c r="G142" s="20" t="str">
        <f aca="false">IF($B142="","",IFERROR(AVERAGEIFS(Datos_problemas!$AE:$AE,Datos_problemas!$B:$B,$B142,Datos_problemas!$F:$F,"Evaluación",Datos_problemas!$E:$E,"Diagnóstico"),""))</f>
        <v/>
      </c>
      <c r="H142" s="20" t="str">
        <f aca="false">IF($B142="","",IFERROR(AVERAGEIFS(Datos_problemas!$AE:$AE,Datos_problemas!$B:$B,$B142,Datos_problemas!$F:$F,"Evaluación",Datos_problemas!$E:$E,"Final"),""))</f>
        <v/>
      </c>
      <c r="I142" s="21" t="str">
        <f aca="false">IF(OR(G142="",H142=""),"",IF(G142&gt;=10,"",(H142-G142)/(10-G142)))</f>
        <v/>
      </c>
      <c r="J142" s="18" t="str">
        <f aca="false">IF($B142="","",IFERROR(SUMIFS(Datos_items!$Z:$Z,Datos_items!$B:$B,$B142,Datos_items!$O:$O,J$4,Datos_items!$E:$E,Analisis_grupo!$C$4)/COUNTIFS(Datos_items!$B:$B,$B142,Datos_items!$O:$O,J$4,Datos_items!$E:$E,Analisis_grupo!$C$4),""))</f>
        <v/>
      </c>
      <c r="K142" s="18" t="str">
        <f aca="false">IF($B142="","",IFERROR(SUMIFS(Datos_items!$Z:$Z,Datos_items!$B:$B,$B142,Datos_items!$O:$O,K$4,Datos_items!$E:$E,Analisis_grupo!$C$4)/COUNTIFS(Datos_items!$B:$B,$B142,Datos_items!$O:$O,K$4,Datos_items!$E:$E,Analisis_grupo!$C$4),""))</f>
        <v/>
      </c>
      <c r="L142" s="18" t="str">
        <f aca="false">IF($B142="","",IFERROR(SUMIFS(Datos_items!$Z:$Z,Datos_items!$B:$B,$B142,Datos_items!$O:$O,L$4,Datos_items!$E:$E,Analisis_grupo!$C$4)/COUNTIFS(Datos_items!$B:$B,$B142,Datos_items!$O:$O,L$4,Datos_items!$E:$E,Analisis_grupo!$C$4),""))</f>
        <v/>
      </c>
      <c r="M142" s="18" t="str">
        <f aca="false">IF($B142="","",IFERROR(SUMIFS(Datos_items!$Z:$Z,Datos_items!$B:$B,$B142,Datos_items!$O:$O,M$4,Datos_items!$E:$E,Analisis_grupo!$C$4)/COUNTIFS(Datos_items!$B:$B,$B142,Datos_items!$O:$O,M$4,Datos_items!$E:$E,Analisis_grupo!$C$4),""))</f>
        <v/>
      </c>
      <c r="N142" s="18" t="str">
        <f aca="false">IF($B142="","",IFERROR(SUMIFS(Datos_items!$Z:$Z,Datos_items!$B:$B,$B142,Datos_items!$O:$O,N$4,Datos_items!$E:$E,Analisis_grupo!$C$4)/COUNTIFS(Datos_items!$B:$B,$B142,Datos_items!$O:$O,N$4,Datos_items!$E:$E,Analisis_grupo!$C$4),""))</f>
        <v/>
      </c>
      <c r="O142" s="18" t="str">
        <f aca="false">IF($B142="","",IFERROR(SUMIFS(Datos_items!$Z:$Z,Datos_items!$B:$B,$B142,Datos_items!$O:$O,O$4,Datos_items!$E:$E,Analisis_grupo!$C$4)/COUNTIFS(Datos_items!$B:$B,$B142,Datos_items!$O:$O,O$4,Datos_items!$E:$E,Analisis_grupo!$C$4),""))</f>
        <v/>
      </c>
      <c r="P142" s="18" t="str">
        <f aca="false">IF($B142="","",IFERROR(SUMIFS(Datos_items!$Z:$Z,Datos_items!$B:$B,$B142,Datos_items!$O:$O,P$4,Datos_items!$E:$E,Analisis_grupo!$C$4)/COUNTIFS(Datos_items!$B:$B,$B142,Datos_items!$O:$O,P$4,Datos_items!$E:$E,Analisis_grupo!$C$4),""))</f>
        <v/>
      </c>
      <c r="Q142" s="18" t="str">
        <f aca="false">IF($B142="","",IFERROR(SUMIFS(Datos_items!$Z:$Z,Datos_items!$B:$B,$B142,Datos_items!$O:$O,Q$4,Datos_items!$E:$E,Analisis_grupo!$C$4)/COUNTIFS(Datos_items!$B:$B,$B142,Datos_items!$O:$O,Q$4,Datos_items!$E:$E,Analisis_grupo!$C$4),""))</f>
        <v/>
      </c>
      <c r="R142" s="2" t="str">
        <f aca="false">IF(COUNT(J142:Q142)=0,"",IF(MIN(J142:Q142)&gt;=Analisis_grupo!$B$7,"(ninguna)",INDEX($J$4:$Q$4,MATCH(MIN(J142:Q142),J142:Q142,0))))</f>
        <v/>
      </c>
      <c r="S142" s="2" t="str">
        <f aca="false">IF($B142="","",COUNTIF(J142:Q142,"&lt;"&amp;Analisis_grupo!$B$7))</f>
        <v/>
      </c>
      <c r="T142" s="2" t="str">
        <f aca="false">IF($B142="","",COUNTIFS(Datos_items!$B:$B,$B142,Datos_items!$AA:$AA,T$4,Datos_items!$E:$E,Analisis_grupo!$C$4))</f>
        <v/>
      </c>
      <c r="U142" s="2" t="str">
        <f aca="false">IF($B142="","",COUNTIFS(Datos_items!$B:$B,$B142,Datos_items!$AA:$AA,U$4,Datos_items!$E:$E,Analisis_grupo!$C$4))</f>
        <v/>
      </c>
      <c r="V142" s="2" t="str">
        <f aca="false">IF($B142="","",COUNTIFS(Datos_items!$B:$B,$B142,Datos_items!$AA:$AA,V$4,Datos_items!$E:$E,Analisis_grupo!$C$4))</f>
        <v/>
      </c>
      <c r="W142" s="2" t="str">
        <f aca="false">IF($B142="","",COUNTIFS(Datos_items!$B:$B,$B142,Datos_items!$AA:$AA,W$4,Datos_items!$E:$E,Analisis_grupo!$C$4))</f>
        <v/>
      </c>
      <c r="X142" s="2" t="str">
        <f aca="false">IF($B142="","",COUNTIFS(Datos_items!$B:$B,$B142,Datos_items!$AA:$AA,X$4,Datos_items!$E:$E,Analisis_grupo!$C$4))</f>
        <v/>
      </c>
      <c r="Y142" s="2" t="str">
        <f aca="false">IF($B142="","",COUNTIFS(Datos_items!$B:$B,$B142,Datos_items!$AA:$AA,Y$4,Datos_items!$E:$E,Analisis_grupo!$C$4))</f>
        <v/>
      </c>
      <c r="Z142" s="2" t="str">
        <f aca="false">IF($B142="","",COUNTIFS(Datos_items!$B:$B,$B142,Datos_items!$AA:$AA,Z$4,Datos_items!$E:$E,Analisis_grupo!$C$4))</f>
        <v/>
      </c>
      <c r="AA142" s="2" t="str">
        <f aca="false">IF($B142="","",COUNTIFS(Datos_items!$B:$B,$B142,Datos_items!$AA:$AA,AA$4,Datos_items!$E:$E,Analisis_grupo!$C$4))</f>
        <v/>
      </c>
      <c r="AB142" s="2" t="str">
        <f aca="false">IF($B142="","",COUNTIFS(Datos_items!$B:$B,$B142,Datos_items!$AA:$AA,AB$4,Datos_items!$E:$E,Analisis_grupo!$C$4))</f>
        <v/>
      </c>
      <c r="AC142" s="2" t="str">
        <f aca="false">IF($B142="","",COUNTIFS(Datos_items!$B:$B,$B142,Datos_items!$AA:$AA,AC$4,Datos_items!$E:$E,Analisis_grupo!$C$4))</f>
        <v/>
      </c>
      <c r="AD142" s="2" t="str">
        <f aca="false">IF($B142="","",COUNTIFS(Datos_items!$B:$B,$B142,Datos_items!$AA:$AA,AD$4,Datos_items!$E:$E,Analisis_grupo!$C$4))</f>
        <v/>
      </c>
      <c r="AE142" s="2" t="str">
        <f aca="false">IF($B142="","",COUNTIFS(Datos_items!$B:$B,$B142,Datos_items!$AA:$AA,AE$4,Datos_items!$E:$E,Analisis_grupo!$C$4))</f>
        <v/>
      </c>
      <c r="AF142" s="2" t="str">
        <f aca="false">IF($B142="","",COUNTIFS(Datos_items!$B:$B,$B142,Datos_items!$AA:$AA,AF$4,Datos_items!$E:$E,Analisis_grupo!$C$4))</f>
        <v/>
      </c>
      <c r="AG142" s="2" t="str">
        <f aca="false">IF($B142="","",COUNTIFS(Datos_items!$B:$B,$B142,Datos_items!$AA:$AA,AG$4,Datos_items!$E:$E,Analisis_grupo!$C$4))</f>
        <v/>
      </c>
      <c r="AH142" s="2" t="str">
        <f aca="false">IF($B142="","",COUNTIFS(Datos_items!$B:$B,$B142,Datos_items!$AA:$AA,AH$4,Datos_items!$E:$E,Analisis_grupo!$C$4))</f>
        <v/>
      </c>
      <c r="AI142" s="2" t="str">
        <f aca="false">IF($B142="","",COUNTIFS(Datos_items!$B:$B,$B142,Datos_items!$AA:$AA,AI$4,Datos_items!$E:$E,Analisis_grupo!$C$4))</f>
        <v/>
      </c>
      <c r="AJ142" s="2" t="str">
        <f aca="false">IF($B142="","",COUNTIFS(Datos_items!$B:$B,$B142,Datos_items!$AA:$AA,AJ$4,Datos_items!$E:$E,Analisis_grupo!$C$4))</f>
        <v/>
      </c>
      <c r="AK142" s="2" t="str">
        <f aca="false">IF($B142="","",COUNTIFS(Datos_items!$B:$B,$B142,Datos_items!$AA:$AA,AK$4,Datos_items!$E:$E,Analisis_grupo!$C$4))</f>
        <v/>
      </c>
      <c r="AL142" s="2" t="str">
        <f aca="false">IF($B142="","",COUNTIFS(Datos_items!$B:$B,$B142,Datos_items!$AA:$AA,AL$4,Datos_items!$E:$E,Analisis_grupo!$C$4))</f>
        <v/>
      </c>
      <c r="AM142" s="2" t="str">
        <f aca="false">IF($B142="","",IF(MAX(Y142:AL142)=0,"",INDEX($Y$4:$AL$4,MATCH(MAX(Y142:AL142),Y142:AL142,0))))</f>
        <v/>
      </c>
      <c r="AN142" s="2" t="str">
        <f aca="false">IF($B142="","",COUNTIFS(Datos_problemas!$B:$B,$B142,Datos_problemas!$F:$F,"Práctica"))</f>
        <v/>
      </c>
      <c r="AO142" s="2" t="str">
        <f aca="false">IF($B142="","",SUMIFS(Datos_problemas!$AQ:$AQ,Datos_problemas!$B:$B,$B142,Datos_problemas!$F:$F,"Práctica"))</f>
        <v/>
      </c>
      <c r="AP142" s="2" t="str">
        <f aca="false">IF($B142="","",COUNTIFS(Datos_problemas!$B:$B,$B142,Datos_problemas!$F:$F,"Práctica",Datos_problemas!$AS:$AS,"Sí"))</f>
        <v/>
      </c>
    </row>
    <row r="143" customFormat="false" ht="15" hidden="false" customHeight="false" outlineLevel="0" collapsed="false">
      <c r="A143" s="2" t="n">
        <v>139</v>
      </c>
      <c r="B143" s="2" t="str">
        <f aca="false">IFERROR(INDEX(Datos_problemas!$B:$B,MATCH($A143,Datos_problemas!$AV:$AV,0)),"")</f>
        <v/>
      </c>
      <c r="C143" s="2" t="str">
        <f aca="false">IF($B143="","",INDEX(Datos_problemas!$C:$C,MATCH($A143,Datos_problemas!$AV:$AV,0)))</f>
        <v/>
      </c>
      <c r="D143" s="2" t="str">
        <f aca="false">IF($B143="","",INDEX(Datos_problemas!$D:$D,MATCH($A143,Datos_problemas!$AV:$AV,0)))</f>
        <v/>
      </c>
      <c r="E143" s="2" t="str">
        <f aca="false">IF($B143="","",COUNTIFS(Datos_problemas!$B:$B,$B143,Datos_problemas!$F:$F,"Evaluación"))</f>
        <v/>
      </c>
      <c r="F143" s="20" t="str">
        <f aca="false">IF($B143="","",IFERROR(AVERAGEIFS(Datos_problemas!$AE:$AE,Datos_problemas!$B:$B,$B143,Datos_problemas!$F:$F,"Evaluación"),""))</f>
        <v/>
      </c>
      <c r="G143" s="20" t="str">
        <f aca="false">IF($B143="","",IFERROR(AVERAGEIFS(Datos_problemas!$AE:$AE,Datos_problemas!$B:$B,$B143,Datos_problemas!$F:$F,"Evaluación",Datos_problemas!$E:$E,"Diagnóstico"),""))</f>
        <v/>
      </c>
      <c r="H143" s="20" t="str">
        <f aca="false">IF($B143="","",IFERROR(AVERAGEIFS(Datos_problemas!$AE:$AE,Datos_problemas!$B:$B,$B143,Datos_problemas!$F:$F,"Evaluación",Datos_problemas!$E:$E,"Final"),""))</f>
        <v/>
      </c>
      <c r="I143" s="21" t="str">
        <f aca="false">IF(OR(G143="",H143=""),"",IF(G143&gt;=10,"",(H143-G143)/(10-G143)))</f>
        <v/>
      </c>
      <c r="J143" s="18" t="str">
        <f aca="false">IF($B143="","",IFERROR(SUMIFS(Datos_items!$Z:$Z,Datos_items!$B:$B,$B143,Datos_items!$O:$O,J$4,Datos_items!$E:$E,Analisis_grupo!$C$4)/COUNTIFS(Datos_items!$B:$B,$B143,Datos_items!$O:$O,J$4,Datos_items!$E:$E,Analisis_grupo!$C$4),""))</f>
        <v/>
      </c>
      <c r="K143" s="18" t="str">
        <f aca="false">IF($B143="","",IFERROR(SUMIFS(Datos_items!$Z:$Z,Datos_items!$B:$B,$B143,Datos_items!$O:$O,K$4,Datos_items!$E:$E,Analisis_grupo!$C$4)/COUNTIFS(Datos_items!$B:$B,$B143,Datos_items!$O:$O,K$4,Datos_items!$E:$E,Analisis_grupo!$C$4),""))</f>
        <v/>
      </c>
      <c r="L143" s="18" t="str">
        <f aca="false">IF($B143="","",IFERROR(SUMIFS(Datos_items!$Z:$Z,Datos_items!$B:$B,$B143,Datos_items!$O:$O,L$4,Datos_items!$E:$E,Analisis_grupo!$C$4)/COUNTIFS(Datos_items!$B:$B,$B143,Datos_items!$O:$O,L$4,Datos_items!$E:$E,Analisis_grupo!$C$4),""))</f>
        <v/>
      </c>
      <c r="M143" s="18" t="str">
        <f aca="false">IF($B143="","",IFERROR(SUMIFS(Datos_items!$Z:$Z,Datos_items!$B:$B,$B143,Datos_items!$O:$O,M$4,Datos_items!$E:$E,Analisis_grupo!$C$4)/COUNTIFS(Datos_items!$B:$B,$B143,Datos_items!$O:$O,M$4,Datos_items!$E:$E,Analisis_grupo!$C$4),""))</f>
        <v/>
      </c>
      <c r="N143" s="18" t="str">
        <f aca="false">IF($B143="","",IFERROR(SUMIFS(Datos_items!$Z:$Z,Datos_items!$B:$B,$B143,Datos_items!$O:$O,N$4,Datos_items!$E:$E,Analisis_grupo!$C$4)/COUNTIFS(Datos_items!$B:$B,$B143,Datos_items!$O:$O,N$4,Datos_items!$E:$E,Analisis_grupo!$C$4),""))</f>
        <v/>
      </c>
      <c r="O143" s="18" t="str">
        <f aca="false">IF($B143="","",IFERROR(SUMIFS(Datos_items!$Z:$Z,Datos_items!$B:$B,$B143,Datos_items!$O:$O,O$4,Datos_items!$E:$E,Analisis_grupo!$C$4)/COUNTIFS(Datos_items!$B:$B,$B143,Datos_items!$O:$O,O$4,Datos_items!$E:$E,Analisis_grupo!$C$4),""))</f>
        <v/>
      </c>
      <c r="P143" s="18" t="str">
        <f aca="false">IF($B143="","",IFERROR(SUMIFS(Datos_items!$Z:$Z,Datos_items!$B:$B,$B143,Datos_items!$O:$O,P$4,Datos_items!$E:$E,Analisis_grupo!$C$4)/COUNTIFS(Datos_items!$B:$B,$B143,Datos_items!$O:$O,P$4,Datos_items!$E:$E,Analisis_grupo!$C$4),""))</f>
        <v/>
      </c>
      <c r="Q143" s="18" t="str">
        <f aca="false">IF($B143="","",IFERROR(SUMIFS(Datos_items!$Z:$Z,Datos_items!$B:$B,$B143,Datos_items!$O:$O,Q$4,Datos_items!$E:$E,Analisis_grupo!$C$4)/COUNTIFS(Datos_items!$B:$B,$B143,Datos_items!$O:$O,Q$4,Datos_items!$E:$E,Analisis_grupo!$C$4),""))</f>
        <v/>
      </c>
      <c r="R143" s="2" t="str">
        <f aca="false">IF(COUNT(J143:Q143)=0,"",IF(MIN(J143:Q143)&gt;=Analisis_grupo!$B$7,"(ninguna)",INDEX($J$4:$Q$4,MATCH(MIN(J143:Q143),J143:Q143,0))))</f>
        <v/>
      </c>
      <c r="S143" s="2" t="str">
        <f aca="false">IF($B143="","",COUNTIF(J143:Q143,"&lt;"&amp;Analisis_grupo!$B$7))</f>
        <v/>
      </c>
      <c r="T143" s="2" t="str">
        <f aca="false">IF($B143="","",COUNTIFS(Datos_items!$B:$B,$B143,Datos_items!$AA:$AA,T$4,Datos_items!$E:$E,Analisis_grupo!$C$4))</f>
        <v/>
      </c>
      <c r="U143" s="2" t="str">
        <f aca="false">IF($B143="","",COUNTIFS(Datos_items!$B:$B,$B143,Datos_items!$AA:$AA,U$4,Datos_items!$E:$E,Analisis_grupo!$C$4))</f>
        <v/>
      </c>
      <c r="V143" s="2" t="str">
        <f aca="false">IF($B143="","",COUNTIFS(Datos_items!$B:$B,$B143,Datos_items!$AA:$AA,V$4,Datos_items!$E:$E,Analisis_grupo!$C$4))</f>
        <v/>
      </c>
      <c r="W143" s="2" t="str">
        <f aca="false">IF($B143="","",COUNTIFS(Datos_items!$B:$B,$B143,Datos_items!$AA:$AA,W$4,Datos_items!$E:$E,Analisis_grupo!$C$4))</f>
        <v/>
      </c>
      <c r="X143" s="2" t="str">
        <f aca="false">IF($B143="","",COUNTIFS(Datos_items!$B:$B,$B143,Datos_items!$AA:$AA,X$4,Datos_items!$E:$E,Analisis_grupo!$C$4))</f>
        <v/>
      </c>
      <c r="Y143" s="2" t="str">
        <f aca="false">IF($B143="","",COUNTIFS(Datos_items!$B:$B,$B143,Datos_items!$AA:$AA,Y$4,Datos_items!$E:$E,Analisis_grupo!$C$4))</f>
        <v/>
      </c>
      <c r="Z143" s="2" t="str">
        <f aca="false">IF($B143="","",COUNTIFS(Datos_items!$B:$B,$B143,Datos_items!$AA:$AA,Z$4,Datos_items!$E:$E,Analisis_grupo!$C$4))</f>
        <v/>
      </c>
      <c r="AA143" s="2" t="str">
        <f aca="false">IF($B143="","",COUNTIFS(Datos_items!$B:$B,$B143,Datos_items!$AA:$AA,AA$4,Datos_items!$E:$E,Analisis_grupo!$C$4))</f>
        <v/>
      </c>
      <c r="AB143" s="2" t="str">
        <f aca="false">IF($B143="","",COUNTIFS(Datos_items!$B:$B,$B143,Datos_items!$AA:$AA,AB$4,Datos_items!$E:$E,Analisis_grupo!$C$4))</f>
        <v/>
      </c>
      <c r="AC143" s="2" t="str">
        <f aca="false">IF($B143="","",COUNTIFS(Datos_items!$B:$B,$B143,Datos_items!$AA:$AA,AC$4,Datos_items!$E:$E,Analisis_grupo!$C$4))</f>
        <v/>
      </c>
      <c r="AD143" s="2" t="str">
        <f aca="false">IF($B143="","",COUNTIFS(Datos_items!$B:$B,$B143,Datos_items!$AA:$AA,AD$4,Datos_items!$E:$E,Analisis_grupo!$C$4))</f>
        <v/>
      </c>
      <c r="AE143" s="2" t="str">
        <f aca="false">IF($B143="","",COUNTIFS(Datos_items!$B:$B,$B143,Datos_items!$AA:$AA,AE$4,Datos_items!$E:$E,Analisis_grupo!$C$4))</f>
        <v/>
      </c>
      <c r="AF143" s="2" t="str">
        <f aca="false">IF($B143="","",COUNTIFS(Datos_items!$B:$B,$B143,Datos_items!$AA:$AA,AF$4,Datos_items!$E:$E,Analisis_grupo!$C$4))</f>
        <v/>
      </c>
      <c r="AG143" s="2" t="str">
        <f aca="false">IF($B143="","",COUNTIFS(Datos_items!$B:$B,$B143,Datos_items!$AA:$AA,AG$4,Datos_items!$E:$E,Analisis_grupo!$C$4))</f>
        <v/>
      </c>
      <c r="AH143" s="2" t="str">
        <f aca="false">IF($B143="","",COUNTIFS(Datos_items!$B:$B,$B143,Datos_items!$AA:$AA,AH$4,Datos_items!$E:$E,Analisis_grupo!$C$4))</f>
        <v/>
      </c>
      <c r="AI143" s="2" t="str">
        <f aca="false">IF($B143="","",COUNTIFS(Datos_items!$B:$B,$B143,Datos_items!$AA:$AA,AI$4,Datos_items!$E:$E,Analisis_grupo!$C$4))</f>
        <v/>
      </c>
      <c r="AJ143" s="2" t="str">
        <f aca="false">IF($B143="","",COUNTIFS(Datos_items!$B:$B,$B143,Datos_items!$AA:$AA,AJ$4,Datos_items!$E:$E,Analisis_grupo!$C$4))</f>
        <v/>
      </c>
      <c r="AK143" s="2" t="str">
        <f aca="false">IF($B143="","",COUNTIFS(Datos_items!$B:$B,$B143,Datos_items!$AA:$AA,AK$4,Datos_items!$E:$E,Analisis_grupo!$C$4))</f>
        <v/>
      </c>
      <c r="AL143" s="2" t="str">
        <f aca="false">IF($B143="","",COUNTIFS(Datos_items!$B:$B,$B143,Datos_items!$AA:$AA,AL$4,Datos_items!$E:$E,Analisis_grupo!$C$4))</f>
        <v/>
      </c>
      <c r="AM143" s="2" t="str">
        <f aca="false">IF($B143="","",IF(MAX(Y143:AL143)=0,"",INDEX($Y$4:$AL$4,MATCH(MAX(Y143:AL143),Y143:AL143,0))))</f>
        <v/>
      </c>
      <c r="AN143" s="2" t="str">
        <f aca="false">IF($B143="","",COUNTIFS(Datos_problemas!$B:$B,$B143,Datos_problemas!$F:$F,"Práctica"))</f>
        <v/>
      </c>
      <c r="AO143" s="2" t="str">
        <f aca="false">IF($B143="","",SUMIFS(Datos_problemas!$AQ:$AQ,Datos_problemas!$B:$B,$B143,Datos_problemas!$F:$F,"Práctica"))</f>
        <v/>
      </c>
      <c r="AP143" s="2" t="str">
        <f aca="false">IF($B143="","",COUNTIFS(Datos_problemas!$B:$B,$B143,Datos_problemas!$F:$F,"Práctica",Datos_problemas!$AS:$AS,"Sí"))</f>
        <v/>
      </c>
    </row>
    <row r="144" customFormat="false" ht="15" hidden="false" customHeight="false" outlineLevel="0" collapsed="false">
      <c r="A144" s="2" t="n">
        <v>140</v>
      </c>
      <c r="B144" s="2" t="str">
        <f aca="false">IFERROR(INDEX(Datos_problemas!$B:$B,MATCH($A144,Datos_problemas!$AV:$AV,0)),"")</f>
        <v/>
      </c>
      <c r="C144" s="2" t="str">
        <f aca="false">IF($B144="","",INDEX(Datos_problemas!$C:$C,MATCH($A144,Datos_problemas!$AV:$AV,0)))</f>
        <v/>
      </c>
      <c r="D144" s="2" t="str">
        <f aca="false">IF($B144="","",INDEX(Datos_problemas!$D:$D,MATCH($A144,Datos_problemas!$AV:$AV,0)))</f>
        <v/>
      </c>
      <c r="E144" s="2" t="str">
        <f aca="false">IF($B144="","",COUNTIFS(Datos_problemas!$B:$B,$B144,Datos_problemas!$F:$F,"Evaluación"))</f>
        <v/>
      </c>
      <c r="F144" s="20" t="str">
        <f aca="false">IF($B144="","",IFERROR(AVERAGEIFS(Datos_problemas!$AE:$AE,Datos_problemas!$B:$B,$B144,Datos_problemas!$F:$F,"Evaluación"),""))</f>
        <v/>
      </c>
      <c r="G144" s="20" t="str">
        <f aca="false">IF($B144="","",IFERROR(AVERAGEIFS(Datos_problemas!$AE:$AE,Datos_problemas!$B:$B,$B144,Datos_problemas!$F:$F,"Evaluación",Datos_problemas!$E:$E,"Diagnóstico"),""))</f>
        <v/>
      </c>
      <c r="H144" s="20" t="str">
        <f aca="false">IF($B144="","",IFERROR(AVERAGEIFS(Datos_problemas!$AE:$AE,Datos_problemas!$B:$B,$B144,Datos_problemas!$F:$F,"Evaluación",Datos_problemas!$E:$E,"Final"),""))</f>
        <v/>
      </c>
      <c r="I144" s="21" t="str">
        <f aca="false">IF(OR(G144="",H144=""),"",IF(G144&gt;=10,"",(H144-G144)/(10-G144)))</f>
        <v/>
      </c>
      <c r="J144" s="18" t="str">
        <f aca="false">IF($B144="","",IFERROR(SUMIFS(Datos_items!$Z:$Z,Datos_items!$B:$B,$B144,Datos_items!$O:$O,J$4,Datos_items!$E:$E,Analisis_grupo!$C$4)/COUNTIFS(Datos_items!$B:$B,$B144,Datos_items!$O:$O,J$4,Datos_items!$E:$E,Analisis_grupo!$C$4),""))</f>
        <v/>
      </c>
      <c r="K144" s="18" t="str">
        <f aca="false">IF($B144="","",IFERROR(SUMIFS(Datos_items!$Z:$Z,Datos_items!$B:$B,$B144,Datos_items!$O:$O,K$4,Datos_items!$E:$E,Analisis_grupo!$C$4)/COUNTIFS(Datos_items!$B:$B,$B144,Datos_items!$O:$O,K$4,Datos_items!$E:$E,Analisis_grupo!$C$4),""))</f>
        <v/>
      </c>
      <c r="L144" s="18" t="str">
        <f aca="false">IF($B144="","",IFERROR(SUMIFS(Datos_items!$Z:$Z,Datos_items!$B:$B,$B144,Datos_items!$O:$O,L$4,Datos_items!$E:$E,Analisis_grupo!$C$4)/COUNTIFS(Datos_items!$B:$B,$B144,Datos_items!$O:$O,L$4,Datos_items!$E:$E,Analisis_grupo!$C$4),""))</f>
        <v/>
      </c>
      <c r="M144" s="18" t="str">
        <f aca="false">IF($B144="","",IFERROR(SUMIFS(Datos_items!$Z:$Z,Datos_items!$B:$B,$B144,Datos_items!$O:$O,M$4,Datos_items!$E:$E,Analisis_grupo!$C$4)/COUNTIFS(Datos_items!$B:$B,$B144,Datos_items!$O:$O,M$4,Datos_items!$E:$E,Analisis_grupo!$C$4),""))</f>
        <v/>
      </c>
      <c r="N144" s="18" t="str">
        <f aca="false">IF($B144="","",IFERROR(SUMIFS(Datos_items!$Z:$Z,Datos_items!$B:$B,$B144,Datos_items!$O:$O,N$4,Datos_items!$E:$E,Analisis_grupo!$C$4)/COUNTIFS(Datos_items!$B:$B,$B144,Datos_items!$O:$O,N$4,Datos_items!$E:$E,Analisis_grupo!$C$4),""))</f>
        <v/>
      </c>
      <c r="O144" s="18" t="str">
        <f aca="false">IF($B144="","",IFERROR(SUMIFS(Datos_items!$Z:$Z,Datos_items!$B:$B,$B144,Datos_items!$O:$O,O$4,Datos_items!$E:$E,Analisis_grupo!$C$4)/COUNTIFS(Datos_items!$B:$B,$B144,Datos_items!$O:$O,O$4,Datos_items!$E:$E,Analisis_grupo!$C$4),""))</f>
        <v/>
      </c>
      <c r="P144" s="18" t="str">
        <f aca="false">IF($B144="","",IFERROR(SUMIFS(Datos_items!$Z:$Z,Datos_items!$B:$B,$B144,Datos_items!$O:$O,P$4,Datos_items!$E:$E,Analisis_grupo!$C$4)/COUNTIFS(Datos_items!$B:$B,$B144,Datos_items!$O:$O,P$4,Datos_items!$E:$E,Analisis_grupo!$C$4),""))</f>
        <v/>
      </c>
      <c r="Q144" s="18" t="str">
        <f aca="false">IF($B144="","",IFERROR(SUMIFS(Datos_items!$Z:$Z,Datos_items!$B:$B,$B144,Datos_items!$O:$O,Q$4,Datos_items!$E:$E,Analisis_grupo!$C$4)/COUNTIFS(Datos_items!$B:$B,$B144,Datos_items!$O:$O,Q$4,Datos_items!$E:$E,Analisis_grupo!$C$4),""))</f>
        <v/>
      </c>
      <c r="R144" s="2" t="str">
        <f aca="false">IF(COUNT(J144:Q144)=0,"",IF(MIN(J144:Q144)&gt;=Analisis_grupo!$B$7,"(ninguna)",INDEX($J$4:$Q$4,MATCH(MIN(J144:Q144),J144:Q144,0))))</f>
        <v/>
      </c>
      <c r="S144" s="2" t="str">
        <f aca="false">IF($B144="","",COUNTIF(J144:Q144,"&lt;"&amp;Analisis_grupo!$B$7))</f>
        <v/>
      </c>
      <c r="T144" s="2" t="str">
        <f aca="false">IF($B144="","",COUNTIFS(Datos_items!$B:$B,$B144,Datos_items!$AA:$AA,T$4,Datos_items!$E:$E,Analisis_grupo!$C$4))</f>
        <v/>
      </c>
      <c r="U144" s="2" t="str">
        <f aca="false">IF($B144="","",COUNTIFS(Datos_items!$B:$B,$B144,Datos_items!$AA:$AA,U$4,Datos_items!$E:$E,Analisis_grupo!$C$4))</f>
        <v/>
      </c>
      <c r="V144" s="2" t="str">
        <f aca="false">IF($B144="","",COUNTIFS(Datos_items!$B:$B,$B144,Datos_items!$AA:$AA,V$4,Datos_items!$E:$E,Analisis_grupo!$C$4))</f>
        <v/>
      </c>
      <c r="W144" s="2" t="str">
        <f aca="false">IF($B144="","",COUNTIFS(Datos_items!$B:$B,$B144,Datos_items!$AA:$AA,W$4,Datos_items!$E:$E,Analisis_grupo!$C$4))</f>
        <v/>
      </c>
      <c r="X144" s="2" t="str">
        <f aca="false">IF($B144="","",COUNTIFS(Datos_items!$B:$B,$B144,Datos_items!$AA:$AA,X$4,Datos_items!$E:$E,Analisis_grupo!$C$4))</f>
        <v/>
      </c>
      <c r="Y144" s="2" t="str">
        <f aca="false">IF($B144="","",COUNTIFS(Datos_items!$B:$B,$B144,Datos_items!$AA:$AA,Y$4,Datos_items!$E:$E,Analisis_grupo!$C$4))</f>
        <v/>
      </c>
      <c r="Z144" s="2" t="str">
        <f aca="false">IF($B144="","",COUNTIFS(Datos_items!$B:$B,$B144,Datos_items!$AA:$AA,Z$4,Datos_items!$E:$E,Analisis_grupo!$C$4))</f>
        <v/>
      </c>
      <c r="AA144" s="2" t="str">
        <f aca="false">IF($B144="","",COUNTIFS(Datos_items!$B:$B,$B144,Datos_items!$AA:$AA,AA$4,Datos_items!$E:$E,Analisis_grupo!$C$4))</f>
        <v/>
      </c>
      <c r="AB144" s="2" t="str">
        <f aca="false">IF($B144="","",COUNTIFS(Datos_items!$B:$B,$B144,Datos_items!$AA:$AA,AB$4,Datos_items!$E:$E,Analisis_grupo!$C$4))</f>
        <v/>
      </c>
      <c r="AC144" s="2" t="str">
        <f aca="false">IF($B144="","",COUNTIFS(Datos_items!$B:$B,$B144,Datos_items!$AA:$AA,AC$4,Datos_items!$E:$E,Analisis_grupo!$C$4))</f>
        <v/>
      </c>
      <c r="AD144" s="2" t="str">
        <f aca="false">IF($B144="","",COUNTIFS(Datos_items!$B:$B,$B144,Datos_items!$AA:$AA,AD$4,Datos_items!$E:$E,Analisis_grupo!$C$4))</f>
        <v/>
      </c>
      <c r="AE144" s="2" t="str">
        <f aca="false">IF($B144="","",COUNTIFS(Datos_items!$B:$B,$B144,Datos_items!$AA:$AA,AE$4,Datos_items!$E:$E,Analisis_grupo!$C$4))</f>
        <v/>
      </c>
      <c r="AF144" s="2" t="str">
        <f aca="false">IF($B144="","",COUNTIFS(Datos_items!$B:$B,$B144,Datos_items!$AA:$AA,AF$4,Datos_items!$E:$E,Analisis_grupo!$C$4))</f>
        <v/>
      </c>
      <c r="AG144" s="2" t="str">
        <f aca="false">IF($B144="","",COUNTIFS(Datos_items!$B:$B,$B144,Datos_items!$AA:$AA,AG$4,Datos_items!$E:$E,Analisis_grupo!$C$4))</f>
        <v/>
      </c>
      <c r="AH144" s="2" t="str">
        <f aca="false">IF($B144="","",COUNTIFS(Datos_items!$B:$B,$B144,Datos_items!$AA:$AA,AH$4,Datos_items!$E:$E,Analisis_grupo!$C$4))</f>
        <v/>
      </c>
      <c r="AI144" s="2" t="str">
        <f aca="false">IF($B144="","",COUNTIFS(Datos_items!$B:$B,$B144,Datos_items!$AA:$AA,AI$4,Datos_items!$E:$E,Analisis_grupo!$C$4))</f>
        <v/>
      </c>
      <c r="AJ144" s="2" t="str">
        <f aca="false">IF($B144="","",COUNTIFS(Datos_items!$B:$B,$B144,Datos_items!$AA:$AA,AJ$4,Datos_items!$E:$E,Analisis_grupo!$C$4))</f>
        <v/>
      </c>
      <c r="AK144" s="2" t="str">
        <f aca="false">IF($B144="","",COUNTIFS(Datos_items!$B:$B,$B144,Datos_items!$AA:$AA,AK$4,Datos_items!$E:$E,Analisis_grupo!$C$4))</f>
        <v/>
      </c>
      <c r="AL144" s="2" t="str">
        <f aca="false">IF($B144="","",COUNTIFS(Datos_items!$B:$B,$B144,Datos_items!$AA:$AA,AL$4,Datos_items!$E:$E,Analisis_grupo!$C$4))</f>
        <v/>
      </c>
      <c r="AM144" s="2" t="str">
        <f aca="false">IF($B144="","",IF(MAX(Y144:AL144)=0,"",INDEX($Y$4:$AL$4,MATCH(MAX(Y144:AL144),Y144:AL144,0))))</f>
        <v/>
      </c>
      <c r="AN144" s="2" t="str">
        <f aca="false">IF($B144="","",COUNTIFS(Datos_problemas!$B:$B,$B144,Datos_problemas!$F:$F,"Práctica"))</f>
        <v/>
      </c>
      <c r="AO144" s="2" t="str">
        <f aca="false">IF($B144="","",SUMIFS(Datos_problemas!$AQ:$AQ,Datos_problemas!$B:$B,$B144,Datos_problemas!$F:$F,"Práctica"))</f>
        <v/>
      </c>
      <c r="AP144" s="2" t="str">
        <f aca="false">IF($B144="","",COUNTIFS(Datos_problemas!$B:$B,$B144,Datos_problemas!$F:$F,"Práctica",Datos_problemas!$AS:$AS,"Sí"))</f>
        <v/>
      </c>
    </row>
    <row r="145" customFormat="false" ht="15" hidden="false" customHeight="false" outlineLevel="0" collapsed="false">
      <c r="A145" s="2" t="n">
        <v>141</v>
      </c>
      <c r="B145" s="2" t="str">
        <f aca="false">IFERROR(INDEX(Datos_problemas!$B:$B,MATCH($A145,Datos_problemas!$AV:$AV,0)),"")</f>
        <v/>
      </c>
      <c r="C145" s="2" t="str">
        <f aca="false">IF($B145="","",INDEX(Datos_problemas!$C:$C,MATCH($A145,Datos_problemas!$AV:$AV,0)))</f>
        <v/>
      </c>
      <c r="D145" s="2" t="str">
        <f aca="false">IF($B145="","",INDEX(Datos_problemas!$D:$D,MATCH($A145,Datos_problemas!$AV:$AV,0)))</f>
        <v/>
      </c>
      <c r="E145" s="2" t="str">
        <f aca="false">IF($B145="","",COUNTIFS(Datos_problemas!$B:$B,$B145,Datos_problemas!$F:$F,"Evaluación"))</f>
        <v/>
      </c>
      <c r="F145" s="20" t="str">
        <f aca="false">IF($B145="","",IFERROR(AVERAGEIFS(Datos_problemas!$AE:$AE,Datos_problemas!$B:$B,$B145,Datos_problemas!$F:$F,"Evaluación"),""))</f>
        <v/>
      </c>
      <c r="G145" s="20" t="str">
        <f aca="false">IF($B145="","",IFERROR(AVERAGEIFS(Datos_problemas!$AE:$AE,Datos_problemas!$B:$B,$B145,Datos_problemas!$F:$F,"Evaluación",Datos_problemas!$E:$E,"Diagnóstico"),""))</f>
        <v/>
      </c>
      <c r="H145" s="20" t="str">
        <f aca="false">IF($B145="","",IFERROR(AVERAGEIFS(Datos_problemas!$AE:$AE,Datos_problemas!$B:$B,$B145,Datos_problemas!$F:$F,"Evaluación",Datos_problemas!$E:$E,"Final"),""))</f>
        <v/>
      </c>
      <c r="I145" s="21" t="str">
        <f aca="false">IF(OR(G145="",H145=""),"",IF(G145&gt;=10,"",(H145-G145)/(10-G145)))</f>
        <v/>
      </c>
      <c r="J145" s="18" t="str">
        <f aca="false">IF($B145="","",IFERROR(SUMIFS(Datos_items!$Z:$Z,Datos_items!$B:$B,$B145,Datos_items!$O:$O,J$4,Datos_items!$E:$E,Analisis_grupo!$C$4)/COUNTIFS(Datos_items!$B:$B,$B145,Datos_items!$O:$O,J$4,Datos_items!$E:$E,Analisis_grupo!$C$4),""))</f>
        <v/>
      </c>
      <c r="K145" s="18" t="str">
        <f aca="false">IF($B145="","",IFERROR(SUMIFS(Datos_items!$Z:$Z,Datos_items!$B:$B,$B145,Datos_items!$O:$O,K$4,Datos_items!$E:$E,Analisis_grupo!$C$4)/COUNTIFS(Datos_items!$B:$B,$B145,Datos_items!$O:$O,K$4,Datos_items!$E:$E,Analisis_grupo!$C$4),""))</f>
        <v/>
      </c>
      <c r="L145" s="18" t="str">
        <f aca="false">IF($B145="","",IFERROR(SUMIFS(Datos_items!$Z:$Z,Datos_items!$B:$B,$B145,Datos_items!$O:$O,L$4,Datos_items!$E:$E,Analisis_grupo!$C$4)/COUNTIFS(Datos_items!$B:$B,$B145,Datos_items!$O:$O,L$4,Datos_items!$E:$E,Analisis_grupo!$C$4),""))</f>
        <v/>
      </c>
      <c r="M145" s="18" t="str">
        <f aca="false">IF($B145="","",IFERROR(SUMIFS(Datos_items!$Z:$Z,Datos_items!$B:$B,$B145,Datos_items!$O:$O,M$4,Datos_items!$E:$E,Analisis_grupo!$C$4)/COUNTIFS(Datos_items!$B:$B,$B145,Datos_items!$O:$O,M$4,Datos_items!$E:$E,Analisis_grupo!$C$4),""))</f>
        <v/>
      </c>
      <c r="N145" s="18" t="str">
        <f aca="false">IF($B145="","",IFERROR(SUMIFS(Datos_items!$Z:$Z,Datos_items!$B:$B,$B145,Datos_items!$O:$O,N$4,Datos_items!$E:$E,Analisis_grupo!$C$4)/COUNTIFS(Datos_items!$B:$B,$B145,Datos_items!$O:$O,N$4,Datos_items!$E:$E,Analisis_grupo!$C$4),""))</f>
        <v/>
      </c>
      <c r="O145" s="18" t="str">
        <f aca="false">IF($B145="","",IFERROR(SUMIFS(Datos_items!$Z:$Z,Datos_items!$B:$B,$B145,Datos_items!$O:$O,O$4,Datos_items!$E:$E,Analisis_grupo!$C$4)/COUNTIFS(Datos_items!$B:$B,$B145,Datos_items!$O:$O,O$4,Datos_items!$E:$E,Analisis_grupo!$C$4),""))</f>
        <v/>
      </c>
      <c r="P145" s="18" t="str">
        <f aca="false">IF($B145="","",IFERROR(SUMIFS(Datos_items!$Z:$Z,Datos_items!$B:$B,$B145,Datos_items!$O:$O,P$4,Datos_items!$E:$E,Analisis_grupo!$C$4)/COUNTIFS(Datos_items!$B:$B,$B145,Datos_items!$O:$O,P$4,Datos_items!$E:$E,Analisis_grupo!$C$4),""))</f>
        <v/>
      </c>
      <c r="Q145" s="18" t="str">
        <f aca="false">IF($B145="","",IFERROR(SUMIFS(Datos_items!$Z:$Z,Datos_items!$B:$B,$B145,Datos_items!$O:$O,Q$4,Datos_items!$E:$E,Analisis_grupo!$C$4)/COUNTIFS(Datos_items!$B:$B,$B145,Datos_items!$O:$O,Q$4,Datos_items!$E:$E,Analisis_grupo!$C$4),""))</f>
        <v/>
      </c>
      <c r="R145" s="2" t="str">
        <f aca="false">IF(COUNT(J145:Q145)=0,"",IF(MIN(J145:Q145)&gt;=Analisis_grupo!$B$7,"(ninguna)",INDEX($J$4:$Q$4,MATCH(MIN(J145:Q145),J145:Q145,0))))</f>
        <v/>
      </c>
      <c r="S145" s="2" t="str">
        <f aca="false">IF($B145="","",COUNTIF(J145:Q145,"&lt;"&amp;Analisis_grupo!$B$7))</f>
        <v/>
      </c>
      <c r="T145" s="2" t="str">
        <f aca="false">IF($B145="","",COUNTIFS(Datos_items!$B:$B,$B145,Datos_items!$AA:$AA,T$4,Datos_items!$E:$E,Analisis_grupo!$C$4))</f>
        <v/>
      </c>
      <c r="U145" s="2" t="str">
        <f aca="false">IF($B145="","",COUNTIFS(Datos_items!$B:$B,$B145,Datos_items!$AA:$AA,U$4,Datos_items!$E:$E,Analisis_grupo!$C$4))</f>
        <v/>
      </c>
      <c r="V145" s="2" t="str">
        <f aca="false">IF($B145="","",COUNTIFS(Datos_items!$B:$B,$B145,Datos_items!$AA:$AA,V$4,Datos_items!$E:$E,Analisis_grupo!$C$4))</f>
        <v/>
      </c>
      <c r="W145" s="2" t="str">
        <f aca="false">IF($B145="","",COUNTIFS(Datos_items!$B:$B,$B145,Datos_items!$AA:$AA,W$4,Datos_items!$E:$E,Analisis_grupo!$C$4))</f>
        <v/>
      </c>
      <c r="X145" s="2" t="str">
        <f aca="false">IF($B145="","",COUNTIFS(Datos_items!$B:$B,$B145,Datos_items!$AA:$AA,X$4,Datos_items!$E:$E,Analisis_grupo!$C$4))</f>
        <v/>
      </c>
      <c r="Y145" s="2" t="str">
        <f aca="false">IF($B145="","",COUNTIFS(Datos_items!$B:$B,$B145,Datos_items!$AA:$AA,Y$4,Datos_items!$E:$E,Analisis_grupo!$C$4))</f>
        <v/>
      </c>
      <c r="Z145" s="2" t="str">
        <f aca="false">IF($B145="","",COUNTIFS(Datos_items!$B:$B,$B145,Datos_items!$AA:$AA,Z$4,Datos_items!$E:$E,Analisis_grupo!$C$4))</f>
        <v/>
      </c>
      <c r="AA145" s="2" t="str">
        <f aca="false">IF($B145="","",COUNTIFS(Datos_items!$B:$B,$B145,Datos_items!$AA:$AA,AA$4,Datos_items!$E:$E,Analisis_grupo!$C$4))</f>
        <v/>
      </c>
      <c r="AB145" s="2" t="str">
        <f aca="false">IF($B145="","",COUNTIFS(Datos_items!$B:$B,$B145,Datos_items!$AA:$AA,AB$4,Datos_items!$E:$E,Analisis_grupo!$C$4))</f>
        <v/>
      </c>
      <c r="AC145" s="2" t="str">
        <f aca="false">IF($B145="","",COUNTIFS(Datos_items!$B:$B,$B145,Datos_items!$AA:$AA,AC$4,Datos_items!$E:$E,Analisis_grupo!$C$4))</f>
        <v/>
      </c>
      <c r="AD145" s="2" t="str">
        <f aca="false">IF($B145="","",COUNTIFS(Datos_items!$B:$B,$B145,Datos_items!$AA:$AA,AD$4,Datos_items!$E:$E,Analisis_grupo!$C$4))</f>
        <v/>
      </c>
      <c r="AE145" s="2" t="str">
        <f aca="false">IF($B145="","",COUNTIFS(Datos_items!$B:$B,$B145,Datos_items!$AA:$AA,AE$4,Datos_items!$E:$E,Analisis_grupo!$C$4))</f>
        <v/>
      </c>
      <c r="AF145" s="2" t="str">
        <f aca="false">IF($B145="","",COUNTIFS(Datos_items!$B:$B,$B145,Datos_items!$AA:$AA,AF$4,Datos_items!$E:$E,Analisis_grupo!$C$4))</f>
        <v/>
      </c>
      <c r="AG145" s="2" t="str">
        <f aca="false">IF($B145="","",COUNTIFS(Datos_items!$B:$B,$B145,Datos_items!$AA:$AA,AG$4,Datos_items!$E:$E,Analisis_grupo!$C$4))</f>
        <v/>
      </c>
      <c r="AH145" s="2" t="str">
        <f aca="false">IF($B145="","",COUNTIFS(Datos_items!$B:$B,$B145,Datos_items!$AA:$AA,AH$4,Datos_items!$E:$E,Analisis_grupo!$C$4))</f>
        <v/>
      </c>
      <c r="AI145" s="2" t="str">
        <f aca="false">IF($B145="","",COUNTIFS(Datos_items!$B:$B,$B145,Datos_items!$AA:$AA,AI$4,Datos_items!$E:$E,Analisis_grupo!$C$4))</f>
        <v/>
      </c>
      <c r="AJ145" s="2" t="str">
        <f aca="false">IF($B145="","",COUNTIFS(Datos_items!$B:$B,$B145,Datos_items!$AA:$AA,AJ$4,Datos_items!$E:$E,Analisis_grupo!$C$4))</f>
        <v/>
      </c>
      <c r="AK145" s="2" t="str">
        <f aca="false">IF($B145="","",COUNTIFS(Datos_items!$B:$B,$B145,Datos_items!$AA:$AA,AK$4,Datos_items!$E:$E,Analisis_grupo!$C$4))</f>
        <v/>
      </c>
      <c r="AL145" s="2" t="str">
        <f aca="false">IF($B145="","",COUNTIFS(Datos_items!$B:$B,$B145,Datos_items!$AA:$AA,AL$4,Datos_items!$E:$E,Analisis_grupo!$C$4))</f>
        <v/>
      </c>
      <c r="AM145" s="2" t="str">
        <f aca="false">IF($B145="","",IF(MAX(Y145:AL145)=0,"",INDEX($Y$4:$AL$4,MATCH(MAX(Y145:AL145),Y145:AL145,0))))</f>
        <v/>
      </c>
      <c r="AN145" s="2" t="str">
        <f aca="false">IF($B145="","",COUNTIFS(Datos_problemas!$B:$B,$B145,Datos_problemas!$F:$F,"Práctica"))</f>
        <v/>
      </c>
      <c r="AO145" s="2" t="str">
        <f aca="false">IF($B145="","",SUMIFS(Datos_problemas!$AQ:$AQ,Datos_problemas!$B:$B,$B145,Datos_problemas!$F:$F,"Práctica"))</f>
        <v/>
      </c>
      <c r="AP145" s="2" t="str">
        <f aca="false">IF($B145="","",COUNTIFS(Datos_problemas!$B:$B,$B145,Datos_problemas!$F:$F,"Práctica",Datos_problemas!$AS:$AS,"Sí"))</f>
        <v/>
      </c>
    </row>
    <row r="146" customFormat="false" ht="15" hidden="false" customHeight="false" outlineLevel="0" collapsed="false">
      <c r="A146" s="2" t="n">
        <v>142</v>
      </c>
      <c r="B146" s="2" t="str">
        <f aca="false">IFERROR(INDEX(Datos_problemas!$B:$B,MATCH($A146,Datos_problemas!$AV:$AV,0)),"")</f>
        <v/>
      </c>
      <c r="C146" s="2" t="str">
        <f aca="false">IF($B146="","",INDEX(Datos_problemas!$C:$C,MATCH($A146,Datos_problemas!$AV:$AV,0)))</f>
        <v/>
      </c>
      <c r="D146" s="2" t="str">
        <f aca="false">IF($B146="","",INDEX(Datos_problemas!$D:$D,MATCH($A146,Datos_problemas!$AV:$AV,0)))</f>
        <v/>
      </c>
      <c r="E146" s="2" t="str">
        <f aca="false">IF($B146="","",COUNTIFS(Datos_problemas!$B:$B,$B146,Datos_problemas!$F:$F,"Evaluación"))</f>
        <v/>
      </c>
      <c r="F146" s="20" t="str">
        <f aca="false">IF($B146="","",IFERROR(AVERAGEIFS(Datos_problemas!$AE:$AE,Datos_problemas!$B:$B,$B146,Datos_problemas!$F:$F,"Evaluación"),""))</f>
        <v/>
      </c>
      <c r="G146" s="20" t="str">
        <f aca="false">IF($B146="","",IFERROR(AVERAGEIFS(Datos_problemas!$AE:$AE,Datos_problemas!$B:$B,$B146,Datos_problemas!$F:$F,"Evaluación",Datos_problemas!$E:$E,"Diagnóstico"),""))</f>
        <v/>
      </c>
      <c r="H146" s="20" t="str">
        <f aca="false">IF($B146="","",IFERROR(AVERAGEIFS(Datos_problemas!$AE:$AE,Datos_problemas!$B:$B,$B146,Datos_problemas!$F:$F,"Evaluación",Datos_problemas!$E:$E,"Final"),""))</f>
        <v/>
      </c>
      <c r="I146" s="21" t="str">
        <f aca="false">IF(OR(G146="",H146=""),"",IF(G146&gt;=10,"",(H146-G146)/(10-G146)))</f>
        <v/>
      </c>
      <c r="J146" s="18" t="str">
        <f aca="false">IF($B146="","",IFERROR(SUMIFS(Datos_items!$Z:$Z,Datos_items!$B:$B,$B146,Datos_items!$O:$O,J$4,Datos_items!$E:$E,Analisis_grupo!$C$4)/COUNTIFS(Datos_items!$B:$B,$B146,Datos_items!$O:$O,J$4,Datos_items!$E:$E,Analisis_grupo!$C$4),""))</f>
        <v/>
      </c>
      <c r="K146" s="18" t="str">
        <f aca="false">IF($B146="","",IFERROR(SUMIFS(Datos_items!$Z:$Z,Datos_items!$B:$B,$B146,Datos_items!$O:$O,K$4,Datos_items!$E:$E,Analisis_grupo!$C$4)/COUNTIFS(Datos_items!$B:$B,$B146,Datos_items!$O:$O,K$4,Datos_items!$E:$E,Analisis_grupo!$C$4),""))</f>
        <v/>
      </c>
      <c r="L146" s="18" t="str">
        <f aca="false">IF($B146="","",IFERROR(SUMIFS(Datos_items!$Z:$Z,Datos_items!$B:$B,$B146,Datos_items!$O:$O,L$4,Datos_items!$E:$E,Analisis_grupo!$C$4)/COUNTIFS(Datos_items!$B:$B,$B146,Datos_items!$O:$O,L$4,Datos_items!$E:$E,Analisis_grupo!$C$4),""))</f>
        <v/>
      </c>
      <c r="M146" s="18" t="str">
        <f aca="false">IF($B146="","",IFERROR(SUMIFS(Datos_items!$Z:$Z,Datos_items!$B:$B,$B146,Datos_items!$O:$O,M$4,Datos_items!$E:$E,Analisis_grupo!$C$4)/COUNTIFS(Datos_items!$B:$B,$B146,Datos_items!$O:$O,M$4,Datos_items!$E:$E,Analisis_grupo!$C$4),""))</f>
        <v/>
      </c>
      <c r="N146" s="18" t="str">
        <f aca="false">IF($B146="","",IFERROR(SUMIFS(Datos_items!$Z:$Z,Datos_items!$B:$B,$B146,Datos_items!$O:$O,N$4,Datos_items!$E:$E,Analisis_grupo!$C$4)/COUNTIFS(Datos_items!$B:$B,$B146,Datos_items!$O:$O,N$4,Datos_items!$E:$E,Analisis_grupo!$C$4),""))</f>
        <v/>
      </c>
      <c r="O146" s="18" t="str">
        <f aca="false">IF($B146="","",IFERROR(SUMIFS(Datos_items!$Z:$Z,Datos_items!$B:$B,$B146,Datos_items!$O:$O,O$4,Datos_items!$E:$E,Analisis_grupo!$C$4)/COUNTIFS(Datos_items!$B:$B,$B146,Datos_items!$O:$O,O$4,Datos_items!$E:$E,Analisis_grupo!$C$4),""))</f>
        <v/>
      </c>
      <c r="P146" s="18" t="str">
        <f aca="false">IF($B146="","",IFERROR(SUMIFS(Datos_items!$Z:$Z,Datos_items!$B:$B,$B146,Datos_items!$O:$O,P$4,Datos_items!$E:$E,Analisis_grupo!$C$4)/COUNTIFS(Datos_items!$B:$B,$B146,Datos_items!$O:$O,P$4,Datos_items!$E:$E,Analisis_grupo!$C$4),""))</f>
        <v/>
      </c>
      <c r="Q146" s="18" t="str">
        <f aca="false">IF($B146="","",IFERROR(SUMIFS(Datos_items!$Z:$Z,Datos_items!$B:$B,$B146,Datos_items!$O:$O,Q$4,Datos_items!$E:$E,Analisis_grupo!$C$4)/COUNTIFS(Datos_items!$B:$B,$B146,Datos_items!$O:$O,Q$4,Datos_items!$E:$E,Analisis_grupo!$C$4),""))</f>
        <v/>
      </c>
      <c r="R146" s="2" t="str">
        <f aca="false">IF(COUNT(J146:Q146)=0,"",IF(MIN(J146:Q146)&gt;=Analisis_grupo!$B$7,"(ninguna)",INDEX($J$4:$Q$4,MATCH(MIN(J146:Q146),J146:Q146,0))))</f>
        <v/>
      </c>
      <c r="S146" s="2" t="str">
        <f aca="false">IF($B146="","",COUNTIF(J146:Q146,"&lt;"&amp;Analisis_grupo!$B$7))</f>
        <v/>
      </c>
      <c r="T146" s="2" t="str">
        <f aca="false">IF($B146="","",COUNTIFS(Datos_items!$B:$B,$B146,Datos_items!$AA:$AA,T$4,Datos_items!$E:$E,Analisis_grupo!$C$4))</f>
        <v/>
      </c>
      <c r="U146" s="2" t="str">
        <f aca="false">IF($B146="","",COUNTIFS(Datos_items!$B:$B,$B146,Datos_items!$AA:$AA,U$4,Datos_items!$E:$E,Analisis_grupo!$C$4))</f>
        <v/>
      </c>
      <c r="V146" s="2" t="str">
        <f aca="false">IF($B146="","",COUNTIFS(Datos_items!$B:$B,$B146,Datos_items!$AA:$AA,V$4,Datos_items!$E:$E,Analisis_grupo!$C$4))</f>
        <v/>
      </c>
      <c r="W146" s="2" t="str">
        <f aca="false">IF($B146="","",COUNTIFS(Datos_items!$B:$B,$B146,Datos_items!$AA:$AA,W$4,Datos_items!$E:$E,Analisis_grupo!$C$4))</f>
        <v/>
      </c>
      <c r="X146" s="2" t="str">
        <f aca="false">IF($B146="","",COUNTIFS(Datos_items!$B:$B,$B146,Datos_items!$AA:$AA,X$4,Datos_items!$E:$E,Analisis_grupo!$C$4))</f>
        <v/>
      </c>
      <c r="Y146" s="2" t="str">
        <f aca="false">IF($B146="","",COUNTIFS(Datos_items!$B:$B,$B146,Datos_items!$AA:$AA,Y$4,Datos_items!$E:$E,Analisis_grupo!$C$4))</f>
        <v/>
      </c>
      <c r="Z146" s="2" t="str">
        <f aca="false">IF($B146="","",COUNTIFS(Datos_items!$B:$B,$B146,Datos_items!$AA:$AA,Z$4,Datos_items!$E:$E,Analisis_grupo!$C$4))</f>
        <v/>
      </c>
      <c r="AA146" s="2" t="str">
        <f aca="false">IF($B146="","",COUNTIFS(Datos_items!$B:$B,$B146,Datos_items!$AA:$AA,AA$4,Datos_items!$E:$E,Analisis_grupo!$C$4))</f>
        <v/>
      </c>
      <c r="AB146" s="2" t="str">
        <f aca="false">IF($B146="","",COUNTIFS(Datos_items!$B:$B,$B146,Datos_items!$AA:$AA,AB$4,Datos_items!$E:$E,Analisis_grupo!$C$4))</f>
        <v/>
      </c>
      <c r="AC146" s="2" t="str">
        <f aca="false">IF($B146="","",COUNTIFS(Datos_items!$B:$B,$B146,Datos_items!$AA:$AA,AC$4,Datos_items!$E:$E,Analisis_grupo!$C$4))</f>
        <v/>
      </c>
      <c r="AD146" s="2" t="str">
        <f aca="false">IF($B146="","",COUNTIFS(Datos_items!$B:$B,$B146,Datos_items!$AA:$AA,AD$4,Datos_items!$E:$E,Analisis_grupo!$C$4))</f>
        <v/>
      </c>
      <c r="AE146" s="2" t="str">
        <f aca="false">IF($B146="","",COUNTIFS(Datos_items!$B:$B,$B146,Datos_items!$AA:$AA,AE$4,Datos_items!$E:$E,Analisis_grupo!$C$4))</f>
        <v/>
      </c>
      <c r="AF146" s="2" t="str">
        <f aca="false">IF($B146="","",COUNTIFS(Datos_items!$B:$B,$B146,Datos_items!$AA:$AA,AF$4,Datos_items!$E:$E,Analisis_grupo!$C$4))</f>
        <v/>
      </c>
      <c r="AG146" s="2" t="str">
        <f aca="false">IF($B146="","",COUNTIFS(Datos_items!$B:$B,$B146,Datos_items!$AA:$AA,AG$4,Datos_items!$E:$E,Analisis_grupo!$C$4))</f>
        <v/>
      </c>
      <c r="AH146" s="2" t="str">
        <f aca="false">IF($B146="","",COUNTIFS(Datos_items!$B:$B,$B146,Datos_items!$AA:$AA,AH$4,Datos_items!$E:$E,Analisis_grupo!$C$4))</f>
        <v/>
      </c>
      <c r="AI146" s="2" t="str">
        <f aca="false">IF($B146="","",COUNTIFS(Datos_items!$B:$B,$B146,Datos_items!$AA:$AA,AI$4,Datos_items!$E:$E,Analisis_grupo!$C$4))</f>
        <v/>
      </c>
      <c r="AJ146" s="2" t="str">
        <f aca="false">IF($B146="","",COUNTIFS(Datos_items!$B:$B,$B146,Datos_items!$AA:$AA,AJ$4,Datos_items!$E:$E,Analisis_grupo!$C$4))</f>
        <v/>
      </c>
      <c r="AK146" s="2" t="str">
        <f aca="false">IF($B146="","",COUNTIFS(Datos_items!$B:$B,$B146,Datos_items!$AA:$AA,AK$4,Datos_items!$E:$E,Analisis_grupo!$C$4))</f>
        <v/>
      </c>
      <c r="AL146" s="2" t="str">
        <f aca="false">IF($B146="","",COUNTIFS(Datos_items!$B:$B,$B146,Datos_items!$AA:$AA,AL$4,Datos_items!$E:$E,Analisis_grupo!$C$4))</f>
        <v/>
      </c>
      <c r="AM146" s="2" t="str">
        <f aca="false">IF($B146="","",IF(MAX(Y146:AL146)=0,"",INDEX($Y$4:$AL$4,MATCH(MAX(Y146:AL146),Y146:AL146,0))))</f>
        <v/>
      </c>
      <c r="AN146" s="2" t="str">
        <f aca="false">IF($B146="","",COUNTIFS(Datos_problemas!$B:$B,$B146,Datos_problemas!$F:$F,"Práctica"))</f>
        <v/>
      </c>
      <c r="AO146" s="2" t="str">
        <f aca="false">IF($B146="","",SUMIFS(Datos_problemas!$AQ:$AQ,Datos_problemas!$B:$B,$B146,Datos_problemas!$F:$F,"Práctica"))</f>
        <v/>
      </c>
      <c r="AP146" s="2" t="str">
        <f aca="false">IF($B146="","",COUNTIFS(Datos_problemas!$B:$B,$B146,Datos_problemas!$F:$F,"Práctica",Datos_problemas!$AS:$AS,"Sí"))</f>
        <v/>
      </c>
    </row>
    <row r="147" customFormat="false" ht="15" hidden="false" customHeight="false" outlineLevel="0" collapsed="false">
      <c r="A147" s="2" t="n">
        <v>143</v>
      </c>
      <c r="B147" s="2" t="str">
        <f aca="false">IFERROR(INDEX(Datos_problemas!$B:$B,MATCH($A147,Datos_problemas!$AV:$AV,0)),"")</f>
        <v/>
      </c>
      <c r="C147" s="2" t="str">
        <f aca="false">IF($B147="","",INDEX(Datos_problemas!$C:$C,MATCH($A147,Datos_problemas!$AV:$AV,0)))</f>
        <v/>
      </c>
      <c r="D147" s="2" t="str">
        <f aca="false">IF($B147="","",INDEX(Datos_problemas!$D:$D,MATCH($A147,Datos_problemas!$AV:$AV,0)))</f>
        <v/>
      </c>
      <c r="E147" s="2" t="str">
        <f aca="false">IF($B147="","",COUNTIFS(Datos_problemas!$B:$B,$B147,Datos_problemas!$F:$F,"Evaluación"))</f>
        <v/>
      </c>
      <c r="F147" s="20" t="str">
        <f aca="false">IF($B147="","",IFERROR(AVERAGEIFS(Datos_problemas!$AE:$AE,Datos_problemas!$B:$B,$B147,Datos_problemas!$F:$F,"Evaluación"),""))</f>
        <v/>
      </c>
      <c r="G147" s="20" t="str">
        <f aca="false">IF($B147="","",IFERROR(AVERAGEIFS(Datos_problemas!$AE:$AE,Datos_problemas!$B:$B,$B147,Datos_problemas!$F:$F,"Evaluación",Datos_problemas!$E:$E,"Diagnóstico"),""))</f>
        <v/>
      </c>
      <c r="H147" s="20" t="str">
        <f aca="false">IF($B147="","",IFERROR(AVERAGEIFS(Datos_problemas!$AE:$AE,Datos_problemas!$B:$B,$B147,Datos_problemas!$F:$F,"Evaluación",Datos_problemas!$E:$E,"Final"),""))</f>
        <v/>
      </c>
      <c r="I147" s="21" t="str">
        <f aca="false">IF(OR(G147="",H147=""),"",IF(G147&gt;=10,"",(H147-G147)/(10-G147)))</f>
        <v/>
      </c>
      <c r="J147" s="18" t="str">
        <f aca="false">IF($B147="","",IFERROR(SUMIFS(Datos_items!$Z:$Z,Datos_items!$B:$B,$B147,Datos_items!$O:$O,J$4,Datos_items!$E:$E,Analisis_grupo!$C$4)/COUNTIFS(Datos_items!$B:$B,$B147,Datos_items!$O:$O,J$4,Datos_items!$E:$E,Analisis_grupo!$C$4),""))</f>
        <v/>
      </c>
      <c r="K147" s="18" t="str">
        <f aca="false">IF($B147="","",IFERROR(SUMIFS(Datos_items!$Z:$Z,Datos_items!$B:$B,$B147,Datos_items!$O:$O,K$4,Datos_items!$E:$E,Analisis_grupo!$C$4)/COUNTIFS(Datos_items!$B:$B,$B147,Datos_items!$O:$O,K$4,Datos_items!$E:$E,Analisis_grupo!$C$4),""))</f>
        <v/>
      </c>
      <c r="L147" s="18" t="str">
        <f aca="false">IF($B147="","",IFERROR(SUMIFS(Datos_items!$Z:$Z,Datos_items!$B:$B,$B147,Datos_items!$O:$O,L$4,Datos_items!$E:$E,Analisis_grupo!$C$4)/COUNTIFS(Datos_items!$B:$B,$B147,Datos_items!$O:$O,L$4,Datos_items!$E:$E,Analisis_grupo!$C$4),""))</f>
        <v/>
      </c>
      <c r="M147" s="18" t="str">
        <f aca="false">IF($B147="","",IFERROR(SUMIFS(Datos_items!$Z:$Z,Datos_items!$B:$B,$B147,Datos_items!$O:$O,M$4,Datos_items!$E:$E,Analisis_grupo!$C$4)/COUNTIFS(Datos_items!$B:$B,$B147,Datos_items!$O:$O,M$4,Datos_items!$E:$E,Analisis_grupo!$C$4),""))</f>
        <v/>
      </c>
      <c r="N147" s="18" t="str">
        <f aca="false">IF($B147="","",IFERROR(SUMIFS(Datos_items!$Z:$Z,Datos_items!$B:$B,$B147,Datos_items!$O:$O,N$4,Datos_items!$E:$E,Analisis_grupo!$C$4)/COUNTIFS(Datos_items!$B:$B,$B147,Datos_items!$O:$O,N$4,Datos_items!$E:$E,Analisis_grupo!$C$4),""))</f>
        <v/>
      </c>
      <c r="O147" s="18" t="str">
        <f aca="false">IF($B147="","",IFERROR(SUMIFS(Datos_items!$Z:$Z,Datos_items!$B:$B,$B147,Datos_items!$O:$O,O$4,Datos_items!$E:$E,Analisis_grupo!$C$4)/COUNTIFS(Datos_items!$B:$B,$B147,Datos_items!$O:$O,O$4,Datos_items!$E:$E,Analisis_grupo!$C$4),""))</f>
        <v/>
      </c>
      <c r="P147" s="18" t="str">
        <f aca="false">IF($B147="","",IFERROR(SUMIFS(Datos_items!$Z:$Z,Datos_items!$B:$B,$B147,Datos_items!$O:$O,P$4,Datos_items!$E:$E,Analisis_grupo!$C$4)/COUNTIFS(Datos_items!$B:$B,$B147,Datos_items!$O:$O,P$4,Datos_items!$E:$E,Analisis_grupo!$C$4),""))</f>
        <v/>
      </c>
      <c r="Q147" s="18" t="str">
        <f aca="false">IF($B147="","",IFERROR(SUMIFS(Datos_items!$Z:$Z,Datos_items!$B:$B,$B147,Datos_items!$O:$O,Q$4,Datos_items!$E:$E,Analisis_grupo!$C$4)/COUNTIFS(Datos_items!$B:$B,$B147,Datos_items!$O:$O,Q$4,Datos_items!$E:$E,Analisis_grupo!$C$4),""))</f>
        <v/>
      </c>
      <c r="R147" s="2" t="str">
        <f aca="false">IF(COUNT(J147:Q147)=0,"",IF(MIN(J147:Q147)&gt;=Analisis_grupo!$B$7,"(ninguna)",INDEX($J$4:$Q$4,MATCH(MIN(J147:Q147),J147:Q147,0))))</f>
        <v/>
      </c>
      <c r="S147" s="2" t="str">
        <f aca="false">IF($B147="","",COUNTIF(J147:Q147,"&lt;"&amp;Analisis_grupo!$B$7))</f>
        <v/>
      </c>
      <c r="T147" s="2" t="str">
        <f aca="false">IF($B147="","",COUNTIFS(Datos_items!$B:$B,$B147,Datos_items!$AA:$AA,T$4,Datos_items!$E:$E,Analisis_grupo!$C$4))</f>
        <v/>
      </c>
      <c r="U147" s="2" t="str">
        <f aca="false">IF($B147="","",COUNTIFS(Datos_items!$B:$B,$B147,Datos_items!$AA:$AA,U$4,Datos_items!$E:$E,Analisis_grupo!$C$4))</f>
        <v/>
      </c>
      <c r="V147" s="2" t="str">
        <f aca="false">IF($B147="","",COUNTIFS(Datos_items!$B:$B,$B147,Datos_items!$AA:$AA,V$4,Datos_items!$E:$E,Analisis_grupo!$C$4))</f>
        <v/>
      </c>
      <c r="W147" s="2" t="str">
        <f aca="false">IF($B147="","",COUNTIFS(Datos_items!$B:$B,$B147,Datos_items!$AA:$AA,W$4,Datos_items!$E:$E,Analisis_grupo!$C$4))</f>
        <v/>
      </c>
      <c r="X147" s="2" t="str">
        <f aca="false">IF($B147="","",COUNTIFS(Datos_items!$B:$B,$B147,Datos_items!$AA:$AA,X$4,Datos_items!$E:$E,Analisis_grupo!$C$4))</f>
        <v/>
      </c>
      <c r="Y147" s="2" t="str">
        <f aca="false">IF($B147="","",COUNTIFS(Datos_items!$B:$B,$B147,Datos_items!$AA:$AA,Y$4,Datos_items!$E:$E,Analisis_grupo!$C$4))</f>
        <v/>
      </c>
      <c r="Z147" s="2" t="str">
        <f aca="false">IF($B147="","",COUNTIFS(Datos_items!$B:$B,$B147,Datos_items!$AA:$AA,Z$4,Datos_items!$E:$E,Analisis_grupo!$C$4))</f>
        <v/>
      </c>
      <c r="AA147" s="2" t="str">
        <f aca="false">IF($B147="","",COUNTIFS(Datos_items!$B:$B,$B147,Datos_items!$AA:$AA,AA$4,Datos_items!$E:$E,Analisis_grupo!$C$4))</f>
        <v/>
      </c>
      <c r="AB147" s="2" t="str">
        <f aca="false">IF($B147="","",COUNTIFS(Datos_items!$B:$B,$B147,Datos_items!$AA:$AA,AB$4,Datos_items!$E:$E,Analisis_grupo!$C$4))</f>
        <v/>
      </c>
      <c r="AC147" s="2" t="str">
        <f aca="false">IF($B147="","",COUNTIFS(Datos_items!$B:$B,$B147,Datos_items!$AA:$AA,AC$4,Datos_items!$E:$E,Analisis_grupo!$C$4))</f>
        <v/>
      </c>
      <c r="AD147" s="2" t="str">
        <f aca="false">IF($B147="","",COUNTIFS(Datos_items!$B:$B,$B147,Datos_items!$AA:$AA,AD$4,Datos_items!$E:$E,Analisis_grupo!$C$4))</f>
        <v/>
      </c>
      <c r="AE147" s="2" t="str">
        <f aca="false">IF($B147="","",COUNTIFS(Datos_items!$B:$B,$B147,Datos_items!$AA:$AA,AE$4,Datos_items!$E:$E,Analisis_grupo!$C$4))</f>
        <v/>
      </c>
      <c r="AF147" s="2" t="str">
        <f aca="false">IF($B147="","",COUNTIFS(Datos_items!$B:$B,$B147,Datos_items!$AA:$AA,AF$4,Datos_items!$E:$E,Analisis_grupo!$C$4))</f>
        <v/>
      </c>
      <c r="AG147" s="2" t="str">
        <f aca="false">IF($B147="","",COUNTIFS(Datos_items!$B:$B,$B147,Datos_items!$AA:$AA,AG$4,Datos_items!$E:$E,Analisis_grupo!$C$4))</f>
        <v/>
      </c>
      <c r="AH147" s="2" t="str">
        <f aca="false">IF($B147="","",COUNTIFS(Datos_items!$B:$B,$B147,Datos_items!$AA:$AA,AH$4,Datos_items!$E:$E,Analisis_grupo!$C$4))</f>
        <v/>
      </c>
      <c r="AI147" s="2" t="str">
        <f aca="false">IF($B147="","",COUNTIFS(Datos_items!$B:$B,$B147,Datos_items!$AA:$AA,AI$4,Datos_items!$E:$E,Analisis_grupo!$C$4))</f>
        <v/>
      </c>
      <c r="AJ147" s="2" t="str">
        <f aca="false">IF($B147="","",COUNTIFS(Datos_items!$B:$B,$B147,Datos_items!$AA:$AA,AJ$4,Datos_items!$E:$E,Analisis_grupo!$C$4))</f>
        <v/>
      </c>
      <c r="AK147" s="2" t="str">
        <f aca="false">IF($B147="","",COUNTIFS(Datos_items!$B:$B,$B147,Datos_items!$AA:$AA,AK$4,Datos_items!$E:$E,Analisis_grupo!$C$4))</f>
        <v/>
      </c>
      <c r="AL147" s="2" t="str">
        <f aca="false">IF($B147="","",COUNTIFS(Datos_items!$B:$B,$B147,Datos_items!$AA:$AA,AL$4,Datos_items!$E:$E,Analisis_grupo!$C$4))</f>
        <v/>
      </c>
      <c r="AM147" s="2" t="str">
        <f aca="false">IF($B147="","",IF(MAX(Y147:AL147)=0,"",INDEX($Y$4:$AL$4,MATCH(MAX(Y147:AL147),Y147:AL147,0))))</f>
        <v/>
      </c>
      <c r="AN147" s="2" t="str">
        <f aca="false">IF($B147="","",COUNTIFS(Datos_problemas!$B:$B,$B147,Datos_problemas!$F:$F,"Práctica"))</f>
        <v/>
      </c>
      <c r="AO147" s="2" t="str">
        <f aca="false">IF($B147="","",SUMIFS(Datos_problemas!$AQ:$AQ,Datos_problemas!$B:$B,$B147,Datos_problemas!$F:$F,"Práctica"))</f>
        <v/>
      </c>
      <c r="AP147" s="2" t="str">
        <f aca="false">IF($B147="","",COUNTIFS(Datos_problemas!$B:$B,$B147,Datos_problemas!$F:$F,"Práctica",Datos_problemas!$AS:$AS,"Sí"))</f>
        <v/>
      </c>
    </row>
    <row r="148" customFormat="false" ht="15" hidden="false" customHeight="false" outlineLevel="0" collapsed="false">
      <c r="A148" s="2" t="n">
        <v>144</v>
      </c>
      <c r="B148" s="2" t="str">
        <f aca="false">IFERROR(INDEX(Datos_problemas!$B:$B,MATCH($A148,Datos_problemas!$AV:$AV,0)),"")</f>
        <v/>
      </c>
      <c r="C148" s="2" t="str">
        <f aca="false">IF($B148="","",INDEX(Datos_problemas!$C:$C,MATCH($A148,Datos_problemas!$AV:$AV,0)))</f>
        <v/>
      </c>
      <c r="D148" s="2" t="str">
        <f aca="false">IF($B148="","",INDEX(Datos_problemas!$D:$D,MATCH($A148,Datos_problemas!$AV:$AV,0)))</f>
        <v/>
      </c>
      <c r="E148" s="2" t="str">
        <f aca="false">IF($B148="","",COUNTIFS(Datos_problemas!$B:$B,$B148,Datos_problemas!$F:$F,"Evaluación"))</f>
        <v/>
      </c>
      <c r="F148" s="20" t="str">
        <f aca="false">IF($B148="","",IFERROR(AVERAGEIFS(Datos_problemas!$AE:$AE,Datos_problemas!$B:$B,$B148,Datos_problemas!$F:$F,"Evaluación"),""))</f>
        <v/>
      </c>
      <c r="G148" s="20" t="str">
        <f aca="false">IF($B148="","",IFERROR(AVERAGEIFS(Datos_problemas!$AE:$AE,Datos_problemas!$B:$B,$B148,Datos_problemas!$F:$F,"Evaluación",Datos_problemas!$E:$E,"Diagnóstico"),""))</f>
        <v/>
      </c>
      <c r="H148" s="20" t="str">
        <f aca="false">IF($B148="","",IFERROR(AVERAGEIFS(Datos_problemas!$AE:$AE,Datos_problemas!$B:$B,$B148,Datos_problemas!$F:$F,"Evaluación",Datos_problemas!$E:$E,"Final"),""))</f>
        <v/>
      </c>
      <c r="I148" s="21" t="str">
        <f aca="false">IF(OR(G148="",H148=""),"",IF(G148&gt;=10,"",(H148-G148)/(10-G148)))</f>
        <v/>
      </c>
      <c r="J148" s="18" t="str">
        <f aca="false">IF($B148="","",IFERROR(SUMIFS(Datos_items!$Z:$Z,Datos_items!$B:$B,$B148,Datos_items!$O:$O,J$4,Datos_items!$E:$E,Analisis_grupo!$C$4)/COUNTIFS(Datos_items!$B:$B,$B148,Datos_items!$O:$O,J$4,Datos_items!$E:$E,Analisis_grupo!$C$4),""))</f>
        <v/>
      </c>
      <c r="K148" s="18" t="str">
        <f aca="false">IF($B148="","",IFERROR(SUMIFS(Datos_items!$Z:$Z,Datos_items!$B:$B,$B148,Datos_items!$O:$O,K$4,Datos_items!$E:$E,Analisis_grupo!$C$4)/COUNTIFS(Datos_items!$B:$B,$B148,Datos_items!$O:$O,K$4,Datos_items!$E:$E,Analisis_grupo!$C$4),""))</f>
        <v/>
      </c>
      <c r="L148" s="18" t="str">
        <f aca="false">IF($B148="","",IFERROR(SUMIFS(Datos_items!$Z:$Z,Datos_items!$B:$B,$B148,Datos_items!$O:$O,L$4,Datos_items!$E:$E,Analisis_grupo!$C$4)/COUNTIFS(Datos_items!$B:$B,$B148,Datos_items!$O:$O,L$4,Datos_items!$E:$E,Analisis_grupo!$C$4),""))</f>
        <v/>
      </c>
      <c r="M148" s="18" t="str">
        <f aca="false">IF($B148="","",IFERROR(SUMIFS(Datos_items!$Z:$Z,Datos_items!$B:$B,$B148,Datos_items!$O:$O,M$4,Datos_items!$E:$E,Analisis_grupo!$C$4)/COUNTIFS(Datos_items!$B:$B,$B148,Datos_items!$O:$O,M$4,Datos_items!$E:$E,Analisis_grupo!$C$4),""))</f>
        <v/>
      </c>
      <c r="N148" s="18" t="str">
        <f aca="false">IF($B148="","",IFERROR(SUMIFS(Datos_items!$Z:$Z,Datos_items!$B:$B,$B148,Datos_items!$O:$O,N$4,Datos_items!$E:$E,Analisis_grupo!$C$4)/COUNTIFS(Datos_items!$B:$B,$B148,Datos_items!$O:$O,N$4,Datos_items!$E:$E,Analisis_grupo!$C$4),""))</f>
        <v/>
      </c>
      <c r="O148" s="18" t="str">
        <f aca="false">IF($B148="","",IFERROR(SUMIFS(Datos_items!$Z:$Z,Datos_items!$B:$B,$B148,Datos_items!$O:$O,O$4,Datos_items!$E:$E,Analisis_grupo!$C$4)/COUNTIFS(Datos_items!$B:$B,$B148,Datos_items!$O:$O,O$4,Datos_items!$E:$E,Analisis_grupo!$C$4),""))</f>
        <v/>
      </c>
      <c r="P148" s="18" t="str">
        <f aca="false">IF($B148="","",IFERROR(SUMIFS(Datos_items!$Z:$Z,Datos_items!$B:$B,$B148,Datos_items!$O:$O,P$4,Datos_items!$E:$E,Analisis_grupo!$C$4)/COUNTIFS(Datos_items!$B:$B,$B148,Datos_items!$O:$O,P$4,Datos_items!$E:$E,Analisis_grupo!$C$4),""))</f>
        <v/>
      </c>
      <c r="Q148" s="18" t="str">
        <f aca="false">IF($B148="","",IFERROR(SUMIFS(Datos_items!$Z:$Z,Datos_items!$B:$B,$B148,Datos_items!$O:$O,Q$4,Datos_items!$E:$E,Analisis_grupo!$C$4)/COUNTIFS(Datos_items!$B:$B,$B148,Datos_items!$O:$O,Q$4,Datos_items!$E:$E,Analisis_grupo!$C$4),""))</f>
        <v/>
      </c>
      <c r="R148" s="2" t="str">
        <f aca="false">IF(COUNT(J148:Q148)=0,"",IF(MIN(J148:Q148)&gt;=Analisis_grupo!$B$7,"(ninguna)",INDEX($J$4:$Q$4,MATCH(MIN(J148:Q148),J148:Q148,0))))</f>
        <v/>
      </c>
      <c r="S148" s="2" t="str">
        <f aca="false">IF($B148="","",COUNTIF(J148:Q148,"&lt;"&amp;Analisis_grupo!$B$7))</f>
        <v/>
      </c>
      <c r="T148" s="2" t="str">
        <f aca="false">IF($B148="","",COUNTIFS(Datos_items!$B:$B,$B148,Datos_items!$AA:$AA,T$4,Datos_items!$E:$E,Analisis_grupo!$C$4))</f>
        <v/>
      </c>
      <c r="U148" s="2" t="str">
        <f aca="false">IF($B148="","",COUNTIFS(Datos_items!$B:$B,$B148,Datos_items!$AA:$AA,U$4,Datos_items!$E:$E,Analisis_grupo!$C$4))</f>
        <v/>
      </c>
      <c r="V148" s="2" t="str">
        <f aca="false">IF($B148="","",COUNTIFS(Datos_items!$B:$B,$B148,Datos_items!$AA:$AA,V$4,Datos_items!$E:$E,Analisis_grupo!$C$4))</f>
        <v/>
      </c>
      <c r="W148" s="2" t="str">
        <f aca="false">IF($B148="","",COUNTIFS(Datos_items!$B:$B,$B148,Datos_items!$AA:$AA,W$4,Datos_items!$E:$E,Analisis_grupo!$C$4))</f>
        <v/>
      </c>
      <c r="X148" s="2" t="str">
        <f aca="false">IF($B148="","",COUNTIFS(Datos_items!$B:$B,$B148,Datos_items!$AA:$AA,X$4,Datos_items!$E:$E,Analisis_grupo!$C$4))</f>
        <v/>
      </c>
      <c r="Y148" s="2" t="str">
        <f aca="false">IF($B148="","",COUNTIFS(Datos_items!$B:$B,$B148,Datos_items!$AA:$AA,Y$4,Datos_items!$E:$E,Analisis_grupo!$C$4))</f>
        <v/>
      </c>
      <c r="Z148" s="2" t="str">
        <f aca="false">IF($B148="","",COUNTIFS(Datos_items!$B:$B,$B148,Datos_items!$AA:$AA,Z$4,Datos_items!$E:$E,Analisis_grupo!$C$4))</f>
        <v/>
      </c>
      <c r="AA148" s="2" t="str">
        <f aca="false">IF($B148="","",COUNTIFS(Datos_items!$B:$B,$B148,Datos_items!$AA:$AA,AA$4,Datos_items!$E:$E,Analisis_grupo!$C$4))</f>
        <v/>
      </c>
      <c r="AB148" s="2" t="str">
        <f aca="false">IF($B148="","",COUNTIFS(Datos_items!$B:$B,$B148,Datos_items!$AA:$AA,AB$4,Datos_items!$E:$E,Analisis_grupo!$C$4))</f>
        <v/>
      </c>
      <c r="AC148" s="2" t="str">
        <f aca="false">IF($B148="","",COUNTIFS(Datos_items!$B:$B,$B148,Datos_items!$AA:$AA,AC$4,Datos_items!$E:$E,Analisis_grupo!$C$4))</f>
        <v/>
      </c>
      <c r="AD148" s="2" t="str">
        <f aca="false">IF($B148="","",COUNTIFS(Datos_items!$B:$B,$B148,Datos_items!$AA:$AA,AD$4,Datos_items!$E:$E,Analisis_grupo!$C$4))</f>
        <v/>
      </c>
      <c r="AE148" s="2" t="str">
        <f aca="false">IF($B148="","",COUNTIFS(Datos_items!$B:$B,$B148,Datos_items!$AA:$AA,AE$4,Datos_items!$E:$E,Analisis_grupo!$C$4))</f>
        <v/>
      </c>
      <c r="AF148" s="2" t="str">
        <f aca="false">IF($B148="","",COUNTIFS(Datos_items!$B:$B,$B148,Datos_items!$AA:$AA,AF$4,Datos_items!$E:$E,Analisis_grupo!$C$4))</f>
        <v/>
      </c>
      <c r="AG148" s="2" t="str">
        <f aca="false">IF($B148="","",COUNTIFS(Datos_items!$B:$B,$B148,Datos_items!$AA:$AA,AG$4,Datos_items!$E:$E,Analisis_grupo!$C$4))</f>
        <v/>
      </c>
      <c r="AH148" s="2" t="str">
        <f aca="false">IF($B148="","",COUNTIFS(Datos_items!$B:$B,$B148,Datos_items!$AA:$AA,AH$4,Datos_items!$E:$E,Analisis_grupo!$C$4))</f>
        <v/>
      </c>
      <c r="AI148" s="2" t="str">
        <f aca="false">IF($B148="","",COUNTIFS(Datos_items!$B:$B,$B148,Datos_items!$AA:$AA,AI$4,Datos_items!$E:$E,Analisis_grupo!$C$4))</f>
        <v/>
      </c>
      <c r="AJ148" s="2" t="str">
        <f aca="false">IF($B148="","",COUNTIFS(Datos_items!$B:$B,$B148,Datos_items!$AA:$AA,AJ$4,Datos_items!$E:$E,Analisis_grupo!$C$4))</f>
        <v/>
      </c>
      <c r="AK148" s="2" t="str">
        <f aca="false">IF($B148="","",COUNTIFS(Datos_items!$B:$B,$B148,Datos_items!$AA:$AA,AK$4,Datos_items!$E:$E,Analisis_grupo!$C$4))</f>
        <v/>
      </c>
      <c r="AL148" s="2" t="str">
        <f aca="false">IF($B148="","",COUNTIFS(Datos_items!$B:$B,$B148,Datos_items!$AA:$AA,AL$4,Datos_items!$E:$E,Analisis_grupo!$C$4))</f>
        <v/>
      </c>
      <c r="AM148" s="2" t="str">
        <f aca="false">IF($B148="","",IF(MAX(Y148:AL148)=0,"",INDEX($Y$4:$AL$4,MATCH(MAX(Y148:AL148),Y148:AL148,0))))</f>
        <v/>
      </c>
      <c r="AN148" s="2" t="str">
        <f aca="false">IF($B148="","",COUNTIFS(Datos_problemas!$B:$B,$B148,Datos_problemas!$F:$F,"Práctica"))</f>
        <v/>
      </c>
      <c r="AO148" s="2" t="str">
        <f aca="false">IF($B148="","",SUMIFS(Datos_problemas!$AQ:$AQ,Datos_problemas!$B:$B,$B148,Datos_problemas!$F:$F,"Práctica"))</f>
        <v/>
      </c>
      <c r="AP148" s="2" t="str">
        <f aca="false">IF($B148="","",COUNTIFS(Datos_problemas!$B:$B,$B148,Datos_problemas!$F:$F,"Práctica",Datos_problemas!$AS:$AS,"Sí"))</f>
        <v/>
      </c>
    </row>
    <row r="149" customFormat="false" ht="15" hidden="false" customHeight="false" outlineLevel="0" collapsed="false">
      <c r="A149" s="2" t="n">
        <v>145</v>
      </c>
      <c r="B149" s="2" t="str">
        <f aca="false">IFERROR(INDEX(Datos_problemas!$B:$B,MATCH($A149,Datos_problemas!$AV:$AV,0)),"")</f>
        <v/>
      </c>
      <c r="C149" s="2" t="str">
        <f aca="false">IF($B149="","",INDEX(Datos_problemas!$C:$C,MATCH($A149,Datos_problemas!$AV:$AV,0)))</f>
        <v/>
      </c>
      <c r="D149" s="2" t="str">
        <f aca="false">IF($B149="","",INDEX(Datos_problemas!$D:$D,MATCH($A149,Datos_problemas!$AV:$AV,0)))</f>
        <v/>
      </c>
      <c r="E149" s="2" t="str">
        <f aca="false">IF($B149="","",COUNTIFS(Datos_problemas!$B:$B,$B149,Datos_problemas!$F:$F,"Evaluación"))</f>
        <v/>
      </c>
      <c r="F149" s="20" t="str">
        <f aca="false">IF($B149="","",IFERROR(AVERAGEIFS(Datos_problemas!$AE:$AE,Datos_problemas!$B:$B,$B149,Datos_problemas!$F:$F,"Evaluación"),""))</f>
        <v/>
      </c>
      <c r="G149" s="20" t="str">
        <f aca="false">IF($B149="","",IFERROR(AVERAGEIFS(Datos_problemas!$AE:$AE,Datos_problemas!$B:$B,$B149,Datos_problemas!$F:$F,"Evaluación",Datos_problemas!$E:$E,"Diagnóstico"),""))</f>
        <v/>
      </c>
      <c r="H149" s="20" t="str">
        <f aca="false">IF($B149="","",IFERROR(AVERAGEIFS(Datos_problemas!$AE:$AE,Datos_problemas!$B:$B,$B149,Datos_problemas!$F:$F,"Evaluación",Datos_problemas!$E:$E,"Final"),""))</f>
        <v/>
      </c>
      <c r="I149" s="21" t="str">
        <f aca="false">IF(OR(G149="",H149=""),"",IF(G149&gt;=10,"",(H149-G149)/(10-G149)))</f>
        <v/>
      </c>
      <c r="J149" s="18" t="str">
        <f aca="false">IF($B149="","",IFERROR(SUMIFS(Datos_items!$Z:$Z,Datos_items!$B:$B,$B149,Datos_items!$O:$O,J$4,Datos_items!$E:$E,Analisis_grupo!$C$4)/COUNTIFS(Datos_items!$B:$B,$B149,Datos_items!$O:$O,J$4,Datos_items!$E:$E,Analisis_grupo!$C$4),""))</f>
        <v/>
      </c>
      <c r="K149" s="18" t="str">
        <f aca="false">IF($B149="","",IFERROR(SUMIFS(Datos_items!$Z:$Z,Datos_items!$B:$B,$B149,Datos_items!$O:$O,K$4,Datos_items!$E:$E,Analisis_grupo!$C$4)/COUNTIFS(Datos_items!$B:$B,$B149,Datos_items!$O:$O,K$4,Datos_items!$E:$E,Analisis_grupo!$C$4),""))</f>
        <v/>
      </c>
      <c r="L149" s="18" t="str">
        <f aca="false">IF($B149="","",IFERROR(SUMIFS(Datos_items!$Z:$Z,Datos_items!$B:$B,$B149,Datos_items!$O:$O,L$4,Datos_items!$E:$E,Analisis_grupo!$C$4)/COUNTIFS(Datos_items!$B:$B,$B149,Datos_items!$O:$O,L$4,Datos_items!$E:$E,Analisis_grupo!$C$4),""))</f>
        <v/>
      </c>
      <c r="M149" s="18" t="str">
        <f aca="false">IF($B149="","",IFERROR(SUMIFS(Datos_items!$Z:$Z,Datos_items!$B:$B,$B149,Datos_items!$O:$O,M$4,Datos_items!$E:$E,Analisis_grupo!$C$4)/COUNTIFS(Datos_items!$B:$B,$B149,Datos_items!$O:$O,M$4,Datos_items!$E:$E,Analisis_grupo!$C$4),""))</f>
        <v/>
      </c>
      <c r="N149" s="18" t="str">
        <f aca="false">IF($B149="","",IFERROR(SUMIFS(Datos_items!$Z:$Z,Datos_items!$B:$B,$B149,Datos_items!$O:$O,N$4,Datos_items!$E:$E,Analisis_grupo!$C$4)/COUNTIFS(Datos_items!$B:$B,$B149,Datos_items!$O:$O,N$4,Datos_items!$E:$E,Analisis_grupo!$C$4),""))</f>
        <v/>
      </c>
      <c r="O149" s="18" t="str">
        <f aca="false">IF($B149="","",IFERROR(SUMIFS(Datos_items!$Z:$Z,Datos_items!$B:$B,$B149,Datos_items!$O:$O,O$4,Datos_items!$E:$E,Analisis_grupo!$C$4)/COUNTIFS(Datos_items!$B:$B,$B149,Datos_items!$O:$O,O$4,Datos_items!$E:$E,Analisis_grupo!$C$4),""))</f>
        <v/>
      </c>
      <c r="P149" s="18" t="str">
        <f aca="false">IF($B149="","",IFERROR(SUMIFS(Datos_items!$Z:$Z,Datos_items!$B:$B,$B149,Datos_items!$O:$O,P$4,Datos_items!$E:$E,Analisis_grupo!$C$4)/COUNTIFS(Datos_items!$B:$B,$B149,Datos_items!$O:$O,P$4,Datos_items!$E:$E,Analisis_grupo!$C$4),""))</f>
        <v/>
      </c>
      <c r="Q149" s="18" t="str">
        <f aca="false">IF($B149="","",IFERROR(SUMIFS(Datos_items!$Z:$Z,Datos_items!$B:$B,$B149,Datos_items!$O:$O,Q$4,Datos_items!$E:$E,Analisis_grupo!$C$4)/COUNTIFS(Datos_items!$B:$B,$B149,Datos_items!$O:$O,Q$4,Datos_items!$E:$E,Analisis_grupo!$C$4),""))</f>
        <v/>
      </c>
      <c r="R149" s="2" t="str">
        <f aca="false">IF(COUNT(J149:Q149)=0,"",IF(MIN(J149:Q149)&gt;=Analisis_grupo!$B$7,"(ninguna)",INDEX($J$4:$Q$4,MATCH(MIN(J149:Q149),J149:Q149,0))))</f>
        <v/>
      </c>
      <c r="S149" s="2" t="str">
        <f aca="false">IF($B149="","",COUNTIF(J149:Q149,"&lt;"&amp;Analisis_grupo!$B$7))</f>
        <v/>
      </c>
      <c r="T149" s="2" t="str">
        <f aca="false">IF($B149="","",COUNTIFS(Datos_items!$B:$B,$B149,Datos_items!$AA:$AA,T$4,Datos_items!$E:$E,Analisis_grupo!$C$4))</f>
        <v/>
      </c>
      <c r="U149" s="2" t="str">
        <f aca="false">IF($B149="","",COUNTIFS(Datos_items!$B:$B,$B149,Datos_items!$AA:$AA,U$4,Datos_items!$E:$E,Analisis_grupo!$C$4))</f>
        <v/>
      </c>
      <c r="V149" s="2" t="str">
        <f aca="false">IF($B149="","",COUNTIFS(Datos_items!$B:$B,$B149,Datos_items!$AA:$AA,V$4,Datos_items!$E:$E,Analisis_grupo!$C$4))</f>
        <v/>
      </c>
      <c r="W149" s="2" t="str">
        <f aca="false">IF($B149="","",COUNTIFS(Datos_items!$B:$B,$B149,Datos_items!$AA:$AA,W$4,Datos_items!$E:$E,Analisis_grupo!$C$4))</f>
        <v/>
      </c>
      <c r="X149" s="2" t="str">
        <f aca="false">IF($B149="","",COUNTIFS(Datos_items!$B:$B,$B149,Datos_items!$AA:$AA,X$4,Datos_items!$E:$E,Analisis_grupo!$C$4))</f>
        <v/>
      </c>
      <c r="Y149" s="2" t="str">
        <f aca="false">IF($B149="","",COUNTIFS(Datos_items!$B:$B,$B149,Datos_items!$AA:$AA,Y$4,Datos_items!$E:$E,Analisis_grupo!$C$4))</f>
        <v/>
      </c>
      <c r="Z149" s="2" t="str">
        <f aca="false">IF($B149="","",COUNTIFS(Datos_items!$B:$B,$B149,Datos_items!$AA:$AA,Z$4,Datos_items!$E:$E,Analisis_grupo!$C$4))</f>
        <v/>
      </c>
      <c r="AA149" s="2" t="str">
        <f aca="false">IF($B149="","",COUNTIFS(Datos_items!$B:$B,$B149,Datos_items!$AA:$AA,AA$4,Datos_items!$E:$E,Analisis_grupo!$C$4))</f>
        <v/>
      </c>
      <c r="AB149" s="2" t="str">
        <f aca="false">IF($B149="","",COUNTIFS(Datos_items!$B:$B,$B149,Datos_items!$AA:$AA,AB$4,Datos_items!$E:$E,Analisis_grupo!$C$4))</f>
        <v/>
      </c>
      <c r="AC149" s="2" t="str">
        <f aca="false">IF($B149="","",COUNTIFS(Datos_items!$B:$B,$B149,Datos_items!$AA:$AA,AC$4,Datos_items!$E:$E,Analisis_grupo!$C$4))</f>
        <v/>
      </c>
      <c r="AD149" s="2" t="str">
        <f aca="false">IF($B149="","",COUNTIFS(Datos_items!$B:$B,$B149,Datos_items!$AA:$AA,AD$4,Datos_items!$E:$E,Analisis_grupo!$C$4))</f>
        <v/>
      </c>
      <c r="AE149" s="2" t="str">
        <f aca="false">IF($B149="","",COUNTIFS(Datos_items!$B:$B,$B149,Datos_items!$AA:$AA,AE$4,Datos_items!$E:$E,Analisis_grupo!$C$4))</f>
        <v/>
      </c>
      <c r="AF149" s="2" t="str">
        <f aca="false">IF($B149="","",COUNTIFS(Datos_items!$B:$B,$B149,Datos_items!$AA:$AA,AF$4,Datos_items!$E:$E,Analisis_grupo!$C$4))</f>
        <v/>
      </c>
      <c r="AG149" s="2" t="str">
        <f aca="false">IF($B149="","",COUNTIFS(Datos_items!$B:$B,$B149,Datos_items!$AA:$AA,AG$4,Datos_items!$E:$E,Analisis_grupo!$C$4))</f>
        <v/>
      </c>
      <c r="AH149" s="2" t="str">
        <f aca="false">IF($B149="","",COUNTIFS(Datos_items!$B:$B,$B149,Datos_items!$AA:$AA,AH$4,Datos_items!$E:$E,Analisis_grupo!$C$4))</f>
        <v/>
      </c>
      <c r="AI149" s="2" t="str">
        <f aca="false">IF($B149="","",COUNTIFS(Datos_items!$B:$B,$B149,Datos_items!$AA:$AA,AI$4,Datos_items!$E:$E,Analisis_grupo!$C$4))</f>
        <v/>
      </c>
      <c r="AJ149" s="2" t="str">
        <f aca="false">IF($B149="","",COUNTIFS(Datos_items!$B:$B,$B149,Datos_items!$AA:$AA,AJ$4,Datos_items!$E:$E,Analisis_grupo!$C$4))</f>
        <v/>
      </c>
      <c r="AK149" s="2" t="str">
        <f aca="false">IF($B149="","",COUNTIFS(Datos_items!$B:$B,$B149,Datos_items!$AA:$AA,AK$4,Datos_items!$E:$E,Analisis_grupo!$C$4))</f>
        <v/>
      </c>
      <c r="AL149" s="2" t="str">
        <f aca="false">IF($B149="","",COUNTIFS(Datos_items!$B:$B,$B149,Datos_items!$AA:$AA,AL$4,Datos_items!$E:$E,Analisis_grupo!$C$4))</f>
        <v/>
      </c>
      <c r="AM149" s="2" t="str">
        <f aca="false">IF($B149="","",IF(MAX(Y149:AL149)=0,"",INDEX($Y$4:$AL$4,MATCH(MAX(Y149:AL149),Y149:AL149,0))))</f>
        <v/>
      </c>
      <c r="AN149" s="2" t="str">
        <f aca="false">IF($B149="","",COUNTIFS(Datos_problemas!$B:$B,$B149,Datos_problemas!$F:$F,"Práctica"))</f>
        <v/>
      </c>
      <c r="AO149" s="2" t="str">
        <f aca="false">IF($B149="","",SUMIFS(Datos_problemas!$AQ:$AQ,Datos_problemas!$B:$B,$B149,Datos_problemas!$F:$F,"Práctica"))</f>
        <v/>
      </c>
      <c r="AP149" s="2" t="str">
        <f aca="false">IF($B149="","",COUNTIFS(Datos_problemas!$B:$B,$B149,Datos_problemas!$F:$F,"Práctica",Datos_problemas!$AS:$AS,"Sí"))</f>
        <v/>
      </c>
    </row>
    <row r="150" customFormat="false" ht="15" hidden="false" customHeight="false" outlineLevel="0" collapsed="false">
      <c r="A150" s="2" t="n">
        <v>146</v>
      </c>
      <c r="B150" s="2" t="str">
        <f aca="false">IFERROR(INDEX(Datos_problemas!$B:$B,MATCH($A150,Datos_problemas!$AV:$AV,0)),"")</f>
        <v/>
      </c>
      <c r="C150" s="2" t="str">
        <f aca="false">IF($B150="","",INDEX(Datos_problemas!$C:$C,MATCH($A150,Datos_problemas!$AV:$AV,0)))</f>
        <v/>
      </c>
      <c r="D150" s="2" t="str">
        <f aca="false">IF($B150="","",INDEX(Datos_problemas!$D:$D,MATCH($A150,Datos_problemas!$AV:$AV,0)))</f>
        <v/>
      </c>
      <c r="E150" s="2" t="str">
        <f aca="false">IF($B150="","",COUNTIFS(Datos_problemas!$B:$B,$B150,Datos_problemas!$F:$F,"Evaluación"))</f>
        <v/>
      </c>
      <c r="F150" s="20" t="str">
        <f aca="false">IF($B150="","",IFERROR(AVERAGEIFS(Datos_problemas!$AE:$AE,Datos_problemas!$B:$B,$B150,Datos_problemas!$F:$F,"Evaluación"),""))</f>
        <v/>
      </c>
      <c r="G150" s="20" t="str">
        <f aca="false">IF($B150="","",IFERROR(AVERAGEIFS(Datos_problemas!$AE:$AE,Datos_problemas!$B:$B,$B150,Datos_problemas!$F:$F,"Evaluación",Datos_problemas!$E:$E,"Diagnóstico"),""))</f>
        <v/>
      </c>
      <c r="H150" s="20" t="str">
        <f aca="false">IF($B150="","",IFERROR(AVERAGEIFS(Datos_problemas!$AE:$AE,Datos_problemas!$B:$B,$B150,Datos_problemas!$F:$F,"Evaluación",Datos_problemas!$E:$E,"Final"),""))</f>
        <v/>
      </c>
      <c r="I150" s="21" t="str">
        <f aca="false">IF(OR(G150="",H150=""),"",IF(G150&gt;=10,"",(H150-G150)/(10-G150)))</f>
        <v/>
      </c>
      <c r="J150" s="18" t="str">
        <f aca="false">IF($B150="","",IFERROR(SUMIFS(Datos_items!$Z:$Z,Datos_items!$B:$B,$B150,Datos_items!$O:$O,J$4,Datos_items!$E:$E,Analisis_grupo!$C$4)/COUNTIFS(Datos_items!$B:$B,$B150,Datos_items!$O:$O,J$4,Datos_items!$E:$E,Analisis_grupo!$C$4),""))</f>
        <v/>
      </c>
      <c r="K150" s="18" t="str">
        <f aca="false">IF($B150="","",IFERROR(SUMIFS(Datos_items!$Z:$Z,Datos_items!$B:$B,$B150,Datos_items!$O:$O,K$4,Datos_items!$E:$E,Analisis_grupo!$C$4)/COUNTIFS(Datos_items!$B:$B,$B150,Datos_items!$O:$O,K$4,Datos_items!$E:$E,Analisis_grupo!$C$4),""))</f>
        <v/>
      </c>
      <c r="L150" s="18" t="str">
        <f aca="false">IF($B150="","",IFERROR(SUMIFS(Datos_items!$Z:$Z,Datos_items!$B:$B,$B150,Datos_items!$O:$O,L$4,Datos_items!$E:$E,Analisis_grupo!$C$4)/COUNTIFS(Datos_items!$B:$B,$B150,Datos_items!$O:$O,L$4,Datos_items!$E:$E,Analisis_grupo!$C$4),""))</f>
        <v/>
      </c>
      <c r="M150" s="18" t="str">
        <f aca="false">IF($B150="","",IFERROR(SUMIFS(Datos_items!$Z:$Z,Datos_items!$B:$B,$B150,Datos_items!$O:$O,M$4,Datos_items!$E:$E,Analisis_grupo!$C$4)/COUNTIFS(Datos_items!$B:$B,$B150,Datos_items!$O:$O,M$4,Datos_items!$E:$E,Analisis_grupo!$C$4),""))</f>
        <v/>
      </c>
      <c r="N150" s="18" t="str">
        <f aca="false">IF($B150="","",IFERROR(SUMIFS(Datos_items!$Z:$Z,Datos_items!$B:$B,$B150,Datos_items!$O:$O,N$4,Datos_items!$E:$E,Analisis_grupo!$C$4)/COUNTIFS(Datos_items!$B:$B,$B150,Datos_items!$O:$O,N$4,Datos_items!$E:$E,Analisis_grupo!$C$4),""))</f>
        <v/>
      </c>
      <c r="O150" s="18" t="str">
        <f aca="false">IF($B150="","",IFERROR(SUMIFS(Datos_items!$Z:$Z,Datos_items!$B:$B,$B150,Datos_items!$O:$O,O$4,Datos_items!$E:$E,Analisis_grupo!$C$4)/COUNTIFS(Datos_items!$B:$B,$B150,Datos_items!$O:$O,O$4,Datos_items!$E:$E,Analisis_grupo!$C$4),""))</f>
        <v/>
      </c>
      <c r="P150" s="18" t="str">
        <f aca="false">IF($B150="","",IFERROR(SUMIFS(Datos_items!$Z:$Z,Datos_items!$B:$B,$B150,Datos_items!$O:$O,P$4,Datos_items!$E:$E,Analisis_grupo!$C$4)/COUNTIFS(Datos_items!$B:$B,$B150,Datos_items!$O:$O,P$4,Datos_items!$E:$E,Analisis_grupo!$C$4),""))</f>
        <v/>
      </c>
      <c r="Q150" s="18" t="str">
        <f aca="false">IF($B150="","",IFERROR(SUMIFS(Datos_items!$Z:$Z,Datos_items!$B:$B,$B150,Datos_items!$O:$O,Q$4,Datos_items!$E:$E,Analisis_grupo!$C$4)/COUNTIFS(Datos_items!$B:$B,$B150,Datos_items!$O:$O,Q$4,Datos_items!$E:$E,Analisis_grupo!$C$4),""))</f>
        <v/>
      </c>
      <c r="R150" s="2" t="str">
        <f aca="false">IF(COUNT(J150:Q150)=0,"",IF(MIN(J150:Q150)&gt;=Analisis_grupo!$B$7,"(ninguna)",INDEX($J$4:$Q$4,MATCH(MIN(J150:Q150),J150:Q150,0))))</f>
        <v/>
      </c>
      <c r="S150" s="2" t="str">
        <f aca="false">IF($B150="","",COUNTIF(J150:Q150,"&lt;"&amp;Analisis_grupo!$B$7))</f>
        <v/>
      </c>
      <c r="T150" s="2" t="str">
        <f aca="false">IF($B150="","",COUNTIFS(Datos_items!$B:$B,$B150,Datos_items!$AA:$AA,T$4,Datos_items!$E:$E,Analisis_grupo!$C$4))</f>
        <v/>
      </c>
      <c r="U150" s="2" t="str">
        <f aca="false">IF($B150="","",COUNTIFS(Datos_items!$B:$B,$B150,Datos_items!$AA:$AA,U$4,Datos_items!$E:$E,Analisis_grupo!$C$4))</f>
        <v/>
      </c>
      <c r="V150" s="2" t="str">
        <f aca="false">IF($B150="","",COUNTIFS(Datos_items!$B:$B,$B150,Datos_items!$AA:$AA,V$4,Datos_items!$E:$E,Analisis_grupo!$C$4))</f>
        <v/>
      </c>
      <c r="W150" s="2" t="str">
        <f aca="false">IF($B150="","",COUNTIFS(Datos_items!$B:$B,$B150,Datos_items!$AA:$AA,W$4,Datos_items!$E:$E,Analisis_grupo!$C$4))</f>
        <v/>
      </c>
      <c r="X150" s="2" t="str">
        <f aca="false">IF($B150="","",COUNTIFS(Datos_items!$B:$B,$B150,Datos_items!$AA:$AA,X$4,Datos_items!$E:$E,Analisis_grupo!$C$4))</f>
        <v/>
      </c>
      <c r="Y150" s="2" t="str">
        <f aca="false">IF($B150="","",COUNTIFS(Datos_items!$B:$B,$B150,Datos_items!$AA:$AA,Y$4,Datos_items!$E:$E,Analisis_grupo!$C$4))</f>
        <v/>
      </c>
      <c r="Z150" s="2" t="str">
        <f aca="false">IF($B150="","",COUNTIFS(Datos_items!$B:$B,$B150,Datos_items!$AA:$AA,Z$4,Datos_items!$E:$E,Analisis_grupo!$C$4))</f>
        <v/>
      </c>
      <c r="AA150" s="2" t="str">
        <f aca="false">IF($B150="","",COUNTIFS(Datos_items!$B:$B,$B150,Datos_items!$AA:$AA,AA$4,Datos_items!$E:$E,Analisis_grupo!$C$4))</f>
        <v/>
      </c>
      <c r="AB150" s="2" t="str">
        <f aca="false">IF($B150="","",COUNTIFS(Datos_items!$B:$B,$B150,Datos_items!$AA:$AA,AB$4,Datos_items!$E:$E,Analisis_grupo!$C$4))</f>
        <v/>
      </c>
      <c r="AC150" s="2" t="str">
        <f aca="false">IF($B150="","",COUNTIFS(Datos_items!$B:$B,$B150,Datos_items!$AA:$AA,AC$4,Datos_items!$E:$E,Analisis_grupo!$C$4))</f>
        <v/>
      </c>
      <c r="AD150" s="2" t="str">
        <f aca="false">IF($B150="","",COUNTIFS(Datos_items!$B:$B,$B150,Datos_items!$AA:$AA,AD$4,Datos_items!$E:$E,Analisis_grupo!$C$4))</f>
        <v/>
      </c>
      <c r="AE150" s="2" t="str">
        <f aca="false">IF($B150="","",COUNTIFS(Datos_items!$B:$B,$B150,Datos_items!$AA:$AA,AE$4,Datos_items!$E:$E,Analisis_grupo!$C$4))</f>
        <v/>
      </c>
      <c r="AF150" s="2" t="str">
        <f aca="false">IF($B150="","",COUNTIFS(Datos_items!$B:$B,$B150,Datos_items!$AA:$AA,AF$4,Datos_items!$E:$E,Analisis_grupo!$C$4))</f>
        <v/>
      </c>
      <c r="AG150" s="2" t="str">
        <f aca="false">IF($B150="","",COUNTIFS(Datos_items!$B:$B,$B150,Datos_items!$AA:$AA,AG$4,Datos_items!$E:$E,Analisis_grupo!$C$4))</f>
        <v/>
      </c>
      <c r="AH150" s="2" t="str">
        <f aca="false">IF($B150="","",COUNTIFS(Datos_items!$B:$B,$B150,Datos_items!$AA:$AA,AH$4,Datos_items!$E:$E,Analisis_grupo!$C$4))</f>
        <v/>
      </c>
      <c r="AI150" s="2" t="str">
        <f aca="false">IF($B150="","",COUNTIFS(Datos_items!$B:$B,$B150,Datos_items!$AA:$AA,AI$4,Datos_items!$E:$E,Analisis_grupo!$C$4))</f>
        <v/>
      </c>
      <c r="AJ150" s="2" t="str">
        <f aca="false">IF($B150="","",COUNTIFS(Datos_items!$B:$B,$B150,Datos_items!$AA:$AA,AJ$4,Datos_items!$E:$E,Analisis_grupo!$C$4))</f>
        <v/>
      </c>
      <c r="AK150" s="2" t="str">
        <f aca="false">IF($B150="","",COUNTIFS(Datos_items!$B:$B,$B150,Datos_items!$AA:$AA,AK$4,Datos_items!$E:$E,Analisis_grupo!$C$4))</f>
        <v/>
      </c>
      <c r="AL150" s="2" t="str">
        <f aca="false">IF($B150="","",COUNTIFS(Datos_items!$B:$B,$B150,Datos_items!$AA:$AA,AL$4,Datos_items!$E:$E,Analisis_grupo!$C$4))</f>
        <v/>
      </c>
      <c r="AM150" s="2" t="str">
        <f aca="false">IF($B150="","",IF(MAX(Y150:AL150)=0,"",INDEX($Y$4:$AL$4,MATCH(MAX(Y150:AL150),Y150:AL150,0))))</f>
        <v/>
      </c>
      <c r="AN150" s="2" t="str">
        <f aca="false">IF($B150="","",COUNTIFS(Datos_problemas!$B:$B,$B150,Datos_problemas!$F:$F,"Práctica"))</f>
        <v/>
      </c>
      <c r="AO150" s="2" t="str">
        <f aca="false">IF($B150="","",SUMIFS(Datos_problemas!$AQ:$AQ,Datos_problemas!$B:$B,$B150,Datos_problemas!$F:$F,"Práctica"))</f>
        <v/>
      </c>
      <c r="AP150" s="2" t="str">
        <f aca="false">IF($B150="","",COUNTIFS(Datos_problemas!$B:$B,$B150,Datos_problemas!$F:$F,"Práctica",Datos_problemas!$AS:$AS,"Sí"))</f>
        <v/>
      </c>
    </row>
    <row r="151" customFormat="false" ht="15" hidden="false" customHeight="false" outlineLevel="0" collapsed="false">
      <c r="A151" s="2" t="n">
        <v>147</v>
      </c>
      <c r="B151" s="2" t="str">
        <f aca="false">IFERROR(INDEX(Datos_problemas!$B:$B,MATCH($A151,Datos_problemas!$AV:$AV,0)),"")</f>
        <v/>
      </c>
      <c r="C151" s="2" t="str">
        <f aca="false">IF($B151="","",INDEX(Datos_problemas!$C:$C,MATCH($A151,Datos_problemas!$AV:$AV,0)))</f>
        <v/>
      </c>
      <c r="D151" s="2" t="str">
        <f aca="false">IF($B151="","",INDEX(Datos_problemas!$D:$D,MATCH($A151,Datos_problemas!$AV:$AV,0)))</f>
        <v/>
      </c>
      <c r="E151" s="2" t="str">
        <f aca="false">IF($B151="","",COUNTIFS(Datos_problemas!$B:$B,$B151,Datos_problemas!$F:$F,"Evaluación"))</f>
        <v/>
      </c>
      <c r="F151" s="20" t="str">
        <f aca="false">IF($B151="","",IFERROR(AVERAGEIFS(Datos_problemas!$AE:$AE,Datos_problemas!$B:$B,$B151,Datos_problemas!$F:$F,"Evaluación"),""))</f>
        <v/>
      </c>
      <c r="G151" s="20" t="str">
        <f aca="false">IF($B151="","",IFERROR(AVERAGEIFS(Datos_problemas!$AE:$AE,Datos_problemas!$B:$B,$B151,Datos_problemas!$F:$F,"Evaluación",Datos_problemas!$E:$E,"Diagnóstico"),""))</f>
        <v/>
      </c>
      <c r="H151" s="20" t="str">
        <f aca="false">IF($B151="","",IFERROR(AVERAGEIFS(Datos_problemas!$AE:$AE,Datos_problemas!$B:$B,$B151,Datos_problemas!$F:$F,"Evaluación",Datos_problemas!$E:$E,"Final"),""))</f>
        <v/>
      </c>
      <c r="I151" s="21" t="str">
        <f aca="false">IF(OR(G151="",H151=""),"",IF(G151&gt;=10,"",(H151-G151)/(10-G151)))</f>
        <v/>
      </c>
      <c r="J151" s="18" t="str">
        <f aca="false">IF($B151="","",IFERROR(SUMIFS(Datos_items!$Z:$Z,Datos_items!$B:$B,$B151,Datos_items!$O:$O,J$4,Datos_items!$E:$E,Analisis_grupo!$C$4)/COUNTIFS(Datos_items!$B:$B,$B151,Datos_items!$O:$O,J$4,Datos_items!$E:$E,Analisis_grupo!$C$4),""))</f>
        <v/>
      </c>
      <c r="K151" s="18" t="str">
        <f aca="false">IF($B151="","",IFERROR(SUMIFS(Datos_items!$Z:$Z,Datos_items!$B:$B,$B151,Datos_items!$O:$O,K$4,Datos_items!$E:$E,Analisis_grupo!$C$4)/COUNTIFS(Datos_items!$B:$B,$B151,Datos_items!$O:$O,K$4,Datos_items!$E:$E,Analisis_grupo!$C$4),""))</f>
        <v/>
      </c>
      <c r="L151" s="18" t="str">
        <f aca="false">IF($B151="","",IFERROR(SUMIFS(Datos_items!$Z:$Z,Datos_items!$B:$B,$B151,Datos_items!$O:$O,L$4,Datos_items!$E:$E,Analisis_grupo!$C$4)/COUNTIFS(Datos_items!$B:$B,$B151,Datos_items!$O:$O,L$4,Datos_items!$E:$E,Analisis_grupo!$C$4),""))</f>
        <v/>
      </c>
      <c r="M151" s="18" t="str">
        <f aca="false">IF($B151="","",IFERROR(SUMIFS(Datos_items!$Z:$Z,Datos_items!$B:$B,$B151,Datos_items!$O:$O,M$4,Datos_items!$E:$E,Analisis_grupo!$C$4)/COUNTIFS(Datos_items!$B:$B,$B151,Datos_items!$O:$O,M$4,Datos_items!$E:$E,Analisis_grupo!$C$4),""))</f>
        <v/>
      </c>
      <c r="N151" s="18" t="str">
        <f aca="false">IF($B151="","",IFERROR(SUMIFS(Datos_items!$Z:$Z,Datos_items!$B:$B,$B151,Datos_items!$O:$O,N$4,Datos_items!$E:$E,Analisis_grupo!$C$4)/COUNTIFS(Datos_items!$B:$B,$B151,Datos_items!$O:$O,N$4,Datos_items!$E:$E,Analisis_grupo!$C$4),""))</f>
        <v/>
      </c>
      <c r="O151" s="18" t="str">
        <f aca="false">IF($B151="","",IFERROR(SUMIFS(Datos_items!$Z:$Z,Datos_items!$B:$B,$B151,Datos_items!$O:$O,O$4,Datos_items!$E:$E,Analisis_grupo!$C$4)/COUNTIFS(Datos_items!$B:$B,$B151,Datos_items!$O:$O,O$4,Datos_items!$E:$E,Analisis_grupo!$C$4),""))</f>
        <v/>
      </c>
      <c r="P151" s="18" t="str">
        <f aca="false">IF($B151="","",IFERROR(SUMIFS(Datos_items!$Z:$Z,Datos_items!$B:$B,$B151,Datos_items!$O:$O,P$4,Datos_items!$E:$E,Analisis_grupo!$C$4)/COUNTIFS(Datos_items!$B:$B,$B151,Datos_items!$O:$O,P$4,Datos_items!$E:$E,Analisis_grupo!$C$4),""))</f>
        <v/>
      </c>
      <c r="Q151" s="18" t="str">
        <f aca="false">IF($B151="","",IFERROR(SUMIFS(Datos_items!$Z:$Z,Datos_items!$B:$B,$B151,Datos_items!$O:$O,Q$4,Datos_items!$E:$E,Analisis_grupo!$C$4)/COUNTIFS(Datos_items!$B:$B,$B151,Datos_items!$O:$O,Q$4,Datos_items!$E:$E,Analisis_grupo!$C$4),""))</f>
        <v/>
      </c>
      <c r="R151" s="2" t="str">
        <f aca="false">IF(COUNT(J151:Q151)=0,"",IF(MIN(J151:Q151)&gt;=Analisis_grupo!$B$7,"(ninguna)",INDEX($J$4:$Q$4,MATCH(MIN(J151:Q151),J151:Q151,0))))</f>
        <v/>
      </c>
      <c r="S151" s="2" t="str">
        <f aca="false">IF($B151="","",COUNTIF(J151:Q151,"&lt;"&amp;Analisis_grupo!$B$7))</f>
        <v/>
      </c>
      <c r="T151" s="2" t="str">
        <f aca="false">IF($B151="","",COUNTIFS(Datos_items!$B:$B,$B151,Datos_items!$AA:$AA,T$4,Datos_items!$E:$E,Analisis_grupo!$C$4))</f>
        <v/>
      </c>
      <c r="U151" s="2" t="str">
        <f aca="false">IF($B151="","",COUNTIFS(Datos_items!$B:$B,$B151,Datos_items!$AA:$AA,U$4,Datos_items!$E:$E,Analisis_grupo!$C$4))</f>
        <v/>
      </c>
      <c r="V151" s="2" t="str">
        <f aca="false">IF($B151="","",COUNTIFS(Datos_items!$B:$B,$B151,Datos_items!$AA:$AA,V$4,Datos_items!$E:$E,Analisis_grupo!$C$4))</f>
        <v/>
      </c>
      <c r="W151" s="2" t="str">
        <f aca="false">IF($B151="","",COUNTIFS(Datos_items!$B:$B,$B151,Datos_items!$AA:$AA,W$4,Datos_items!$E:$E,Analisis_grupo!$C$4))</f>
        <v/>
      </c>
      <c r="X151" s="2" t="str">
        <f aca="false">IF($B151="","",COUNTIFS(Datos_items!$B:$B,$B151,Datos_items!$AA:$AA,X$4,Datos_items!$E:$E,Analisis_grupo!$C$4))</f>
        <v/>
      </c>
      <c r="Y151" s="2" t="str">
        <f aca="false">IF($B151="","",COUNTIFS(Datos_items!$B:$B,$B151,Datos_items!$AA:$AA,Y$4,Datos_items!$E:$E,Analisis_grupo!$C$4))</f>
        <v/>
      </c>
      <c r="Z151" s="2" t="str">
        <f aca="false">IF($B151="","",COUNTIFS(Datos_items!$B:$B,$B151,Datos_items!$AA:$AA,Z$4,Datos_items!$E:$E,Analisis_grupo!$C$4))</f>
        <v/>
      </c>
      <c r="AA151" s="2" t="str">
        <f aca="false">IF($B151="","",COUNTIFS(Datos_items!$B:$B,$B151,Datos_items!$AA:$AA,AA$4,Datos_items!$E:$E,Analisis_grupo!$C$4))</f>
        <v/>
      </c>
      <c r="AB151" s="2" t="str">
        <f aca="false">IF($B151="","",COUNTIFS(Datos_items!$B:$B,$B151,Datos_items!$AA:$AA,AB$4,Datos_items!$E:$E,Analisis_grupo!$C$4))</f>
        <v/>
      </c>
      <c r="AC151" s="2" t="str">
        <f aca="false">IF($B151="","",COUNTIFS(Datos_items!$B:$B,$B151,Datos_items!$AA:$AA,AC$4,Datos_items!$E:$E,Analisis_grupo!$C$4))</f>
        <v/>
      </c>
      <c r="AD151" s="2" t="str">
        <f aca="false">IF($B151="","",COUNTIFS(Datos_items!$B:$B,$B151,Datos_items!$AA:$AA,AD$4,Datos_items!$E:$E,Analisis_grupo!$C$4))</f>
        <v/>
      </c>
      <c r="AE151" s="2" t="str">
        <f aca="false">IF($B151="","",COUNTIFS(Datos_items!$B:$B,$B151,Datos_items!$AA:$AA,AE$4,Datos_items!$E:$E,Analisis_grupo!$C$4))</f>
        <v/>
      </c>
      <c r="AF151" s="2" t="str">
        <f aca="false">IF($B151="","",COUNTIFS(Datos_items!$B:$B,$B151,Datos_items!$AA:$AA,AF$4,Datos_items!$E:$E,Analisis_grupo!$C$4))</f>
        <v/>
      </c>
      <c r="AG151" s="2" t="str">
        <f aca="false">IF($B151="","",COUNTIFS(Datos_items!$B:$B,$B151,Datos_items!$AA:$AA,AG$4,Datos_items!$E:$E,Analisis_grupo!$C$4))</f>
        <v/>
      </c>
      <c r="AH151" s="2" t="str">
        <f aca="false">IF($B151="","",COUNTIFS(Datos_items!$B:$B,$B151,Datos_items!$AA:$AA,AH$4,Datos_items!$E:$E,Analisis_grupo!$C$4))</f>
        <v/>
      </c>
      <c r="AI151" s="2" t="str">
        <f aca="false">IF($B151="","",COUNTIFS(Datos_items!$B:$B,$B151,Datos_items!$AA:$AA,AI$4,Datos_items!$E:$E,Analisis_grupo!$C$4))</f>
        <v/>
      </c>
      <c r="AJ151" s="2" t="str">
        <f aca="false">IF($B151="","",COUNTIFS(Datos_items!$B:$B,$B151,Datos_items!$AA:$AA,AJ$4,Datos_items!$E:$E,Analisis_grupo!$C$4))</f>
        <v/>
      </c>
      <c r="AK151" s="2" t="str">
        <f aca="false">IF($B151="","",COUNTIFS(Datos_items!$B:$B,$B151,Datos_items!$AA:$AA,AK$4,Datos_items!$E:$E,Analisis_grupo!$C$4))</f>
        <v/>
      </c>
      <c r="AL151" s="2" t="str">
        <f aca="false">IF($B151="","",COUNTIFS(Datos_items!$B:$B,$B151,Datos_items!$AA:$AA,AL$4,Datos_items!$E:$E,Analisis_grupo!$C$4))</f>
        <v/>
      </c>
      <c r="AM151" s="2" t="str">
        <f aca="false">IF($B151="","",IF(MAX(Y151:AL151)=0,"",INDEX($Y$4:$AL$4,MATCH(MAX(Y151:AL151),Y151:AL151,0))))</f>
        <v/>
      </c>
      <c r="AN151" s="2" t="str">
        <f aca="false">IF($B151="","",COUNTIFS(Datos_problemas!$B:$B,$B151,Datos_problemas!$F:$F,"Práctica"))</f>
        <v/>
      </c>
      <c r="AO151" s="2" t="str">
        <f aca="false">IF($B151="","",SUMIFS(Datos_problemas!$AQ:$AQ,Datos_problemas!$B:$B,$B151,Datos_problemas!$F:$F,"Práctica"))</f>
        <v/>
      </c>
      <c r="AP151" s="2" t="str">
        <f aca="false">IF($B151="","",COUNTIFS(Datos_problemas!$B:$B,$B151,Datos_problemas!$F:$F,"Práctica",Datos_problemas!$AS:$AS,"Sí"))</f>
        <v/>
      </c>
    </row>
    <row r="152" customFormat="false" ht="15" hidden="false" customHeight="false" outlineLevel="0" collapsed="false">
      <c r="A152" s="2" t="n">
        <v>148</v>
      </c>
      <c r="B152" s="2" t="str">
        <f aca="false">IFERROR(INDEX(Datos_problemas!$B:$B,MATCH($A152,Datos_problemas!$AV:$AV,0)),"")</f>
        <v/>
      </c>
      <c r="C152" s="2" t="str">
        <f aca="false">IF($B152="","",INDEX(Datos_problemas!$C:$C,MATCH($A152,Datos_problemas!$AV:$AV,0)))</f>
        <v/>
      </c>
      <c r="D152" s="2" t="str">
        <f aca="false">IF($B152="","",INDEX(Datos_problemas!$D:$D,MATCH($A152,Datos_problemas!$AV:$AV,0)))</f>
        <v/>
      </c>
      <c r="E152" s="2" t="str">
        <f aca="false">IF($B152="","",COUNTIFS(Datos_problemas!$B:$B,$B152,Datos_problemas!$F:$F,"Evaluación"))</f>
        <v/>
      </c>
      <c r="F152" s="20" t="str">
        <f aca="false">IF($B152="","",IFERROR(AVERAGEIFS(Datos_problemas!$AE:$AE,Datos_problemas!$B:$B,$B152,Datos_problemas!$F:$F,"Evaluación"),""))</f>
        <v/>
      </c>
      <c r="G152" s="20" t="str">
        <f aca="false">IF($B152="","",IFERROR(AVERAGEIFS(Datos_problemas!$AE:$AE,Datos_problemas!$B:$B,$B152,Datos_problemas!$F:$F,"Evaluación",Datos_problemas!$E:$E,"Diagnóstico"),""))</f>
        <v/>
      </c>
      <c r="H152" s="20" t="str">
        <f aca="false">IF($B152="","",IFERROR(AVERAGEIFS(Datos_problemas!$AE:$AE,Datos_problemas!$B:$B,$B152,Datos_problemas!$F:$F,"Evaluación",Datos_problemas!$E:$E,"Final"),""))</f>
        <v/>
      </c>
      <c r="I152" s="21" t="str">
        <f aca="false">IF(OR(G152="",H152=""),"",IF(G152&gt;=10,"",(H152-G152)/(10-G152)))</f>
        <v/>
      </c>
      <c r="J152" s="18" t="str">
        <f aca="false">IF($B152="","",IFERROR(SUMIFS(Datos_items!$Z:$Z,Datos_items!$B:$B,$B152,Datos_items!$O:$O,J$4,Datos_items!$E:$E,Analisis_grupo!$C$4)/COUNTIFS(Datos_items!$B:$B,$B152,Datos_items!$O:$O,J$4,Datos_items!$E:$E,Analisis_grupo!$C$4),""))</f>
        <v/>
      </c>
      <c r="K152" s="18" t="str">
        <f aca="false">IF($B152="","",IFERROR(SUMIFS(Datos_items!$Z:$Z,Datos_items!$B:$B,$B152,Datos_items!$O:$O,K$4,Datos_items!$E:$E,Analisis_grupo!$C$4)/COUNTIFS(Datos_items!$B:$B,$B152,Datos_items!$O:$O,K$4,Datos_items!$E:$E,Analisis_grupo!$C$4),""))</f>
        <v/>
      </c>
      <c r="L152" s="18" t="str">
        <f aca="false">IF($B152="","",IFERROR(SUMIFS(Datos_items!$Z:$Z,Datos_items!$B:$B,$B152,Datos_items!$O:$O,L$4,Datos_items!$E:$E,Analisis_grupo!$C$4)/COUNTIFS(Datos_items!$B:$B,$B152,Datos_items!$O:$O,L$4,Datos_items!$E:$E,Analisis_grupo!$C$4),""))</f>
        <v/>
      </c>
      <c r="M152" s="18" t="str">
        <f aca="false">IF($B152="","",IFERROR(SUMIFS(Datos_items!$Z:$Z,Datos_items!$B:$B,$B152,Datos_items!$O:$O,M$4,Datos_items!$E:$E,Analisis_grupo!$C$4)/COUNTIFS(Datos_items!$B:$B,$B152,Datos_items!$O:$O,M$4,Datos_items!$E:$E,Analisis_grupo!$C$4),""))</f>
        <v/>
      </c>
      <c r="N152" s="18" t="str">
        <f aca="false">IF($B152="","",IFERROR(SUMIFS(Datos_items!$Z:$Z,Datos_items!$B:$B,$B152,Datos_items!$O:$O,N$4,Datos_items!$E:$E,Analisis_grupo!$C$4)/COUNTIFS(Datos_items!$B:$B,$B152,Datos_items!$O:$O,N$4,Datos_items!$E:$E,Analisis_grupo!$C$4),""))</f>
        <v/>
      </c>
      <c r="O152" s="18" t="str">
        <f aca="false">IF($B152="","",IFERROR(SUMIFS(Datos_items!$Z:$Z,Datos_items!$B:$B,$B152,Datos_items!$O:$O,O$4,Datos_items!$E:$E,Analisis_grupo!$C$4)/COUNTIFS(Datos_items!$B:$B,$B152,Datos_items!$O:$O,O$4,Datos_items!$E:$E,Analisis_grupo!$C$4),""))</f>
        <v/>
      </c>
      <c r="P152" s="18" t="str">
        <f aca="false">IF($B152="","",IFERROR(SUMIFS(Datos_items!$Z:$Z,Datos_items!$B:$B,$B152,Datos_items!$O:$O,P$4,Datos_items!$E:$E,Analisis_grupo!$C$4)/COUNTIFS(Datos_items!$B:$B,$B152,Datos_items!$O:$O,P$4,Datos_items!$E:$E,Analisis_grupo!$C$4),""))</f>
        <v/>
      </c>
      <c r="Q152" s="18" t="str">
        <f aca="false">IF($B152="","",IFERROR(SUMIFS(Datos_items!$Z:$Z,Datos_items!$B:$B,$B152,Datos_items!$O:$O,Q$4,Datos_items!$E:$E,Analisis_grupo!$C$4)/COUNTIFS(Datos_items!$B:$B,$B152,Datos_items!$O:$O,Q$4,Datos_items!$E:$E,Analisis_grupo!$C$4),""))</f>
        <v/>
      </c>
      <c r="R152" s="2" t="str">
        <f aca="false">IF(COUNT(J152:Q152)=0,"",IF(MIN(J152:Q152)&gt;=Analisis_grupo!$B$7,"(ninguna)",INDEX($J$4:$Q$4,MATCH(MIN(J152:Q152),J152:Q152,0))))</f>
        <v/>
      </c>
      <c r="S152" s="2" t="str">
        <f aca="false">IF($B152="","",COUNTIF(J152:Q152,"&lt;"&amp;Analisis_grupo!$B$7))</f>
        <v/>
      </c>
      <c r="T152" s="2" t="str">
        <f aca="false">IF($B152="","",COUNTIFS(Datos_items!$B:$B,$B152,Datos_items!$AA:$AA,T$4,Datos_items!$E:$E,Analisis_grupo!$C$4))</f>
        <v/>
      </c>
      <c r="U152" s="2" t="str">
        <f aca="false">IF($B152="","",COUNTIFS(Datos_items!$B:$B,$B152,Datos_items!$AA:$AA,U$4,Datos_items!$E:$E,Analisis_grupo!$C$4))</f>
        <v/>
      </c>
      <c r="V152" s="2" t="str">
        <f aca="false">IF($B152="","",COUNTIFS(Datos_items!$B:$B,$B152,Datos_items!$AA:$AA,V$4,Datos_items!$E:$E,Analisis_grupo!$C$4))</f>
        <v/>
      </c>
      <c r="W152" s="2" t="str">
        <f aca="false">IF($B152="","",COUNTIFS(Datos_items!$B:$B,$B152,Datos_items!$AA:$AA,W$4,Datos_items!$E:$E,Analisis_grupo!$C$4))</f>
        <v/>
      </c>
      <c r="X152" s="2" t="str">
        <f aca="false">IF($B152="","",COUNTIFS(Datos_items!$B:$B,$B152,Datos_items!$AA:$AA,X$4,Datos_items!$E:$E,Analisis_grupo!$C$4))</f>
        <v/>
      </c>
      <c r="Y152" s="2" t="str">
        <f aca="false">IF($B152="","",COUNTIFS(Datos_items!$B:$B,$B152,Datos_items!$AA:$AA,Y$4,Datos_items!$E:$E,Analisis_grupo!$C$4))</f>
        <v/>
      </c>
      <c r="Z152" s="2" t="str">
        <f aca="false">IF($B152="","",COUNTIFS(Datos_items!$B:$B,$B152,Datos_items!$AA:$AA,Z$4,Datos_items!$E:$E,Analisis_grupo!$C$4))</f>
        <v/>
      </c>
      <c r="AA152" s="2" t="str">
        <f aca="false">IF($B152="","",COUNTIFS(Datos_items!$B:$B,$B152,Datos_items!$AA:$AA,AA$4,Datos_items!$E:$E,Analisis_grupo!$C$4))</f>
        <v/>
      </c>
      <c r="AB152" s="2" t="str">
        <f aca="false">IF($B152="","",COUNTIFS(Datos_items!$B:$B,$B152,Datos_items!$AA:$AA,AB$4,Datos_items!$E:$E,Analisis_grupo!$C$4))</f>
        <v/>
      </c>
      <c r="AC152" s="2" t="str">
        <f aca="false">IF($B152="","",COUNTIFS(Datos_items!$B:$B,$B152,Datos_items!$AA:$AA,AC$4,Datos_items!$E:$E,Analisis_grupo!$C$4))</f>
        <v/>
      </c>
      <c r="AD152" s="2" t="str">
        <f aca="false">IF($B152="","",COUNTIFS(Datos_items!$B:$B,$B152,Datos_items!$AA:$AA,AD$4,Datos_items!$E:$E,Analisis_grupo!$C$4))</f>
        <v/>
      </c>
      <c r="AE152" s="2" t="str">
        <f aca="false">IF($B152="","",COUNTIFS(Datos_items!$B:$B,$B152,Datos_items!$AA:$AA,AE$4,Datos_items!$E:$E,Analisis_grupo!$C$4))</f>
        <v/>
      </c>
      <c r="AF152" s="2" t="str">
        <f aca="false">IF($B152="","",COUNTIFS(Datos_items!$B:$B,$B152,Datos_items!$AA:$AA,AF$4,Datos_items!$E:$E,Analisis_grupo!$C$4))</f>
        <v/>
      </c>
      <c r="AG152" s="2" t="str">
        <f aca="false">IF($B152="","",COUNTIFS(Datos_items!$B:$B,$B152,Datos_items!$AA:$AA,AG$4,Datos_items!$E:$E,Analisis_grupo!$C$4))</f>
        <v/>
      </c>
      <c r="AH152" s="2" t="str">
        <f aca="false">IF($B152="","",COUNTIFS(Datos_items!$B:$B,$B152,Datos_items!$AA:$AA,AH$4,Datos_items!$E:$E,Analisis_grupo!$C$4))</f>
        <v/>
      </c>
      <c r="AI152" s="2" t="str">
        <f aca="false">IF($B152="","",COUNTIFS(Datos_items!$B:$B,$B152,Datos_items!$AA:$AA,AI$4,Datos_items!$E:$E,Analisis_grupo!$C$4))</f>
        <v/>
      </c>
      <c r="AJ152" s="2" t="str">
        <f aca="false">IF($B152="","",COUNTIFS(Datos_items!$B:$B,$B152,Datos_items!$AA:$AA,AJ$4,Datos_items!$E:$E,Analisis_grupo!$C$4))</f>
        <v/>
      </c>
      <c r="AK152" s="2" t="str">
        <f aca="false">IF($B152="","",COUNTIFS(Datos_items!$B:$B,$B152,Datos_items!$AA:$AA,AK$4,Datos_items!$E:$E,Analisis_grupo!$C$4))</f>
        <v/>
      </c>
      <c r="AL152" s="2" t="str">
        <f aca="false">IF($B152="","",COUNTIFS(Datos_items!$B:$B,$B152,Datos_items!$AA:$AA,AL$4,Datos_items!$E:$E,Analisis_grupo!$C$4))</f>
        <v/>
      </c>
      <c r="AM152" s="2" t="str">
        <f aca="false">IF($B152="","",IF(MAX(Y152:AL152)=0,"",INDEX($Y$4:$AL$4,MATCH(MAX(Y152:AL152),Y152:AL152,0))))</f>
        <v/>
      </c>
      <c r="AN152" s="2" t="str">
        <f aca="false">IF($B152="","",COUNTIFS(Datos_problemas!$B:$B,$B152,Datos_problemas!$F:$F,"Práctica"))</f>
        <v/>
      </c>
      <c r="AO152" s="2" t="str">
        <f aca="false">IF($B152="","",SUMIFS(Datos_problemas!$AQ:$AQ,Datos_problemas!$B:$B,$B152,Datos_problemas!$F:$F,"Práctica"))</f>
        <v/>
      </c>
      <c r="AP152" s="2" t="str">
        <f aca="false">IF($B152="","",COUNTIFS(Datos_problemas!$B:$B,$B152,Datos_problemas!$F:$F,"Práctica",Datos_problemas!$AS:$AS,"Sí"))</f>
        <v/>
      </c>
    </row>
    <row r="153" customFormat="false" ht="15" hidden="false" customHeight="false" outlineLevel="0" collapsed="false">
      <c r="A153" s="2" t="n">
        <v>149</v>
      </c>
      <c r="B153" s="2" t="str">
        <f aca="false">IFERROR(INDEX(Datos_problemas!$B:$B,MATCH($A153,Datos_problemas!$AV:$AV,0)),"")</f>
        <v/>
      </c>
      <c r="C153" s="2" t="str">
        <f aca="false">IF($B153="","",INDEX(Datos_problemas!$C:$C,MATCH($A153,Datos_problemas!$AV:$AV,0)))</f>
        <v/>
      </c>
      <c r="D153" s="2" t="str">
        <f aca="false">IF($B153="","",INDEX(Datos_problemas!$D:$D,MATCH($A153,Datos_problemas!$AV:$AV,0)))</f>
        <v/>
      </c>
      <c r="E153" s="2" t="str">
        <f aca="false">IF($B153="","",COUNTIFS(Datos_problemas!$B:$B,$B153,Datos_problemas!$F:$F,"Evaluación"))</f>
        <v/>
      </c>
      <c r="F153" s="20" t="str">
        <f aca="false">IF($B153="","",IFERROR(AVERAGEIFS(Datos_problemas!$AE:$AE,Datos_problemas!$B:$B,$B153,Datos_problemas!$F:$F,"Evaluación"),""))</f>
        <v/>
      </c>
      <c r="G153" s="20" t="str">
        <f aca="false">IF($B153="","",IFERROR(AVERAGEIFS(Datos_problemas!$AE:$AE,Datos_problemas!$B:$B,$B153,Datos_problemas!$F:$F,"Evaluación",Datos_problemas!$E:$E,"Diagnóstico"),""))</f>
        <v/>
      </c>
      <c r="H153" s="20" t="str">
        <f aca="false">IF($B153="","",IFERROR(AVERAGEIFS(Datos_problemas!$AE:$AE,Datos_problemas!$B:$B,$B153,Datos_problemas!$F:$F,"Evaluación",Datos_problemas!$E:$E,"Final"),""))</f>
        <v/>
      </c>
      <c r="I153" s="21" t="str">
        <f aca="false">IF(OR(G153="",H153=""),"",IF(G153&gt;=10,"",(H153-G153)/(10-G153)))</f>
        <v/>
      </c>
      <c r="J153" s="18" t="str">
        <f aca="false">IF($B153="","",IFERROR(SUMIFS(Datos_items!$Z:$Z,Datos_items!$B:$B,$B153,Datos_items!$O:$O,J$4,Datos_items!$E:$E,Analisis_grupo!$C$4)/COUNTIFS(Datos_items!$B:$B,$B153,Datos_items!$O:$O,J$4,Datos_items!$E:$E,Analisis_grupo!$C$4),""))</f>
        <v/>
      </c>
      <c r="K153" s="18" t="str">
        <f aca="false">IF($B153="","",IFERROR(SUMIFS(Datos_items!$Z:$Z,Datos_items!$B:$B,$B153,Datos_items!$O:$O,K$4,Datos_items!$E:$E,Analisis_grupo!$C$4)/COUNTIFS(Datos_items!$B:$B,$B153,Datos_items!$O:$O,K$4,Datos_items!$E:$E,Analisis_grupo!$C$4),""))</f>
        <v/>
      </c>
      <c r="L153" s="18" t="str">
        <f aca="false">IF($B153="","",IFERROR(SUMIFS(Datos_items!$Z:$Z,Datos_items!$B:$B,$B153,Datos_items!$O:$O,L$4,Datos_items!$E:$E,Analisis_grupo!$C$4)/COUNTIFS(Datos_items!$B:$B,$B153,Datos_items!$O:$O,L$4,Datos_items!$E:$E,Analisis_grupo!$C$4),""))</f>
        <v/>
      </c>
      <c r="M153" s="18" t="str">
        <f aca="false">IF($B153="","",IFERROR(SUMIFS(Datos_items!$Z:$Z,Datos_items!$B:$B,$B153,Datos_items!$O:$O,M$4,Datos_items!$E:$E,Analisis_grupo!$C$4)/COUNTIFS(Datos_items!$B:$B,$B153,Datos_items!$O:$O,M$4,Datos_items!$E:$E,Analisis_grupo!$C$4),""))</f>
        <v/>
      </c>
      <c r="N153" s="18" t="str">
        <f aca="false">IF($B153="","",IFERROR(SUMIFS(Datos_items!$Z:$Z,Datos_items!$B:$B,$B153,Datos_items!$O:$O,N$4,Datos_items!$E:$E,Analisis_grupo!$C$4)/COUNTIFS(Datos_items!$B:$B,$B153,Datos_items!$O:$O,N$4,Datos_items!$E:$E,Analisis_grupo!$C$4),""))</f>
        <v/>
      </c>
      <c r="O153" s="18" t="str">
        <f aca="false">IF($B153="","",IFERROR(SUMIFS(Datos_items!$Z:$Z,Datos_items!$B:$B,$B153,Datos_items!$O:$O,O$4,Datos_items!$E:$E,Analisis_grupo!$C$4)/COUNTIFS(Datos_items!$B:$B,$B153,Datos_items!$O:$O,O$4,Datos_items!$E:$E,Analisis_grupo!$C$4),""))</f>
        <v/>
      </c>
      <c r="P153" s="18" t="str">
        <f aca="false">IF($B153="","",IFERROR(SUMIFS(Datos_items!$Z:$Z,Datos_items!$B:$B,$B153,Datos_items!$O:$O,P$4,Datos_items!$E:$E,Analisis_grupo!$C$4)/COUNTIFS(Datos_items!$B:$B,$B153,Datos_items!$O:$O,P$4,Datos_items!$E:$E,Analisis_grupo!$C$4),""))</f>
        <v/>
      </c>
      <c r="Q153" s="18" t="str">
        <f aca="false">IF($B153="","",IFERROR(SUMIFS(Datos_items!$Z:$Z,Datos_items!$B:$B,$B153,Datos_items!$O:$O,Q$4,Datos_items!$E:$E,Analisis_grupo!$C$4)/COUNTIFS(Datos_items!$B:$B,$B153,Datos_items!$O:$O,Q$4,Datos_items!$E:$E,Analisis_grupo!$C$4),""))</f>
        <v/>
      </c>
      <c r="R153" s="2" t="str">
        <f aca="false">IF(COUNT(J153:Q153)=0,"",IF(MIN(J153:Q153)&gt;=Analisis_grupo!$B$7,"(ninguna)",INDEX($J$4:$Q$4,MATCH(MIN(J153:Q153),J153:Q153,0))))</f>
        <v/>
      </c>
      <c r="S153" s="2" t="str">
        <f aca="false">IF($B153="","",COUNTIF(J153:Q153,"&lt;"&amp;Analisis_grupo!$B$7))</f>
        <v/>
      </c>
      <c r="T153" s="2" t="str">
        <f aca="false">IF($B153="","",COUNTIFS(Datos_items!$B:$B,$B153,Datos_items!$AA:$AA,T$4,Datos_items!$E:$E,Analisis_grupo!$C$4))</f>
        <v/>
      </c>
      <c r="U153" s="2" t="str">
        <f aca="false">IF($B153="","",COUNTIFS(Datos_items!$B:$B,$B153,Datos_items!$AA:$AA,U$4,Datos_items!$E:$E,Analisis_grupo!$C$4))</f>
        <v/>
      </c>
      <c r="V153" s="2" t="str">
        <f aca="false">IF($B153="","",COUNTIFS(Datos_items!$B:$B,$B153,Datos_items!$AA:$AA,V$4,Datos_items!$E:$E,Analisis_grupo!$C$4))</f>
        <v/>
      </c>
      <c r="W153" s="2" t="str">
        <f aca="false">IF($B153="","",COUNTIFS(Datos_items!$B:$B,$B153,Datos_items!$AA:$AA,W$4,Datos_items!$E:$E,Analisis_grupo!$C$4))</f>
        <v/>
      </c>
      <c r="X153" s="2" t="str">
        <f aca="false">IF($B153="","",COUNTIFS(Datos_items!$B:$B,$B153,Datos_items!$AA:$AA,X$4,Datos_items!$E:$E,Analisis_grupo!$C$4))</f>
        <v/>
      </c>
      <c r="Y153" s="2" t="str">
        <f aca="false">IF($B153="","",COUNTIFS(Datos_items!$B:$B,$B153,Datos_items!$AA:$AA,Y$4,Datos_items!$E:$E,Analisis_grupo!$C$4))</f>
        <v/>
      </c>
      <c r="Z153" s="2" t="str">
        <f aca="false">IF($B153="","",COUNTIFS(Datos_items!$B:$B,$B153,Datos_items!$AA:$AA,Z$4,Datos_items!$E:$E,Analisis_grupo!$C$4))</f>
        <v/>
      </c>
      <c r="AA153" s="2" t="str">
        <f aca="false">IF($B153="","",COUNTIFS(Datos_items!$B:$B,$B153,Datos_items!$AA:$AA,AA$4,Datos_items!$E:$E,Analisis_grupo!$C$4))</f>
        <v/>
      </c>
      <c r="AB153" s="2" t="str">
        <f aca="false">IF($B153="","",COUNTIFS(Datos_items!$B:$B,$B153,Datos_items!$AA:$AA,AB$4,Datos_items!$E:$E,Analisis_grupo!$C$4))</f>
        <v/>
      </c>
      <c r="AC153" s="2" t="str">
        <f aca="false">IF($B153="","",COUNTIFS(Datos_items!$B:$B,$B153,Datos_items!$AA:$AA,AC$4,Datos_items!$E:$E,Analisis_grupo!$C$4))</f>
        <v/>
      </c>
      <c r="AD153" s="2" t="str">
        <f aca="false">IF($B153="","",COUNTIFS(Datos_items!$B:$B,$B153,Datos_items!$AA:$AA,AD$4,Datos_items!$E:$E,Analisis_grupo!$C$4))</f>
        <v/>
      </c>
      <c r="AE153" s="2" t="str">
        <f aca="false">IF($B153="","",COUNTIFS(Datos_items!$B:$B,$B153,Datos_items!$AA:$AA,AE$4,Datos_items!$E:$E,Analisis_grupo!$C$4))</f>
        <v/>
      </c>
      <c r="AF153" s="2" t="str">
        <f aca="false">IF($B153="","",COUNTIFS(Datos_items!$B:$B,$B153,Datos_items!$AA:$AA,AF$4,Datos_items!$E:$E,Analisis_grupo!$C$4))</f>
        <v/>
      </c>
      <c r="AG153" s="2" t="str">
        <f aca="false">IF($B153="","",COUNTIFS(Datos_items!$B:$B,$B153,Datos_items!$AA:$AA,AG$4,Datos_items!$E:$E,Analisis_grupo!$C$4))</f>
        <v/>
      </c>
      <c r="AH153" s="2" t="str">
        <f aca="false">IF($B153="","",COUNTIFS(Datos_items!$B:$B,$B153,Datos_items!$AA:$AA,AH$4,Datos_items!$E:$E,Analisis_grupo!$C$4))</f>
        <v/>
      </c>
      <c r="AI153" s="2" t="str">
        <f aca="false">IF($B153="","",COUNTIFS(Datos_items!$B:$B,$B153,Datos_items!$AA:$AA,AI$4,Datos_items!$E:$E,Analisis_grupo!$C$4))</f>
        <v/>
      </c>
      <c r="AJ153" s="2" t="str">
        <f aca="false">IF($B153="","",COUNTIFS(Datos_items!$B:$B,$B153,Datos_items!$AA:$AA,AJ$4,Datos_items!$E:$E,Analisis_grupo!$C$4))</f>
        <v/>
      </c>
      <c r="AK153" s="2" t="str">
        <f aca="false">IF($B153="","",COUNTIFS(Datos_items!$B:$B,$B153,Datos_items!$AA:$AA,AK$4,Datos_items!$E:$E,Analisis_grupo!$C$4))</f>
        <v/>
      </c>
      <c r="AL153" s="2" t="str">
        <f aca="false">IF($B153="","",COUNTIFS(Datos_items!$B:$B,$B153,Datos_items!$AA:$AA,AL$4,Datos_items!$E:$E,Analisis_grupo!$C$4))</f>
        <v/>
      </c>
      <c r="AM153" s="2" t="str">
        <f aca="false">IF($B153="","",IF(MAX(Y153:AL153)=0,"",INDEX($Y$4:$AL$4,MATCH(MAX(Y153:AL153),Y153:AL153,0))))</f>
        <v/>
      </c>
      <c r="AN153" s="2" t="str">
        <f aca="false">IF($B153="","",COUNTIFS(Datos_problemas!$B:$B,$B153,Datos_problemas!$F:$F,"Práctica"))</f>
        <v/>
      </c>
      <c r="AO153" s="2" t="str">
        <f aca="false">IF($B153="","",SUMIFS(Datos_problemas!$AQ:$AQ,Datos_problemas!$B:$B,$B153,Datos_problemas!$F:$F,"Práctica"))</f>
        <v/>
      </c>
      <c r="AP153" s="2" t="str">
        <f aca="false">IF($B153="","",COUNTIFS(Datos_problemas!$B:$B,$B153,Datos_problemas!$F:$F,"Práctica",Datos_problemas!$AS:$AS,"Sí"))</f>
        <v/>
      </c>
    </row>
    <row r="154" customFormat="false" ht="15" hidden="false" customHeight="false" outlineLevel="0" collapsed="false">
      <c r="A154" s="2" t="n">
        <v>150</v>
      </c>
      <c r="B154" s="2" t="str">
        <f aca="false">IFERROR(INDEX(Datos_problemas!$B:$B,MATCH($A154,Datos_problemas!$AV:$AV,0)),"")</f>
        <v/>
      </c>
      <c r="C154" s="2" t="str">
        <f aca="false">IF($B154="","",INDEX(Datos_problemas!$C:$C,MATCH($A154,Datos_problemas!$AV:$AV,0)))</f>
        <v/>
      </c>
      <c r="D154" s="2" t="str">
        <f aca="false">IF($B154="","",INDEX(Datos_problemas!$D:$D,MATCH($A154,Datos_problemas!$AV:$AV,0)))</f>
        <v/>
      </c>
      <c r="E154" s="2" t="str">
        <f aca="false">IF($B154="","",COUNTIFS(Datos_problemas!$B:$B,$B154,Datos_problemas!$F:$F,"Evaluación"))</f>
        <v/>
      </c>
      <c r="F154" s="20" t="str">
        <f aca="false">IF($B154="","",IFERROR(AVERAGEIFS(Datos_problemas!$AE:$AE,Datos_problemas!$B:$B,$B154,Datos_problemas!$F:$F,"Evaluación"),""))</f>
        <v/>
      </c>
      <c r="G154" s="20" t="str">
        <f aca="false">IF($B154="","",IFERROR(AVERAGEIFS(Datos_problemas!$AE:$AE,Datos_problemas!$B:$B,$B154,Datos_problemas!$F:$F,"Evaluación",Datos_problemas!$E:$E,"Diagnóstico"),""))</f>
        <v/>
      </c>
      <c r="H154" s="20" t="str">
        <f aca="false">IF($B154="","",IFERROR(AVERAGEIFS(Datos_problemas!$AE:$AE,Datos_problemas!$B:$B,$B154,Datos_problemas!$F:$F,"Evaluación",Datos_problemas!$E:$E,"Final"),""))</f>
        <v/>
      </c>
      <c r="I154" s="21" t="str">
        <f aca="false">IF(OR(G154="",H154=""),"",IF(G154&gt;=10,"",(H154-G154)/(10-G154)))</f>
        <v/>
      </c>
      <c r="J154" s="18" t="str">
        <f aca="false">IF($B154="","",IFERROR(SUMIFS(Datos_items!$Z:$Z,Datos_items!$B:$B,$B154,Datos_items!$O:$O,J$4,Datos_items!$E:$E,Analisis_grupo!$C$4)/COUNTIFS(Datos_items!$B:$B,$B154,Datos_items!$O:$O,J$4,Datos_items!$E:$E,Analisis_grupo!$C$4),""))</f>
        <v/>
      </c>
      <c r="K154" s="18" t="str">
        <f aca="false">IF($B154="","",IFERROR(SUMIFS(Datos_items!$Z:$Z,Datos_items!$B:$B,$B154,Datos_items!$O:$O,K$4,Datos_items!$E:$E,Analisis_grupo!$C$4)/COUNTIFS(Datos_items!$B:$B,$B154,Datos_items!$O:$O,K$4,Datos_items!$E:$E,Analisis_grupo!$C$4),""))</f>
        <v/>
      </c>
      <c r="L154" s="18" t="str">
        <f aca="false">IF($B154="","",IFERROR(SUMIFS(Datos_items!$Z:$Z,Datos_items!$B:$B,$B154,Datos_items!$O:$O,L$4,Datos_items!$E:$E,Analisis_grupo!$C$4)/COUNTIFS(Datos_items!$B:$B,$B154,Datos_items!$O:$O,L$4,Datos_items!$E:$E,Analisis_grupo!$C$4),""))</f>
        <v/>
      </c>
      <c r="M154" s="18" t="str">
        <f aca="false">IF($B154="","",IFERROR(SUMIFS(Datos_items!$Z:$Z,Datos_items!$B:$B,$B154,Datos_items!$O:$O,M$4,Datos_items!$E:$E,Analisis_grupo!$C$4)/COUNTIFS(Datos_items!$B:$B,$B154,Datos_items!$O:$O,M$4,Datos_items!$E:$E,Analisis_grupo!$C$4),""))</f>
        <v/>
      </c>
      <c r="N154" s="18" t="str">
        <f aca="false">IF($B154="","",IFERROR(SUMIFS(Datos_items!$Z:$Z,Datos_items!$B:$B,$B154,Datos_items!$O:$O,N$4,Datos_items!$E:$E,Analisis_grupo!$C$4)/COUNTIFS(Datos_items!$B:$B,$B154,Datos_items!$O:$O,N$4,Datos_items!$E:$E,Analisis_grupo!$C$4),""))</f>
        <v/>
      </c>
      <c r="O154" s="18" t="str">
        <f aca="false">IF($B154="","",IFERROR(SUMIFS(Datos_items!$Z:$Z,Datos_items!$B:$B,$B154,Datos_items!$O:$O,O$4,Datos_items!$E:$E,Analisis_grupo!$C$4)/COUNTIFS(Datos_items!$B:$B,$B154,Datos_items!$O:$O,O$4,Datos_items!$E:$E,Analisis_grupo!$C$4),""))</f>
        <v/>
      </c>
      <c r="P154" s="18" t="str">
        <f aca="false">IF($B154="","",IFERROR(SUMIFS(Datos_items!$Z:$Z,Datos_items!$B:$B,$B154,Datos_items!$O:$O,P$4,Datos_items!$E:$E,Analisis_grupo!$C$4)/COUNTIFS(Datos_items!$B:$B,$B154,Datos_items!$O:$O,P$4,Datos_items!$E:$E,Analisis_grupo!$C$4),""))</f>
        <v/>
      </c>
      <c r="Q154" s="18" t="str">
        <f aca="false">IF($B154="","",IFERROR(SUMIFS(Datos_items!$Z:$Z,Datos_items!$B:$B,$B154,Datos_items!$O:$O,Q$4,Datos_items!$E:$E,Analisis_grupo!$C$4)/COUNTIFS(Datos_items!$B:$B,$B154,Datos_items!$O:$O,Q$4,Datos_items!$E:$E,Analisis_grupo!$C$4),""))</f>
        <v/>
      </c>
      <c r="R154" s="2" t="str">
        <f aca="false">IF(COUNT(J154:Q154)=0,"",IF(MIN(J154:Q154)&gt;=Analisis_grupo!$B$7,"(ninguna)",INDEX($J$4:$Q$4,MATCH(MIN(J154:Q154),J154:Q154,0))))</f>
        <v/>
      </c>
      <c r="S154" s="2" t="str">
        <f aca="false">IF($B154="","",COUNTIF(J154:Q154,"&lt;"&amp;Analisis_grupo!$B$7))</f>
        <v/>
      </c>
      <c r="T154" s="2" t="str">
        <f aca="false">IF($B154="","",COUNTIFS(Datos_items!$B:$B,$B154,Datos_items!$AA:$AA,T$4,Datos_items!$E:$E,Analisis_grupo!$C$4))</f>
        <v/>
      </c>
      <c r="U154" s="2" t="str">
        <f aca="false">IF($B154="","",COUNTIFS(Datos_items!$B:$B,$B154,Datos_items!$AA:$AA,U$4,Datos_items!$E:$E,Analisis_grupo!$C$4))</f>
        <v/>
      </c>
      <c r="V154" s="2" t="str">
        <f aca="false">IF($B154="","",COUNTIFS(Datos_items!$B:$B,$B154,Datos_items!$AA:$AA,V$4,Datos_items!$E:$E,Analisis_grupo!$C$4))</f>
        <v/>
      </c>
      <c r="W154" s="2" t="str">
        <f aca="false">IF($B154="","",COUNTIFS(Datos_items!$B:$B,$B154,Datos_items!$AA:$AA,W$4,Datos_items!$E:$E,Analisis_grupo!$C$4))</f>
        <v/>
      </c>
      <c r="X154" s="2" t="str">
        <f aca="false">IF($B154="","",COUNTIFS(Datos_items!$B:$B,$B154,Datos_items!$AA:$AA,X$4,Datos_items!$E:$E,Analisis_grupo!$C$4))</f>
        <v/>
      </c>
      <c r="Y154" s="2" t="str">
        <f aca="false">IF($B154="","",COUNTIFS(Datos_items!$B:$B,$B154,Datos_items!$AA:$AA,Y$4,Datos_items!$E:$E,Analisis_grupo!$C$4))</f>
        <v/>
      </c>
      <c r="Z154" s="2" t="str">
        <f aca="false">IF($B154="","",COUNTIFS(Datos_items!$B:$B,$B154,Datos_items!$AA:$AA,Z$4,Datos_items!$E:$E,Analisis_grupo!$C$4))</f>
        <v/>
      </c>
      <c r="AA154" s="2" t="str">
        <f aca="false">IF($B154="","",COUNTIFS(Datos_items!$B:$B,$B154,Datos_items!$AA:$AA,AA$4,Datos_items!$E:$E,Analisis_grupo!$C$4))</f>
        <v/>
      </c>
      <c r="AB154" s="2" t="str">
        <f aca="false">IF($B154="","",COUNTIFS(Datos_items!$B:$B,$B154,Datos_items!$AA:$AA,AB$4,Datos_items!$E:$E,Analisis_grupo!$C$4))</f>
        <v/>
      </c>
      <c r="AC154" s="2" t="str">
        <f aca="false">IF($B154="","",COUNTIFS(Datos_items!$B:$B,$B154,Datos_items!$AA:$AA,AC$4,Datos_items!$E:$E,Analisis_grupo!$C$4))</f>
        <v/>
      </c>
      <c r="AD154" s="2" t="str">
        <f aca="false">IF($B154="","",COUNTIFS(Datos_items!$B:$B,$B154,Datos_items!$AA:$AA,AD$4,Datos_items!$E:$E,Analisis_grupo!$C$4))</f>
        <v/>
      </c>
      <c r="AE154" s="2" t="str">
        <f aca="false">IF($B154="","",COUNTIFS(Datos_items!$B:$B,$B154,Datos_items!$AA:$AA,AE$4,Datos_items!$E:$E,Analisis_grupo!$C$4))</f>
        <v/>
      </c>
      <c r="AF154" s="2" t="str">
        <f aca="false">IF($B154="","",COUNTIFS(Datos_items!$B:$B,$B154,Datos_items!$AA:$AA,AF$4,Datos_items!$E:$E,Analisis_grupo!$C$4))</f>
        <v/>
      </c>
      <c r="AG154" s="2" t="str">
        <f aca="false">IF($B154="","",COUNTIFS(Datos_items!$B:$B,$B154,Datos_items!$AA:$AA,AG$4,Datos_items!$E:$E,Analisis_grupo!$C$4))</f>
        <v/>
      </c>
      <c r="AH154" s="2" t="str">
        <f aca="false">IF($B154="","",COUNTIFS(Datos_items!$B:$B,$B154,Datos_items!$AA:$AA,AH$4,Datos_items!$E:$E,Analisis_grupo!$C$4))</f>
        <v/>
      </c>
      <c r="AI154" s="2" t="str">
        <f aca="false">IF($B154="","",COUNTIFS(Datos_items!$B:$B,$B154,Datos_items!$AA:$AA,AI$4,Datos_items!$E:$E,Analisis_grupo!$C$4))</f>
        <v/>
      </c>
      <c r="AJ154" s="2" t="str">
        <f aca="false">IF($B154="","",COUNTIFS(Datos_items!$B:$B,$B154,Datos_items!$AA:$AA,AJ$4,Datos_items!$E:$E,Analisis_grupo!$C$4))</f>
        <v/>
      </c>
      <c r="AK154" s="2" t="str">
        <f aca="false">IF($B154="","",COUNTIFS(Datos_items!$B:$B,$B154,Datos_items!$AA:$AA,AK$4,Datos_items!$E:$E,Analisis_grupo!$C$4))</f>
        <v/>
      </c>
      <c r="AL154" s="2" t="str">
        <f aca="false">IF($B154="","",COUNTIFS(Datos_items!$B:$B,$B154,Datos_items!$AA:$AA,AL$4,Datos_items!$E:$E,Analisis_grupo!$C$4))</f>
        <v/>
      </c>
      <c r="AM154" s="2" t="str">
        <f aca="false">IF($B154="","",IF(MAX(Y154:AL154)=0,"",INDEX($Y$4:$AL$4,MATCH(MAX(Y154:AL154),Y154:AL154,0))))</f>
        <v/>
      </c>
      <c r="AN154" s="2" t="str">
        <f aca="false">IF($B154="","",COUNTIFS(Datos_problemas!$B:$B,$B154,Datos_problemas!$F:$F,"Práctica"))</f>
        <v/>
      </c>
      <c r="AO154" s="2" t="str">
        <f aca="false">IF($B154="","",SUMIFS(Datos_problemas!$AQ:$AQ,Datos_problemas!$B:$B,$B154,Datos_problemas!$F:$F,"Práctica"))</f>
        <v/>
      </c>
      <c r="AP154" s="2" t="str">
        <f aca="false">IF($B154="","",COUNTIFS(Datos_problemas!$B:$B,$B154,Datos_problemas!$F:$F,"Práctica",Datos_problemas!$AS:$AS,"Sí"))</f>
        <v/>
      </c>
    </row>
    <row r="155" customFormat="false" ht="15" hidden="false" customHeight="false" outlineLevel="0" collapsed="false">
      <c r="A155" s="2" t="n">
        <v>151</v>
      </c>
      <c r="B155" s="2" t="str">
        <f aca="false">IFERROR(INDEX(Datos_problemas!$B:$B,MATCH($A155,Datos_problemas!$AV:$AV,0)),"")</f>
        <v/>
      </c>
      <c r="C155" s="2" t="str">
        <f aca="false">IF($B155="","",INDEX(Datos_problemas!$C:$C,MATCH($A155,Datos_problemas!$AV:$AV,0)))</f>
        <v/>
      </c>
      <c r="D155" s="2" t="str">
        <f aca="false">IF($B155="","",INDEX(Datos_problemas!$D:$D,MATCH($A155,Datos_problemas!$AV:$AV,0)))</f>
        <v/>
      </c>
      <c r="E155" s="2" t="str">
        <f aca="false">IF($B155="","",COUNTIFS(Datos_problemas!$B:$B,$B155,Datos_problemas!$F:$F,"Evaluación"))</f>
        <v/>
      </c>
      <c r="F155" s="20" t="str">
        <f aca="false">IF($B155="","",IFERROR(AVERAGEIFS(Datos_problemas!$AE:$AE,Datos_problemas!$B:$B,$B155,Datos_problemas!$F:$F,"Evaluación"),""))</f>
        <v/>
      </c>
      <c r="G155" s="20" t="str">
        <f aca="false">IF($B155="","",IFERROR(AVERAGEIFS(Datos_problemas!$AE:$AE,Datos_problemas!$B:$B,$B155,Datos_problemas!$F:$F,"Evaluación",Datos_problemas!$E:$E,"Diagnóstico"),""))</f>
        <v/>
      </c>
      <c r="H155" s="20" t="str">
        <f aca="false">IF($B155="","",IFERROR(AVERAGEIFS(Datos_problemas!$AE:$AE,Datos_problemas!$B:$B,$B155,Datos_problemas!$F:$F,"Evaluación",Datos_problemas!$E:$E,"Final"),""))</f>
        <v/>
      </c>
      <c r="I155" s="21" t="str">
        <f aca="false">IF(OR(G155="",H155=""),"",IF(G155&gt;=10,"",(H155-G155)/(10-G155)))</f>
        <v/>
      </c>
      <c r="J155" s="18" t="str">
        <f aca="false">IF($B155="","",IFERROR(SUMIFS(Datos_items!$Z:$Z,Datos_items!$B:$B,$B155,Datos_items!$O:$O,J$4,Datos_items!$E:$E,Analisis_grupo!$C$4)/COUNTIFS(Datos_items!$B:$B,$B155,Datos_items!$O:$O,J$4,Datos_items!$E:$E,Analisis_grupo!$C$4),""))</f>
        <v/>
      </c>
      <c r="K155" s="18" t="str">
        <f aca="false">IF($B155="","",IFERROR(SUMIFS(Datos_items!$Z:$Z,Datos_items!$B:$B,$B155,Datos_items!$O:$O,K$4,Datos_items!$E:$E,Analisis_grupo!$C$4)/COUNTIFS(Datos_items!$B:$B,$B155,Datos_items!$O:$O,K$4,Datos_items!$E:$E,Analisis_grupo!$C$4),""))</f>
        <v/>
      </c>
      <c r="L155" s="18" t="str">
        <f aca="false">IF($B155="","",IFERROR(SUMIFS(Datos_items!$Z:$Z,Datos_items!$B:$B,$B155,Datos_items!$O:$O,L$4,Datos_items!$E:$E,Analisis_grupo!$C$4)/COUNTIFS(Datos_items!$B:$B,$B155,Datos_items!$O:$O,L$4,Datos_items!$E:$E,Analisis_grupo!$C$4),""))</f>
        <v/>
      </c>
      <c r="M155" s="18" t="str">
        <f aca="false">IF($B155="","",IFERROR(SUMIFS(Datos_items!$Z:$Z,Datos_items!$B:$B,$B155,Datos_items!$O:$O,M$4,Datos_items!$E:$E,Analisis_grupo!$C$4)/COUNTIFS(Datos_items!$B:$B,$B155,Datos_items!$O:$O,M$4,Datos_items!$E:$E,Analisis_grupo!$C$4),""))</f>
        <v/>
      </c>
      <c r="N155" s="18" t="str">
        <f aca="false">IF($B155="","",IFERROR(SUMIFS(Datos_items!$Z:$Z,Datos_items!$B:$B,$B155,Datos_items!$O:$O,N$4,Datos_items!$E:$E,Analisis_grupo!$C$4)/COUNTIFS(Datos_items!$B:$B,$B155,Datos_items!$O:$O,N$4,Datos_items!$E:$E,Analisis_grupo!$C$4),""))</f>
        <v/>
      </c>
      <c r="O155" s="18" t="str">
        <f aca="false">IF($B155="","",IFERROR(SUMIFS(Datos_items!$Z:$Z,Datos_items!$B:$B,$B155,Datos_items!$O:$O,O$4,Datos_items!$E:$E,Analisis_grupo!$C$4)/COUNTIFS(Datos_items!$B:$B,$B155,Datos_items!$O:$O,O$4,Datos_items!$E:$E,Analisis_grupo!$C$4),""))</f>
        <v/>
      </c>
      <c r="P155" s="18" t="str">
        <f aca="false">IF($B155="","",IFERROR(SUMIFS(Datos_items!$Z:$Z,Datos_items!$B:$B,$B155,Datos_items!$O:$O,P$4,Datos_items!$E:$E,Analisis_grupo!$C$4)/COUNTIFS(Datos_items!$B:$B,$B155,Datos_items!$O:$O,P$4,Datos_items!$E:$E,Analisis_grupo!$C$4),""))</f>
        <v/>
      </c>
      <c r="Q155" s="18" t="str">
        <f aca="false">IF($B155="","",IFERROR(SUMIFS(Datos_items!$Z:$Z,Datos_items!$B:$B,$B155,Datos_items!$O:$O,Q$4,Datos_items!$E:$E,Analisis_grupo!$C$4)/COUNTIFS(Datos_items!$B:$B,$B155,Datos_items!$O:$O,Q$4,Datos_items!$E:$E,Analisis_grupo!$C$4),""))</f>
        <v/>
      </c>
      <c r="R155" s="2" t="str">
        <f aca="false">IF(COUNT(J155:Q155)=0,"",IF(MIN(J155:Q155)&gt;=Analisis_grupo!$B$7,"(ninguna)",INDEX($J$4:$Q$4,MATCH(MIN(J155:Q155),J155:Q155,0))))</f>
        <v/>
      </c>
      <c r="S155" s="2" t="str">
        <f aca="false">IF($B155="","",COUNTIF(J155:Q155,"&lt;"&amp;Analisis_grupo!$B$7))</f>
        <v/>
      </c>
      <c r="T155" s="2" t="str">
        <f aca="false">IF($B155="","",COUNTIFS(Datos_items!$B:$B,$B155,Datos_items!$AA:$AA,T$4,Datos_items!$E:$E,Analisis_grupo!$C$4))</f>
        <v/>
      </c>
      <c r="U155" s="2" t="str">
        <f aca="false">IF($B155="","",COUNTIFS(Datos_items!$B:$B,$B155,Datos_items!$AA:$AA,U$4,Datos_items!$E:$E,Analisis_grupo!$C$4))</f>
        <v/>
      </c>
      <c r="V155" s="2" t="str">
        <f aca="false">IF($B155="","",COUNTIFS(Datos_items!$B:$B,$B155,Datos_items!$AA:$AA,V$4,Datos_items!$E:$E,Analisis_grupo!$C$4))</f>
        <v/>
      </c>
      <c r="W155" s="2" t="str">
        <f aca="false">IF($B155="","",COUNTIFS(Datos_items!$B:$B,$B155,Datos_items!$AA:$AA,W$4,Datos_items!$E:$E,Analisis_grupo!$C$4))</f>
        <v/>
      </c>
      <c r="X155" s="2" t="str">
        <f aca="false">IF($B155="","",COUNTIFS(Datos_items!$B:$B,$B155,Datos_items!$AA:$AA,X$4,Datos_items!$E:$E,Analisis_grupo!$C$4))</f>
        <v/>
      </c>
      <c r="Y155" s="2" t="str">
        <f aca="false">IF($B155="","",COUNTIFS(Datos_items!$B:$B,$B155,Datos_items!$AA:$AA,Y$4,Datos_items!$E:$E,Analisis_grupo!$C$4))</f>
        <v/>
      </c>
      <c r="Z155" s="2" t="str">
        <f aca="false">IF($B155="","",COUNTIFS(Datos_items!$B:$B,$B155,Datos_items!$AA:$AA,Z$4,Datos_items!$E:$E,Analisis_grupo!$C$4))</f>
        <v/>
      </c>
      <c r="AA155" s="2" t="str">
        <f aca="false">IF($B155="","",COUNTIFS(Datos_items!$B:$B,$B155,Datos_items!$AA:$AA,AA$4,Datos_items!$E:$E,Analisis_grupo!$C$4))</f>
        <v/>
      </c>
      <c r="AB155" s="2" t="str">
        <f aca="false">IF($B155="","",COUNTIFS(Datos_items!$B:$B,$B155,Datos_items!$AA:$AA,AB$4,Datos_items!$E:$E,Analisis_grupo!$C$4))</f>
        <v/>
      </c>
      <c r="AC155" s="2" t="str">
        <f aca="false">IF($B155="","",COUNTIFS(Datos_items!$B:$B,$B155,Datos_items!$AA:$AA,AC$4,Datos_items!$E:$E,Analisis_grupo!$C$4))</f>
        <v/>
      </c>
      <c r="AD155" s="2" t="str">
        <f aca="false">IF($B155="","",COUNTIFS(Datos_items!$B:$B,$B155,Datos_items!$AA:$AA,AD$4,Datos_items!$E:$E,Analisis_grupo!$C$4))</f>
        <v/>
      </c>
      <c r="AE155" s="2" t="str">
        <f aca="false">IF($B155="","",COUNTIFS(Datos_items!$B:$B,$B155,Datos_items!$AA:$AA,AE$4,Datos_items!$E:$E,Analisis_grupo!$C$4))</f>
        <v/>
      </c>
      <c r="AF155" s="2" t="str">
        <f aca="false">IF($B155="","",COUNTIFS(Datos_items!$B:$B,$B155,Datos_items!$AA:$AA,AF$4,Datos_items!$E:$E,Analisis_grupo!$C$4))</f>
        <v/>
      </c>
      <c r="AG155" s="2" t="str">
        <f aca="false">IF($B155="","",COUNTIFS(Datos_items!$B:$B,$B155,Datos_items!$AA:$AA,AG$4,Datos_items!$E:$E,Analisis_grupo!$C$4))</f>
        <v/>
      </c>
      <c r="AH155" s="2" t="str">
        <f aca="false">IF($B155="","",COUNTIFS(Datos_items!$B:$B,$B155,Datos_items!$AA:$AA,AH$4,Datos_items!$E:$E,Analisis_grupo!$C$4))</f>
        <v/>
      </c>
      <c r="AI155" s="2" t="str">
        <f aca="false">IF($B155="","",COUNTIFS(Datos_items!$B:$B,$B155,Datos_items!$AA:$AA,AI$4,Datos_items!$E:$E,Analisis_grupo!$C$4))</f>
        <v/>
      </c>
      <c r="AJ155" s="2" t="str">
        <f aca="false">IF($B155="","",COUNTIFS(Datos_items!$B:$B,$B155,Datos_items!$AA:$AA,AJ$4,Datos_items!$E:$E,Analisis_grupo!$C$4))</f>
        <v/>
      </c>
      <c r="AK155" s="2" t="str">
        <f aca="false">IF($B155="","",COUNTIFS(Datos_items!$B:$B,$B155,Datos_items!$AA:$AA,AK$4,Datos_items!$E:$E,Analisis_grupo!$C$4))</f>
        <v/>
      </c>
      <c r="AL155" s="2" t="str">
        <f aca="false">IF($B155="","",COUNTIFS(Datos_items!$B:$B,$B155,Datos_items!$AA:$AA,AL$4,Datos_items!$E:$E,Analisis_grupo!$C$4))</f>
        <v/>
      </c>
      <c r="AM155" s="2" t="str">
        <f aca="false">IF($B155="","",IF(MAX(Y155:AL155)=0,"",INDEX($Y$4:$AL$4,MATCH(MAX(Y155:AL155),Y155:AL155,0))))</f>
        <v/>
      </c>
      <c r="AN155" s="2" t="str">
        <f aca="false">IF($B155="","",COUNTIFS(Datos_problemas!$B:$B,$B155,Datos_problemas!$F:$F,"Práctica"))</f>
        <v/>
      </c>
      <c r="AO155" s="2" t="str">
        <f aca="false">IF($B155="","",SUMIFS(Datos_problemas!$AQ:$AQ,Datos_problemas!$B:$B,$B155,Datos_problemas!$F:$F,"Práctica"))</f>
        <v/>
      </c>
      <c r="AP155" s="2" t="str">
        <f aca="false">IF($B155="","",COUNTIFS(Datos_problemas!$B:$B,$B155,Datos_problemas!$F:$F,"Práctica",Datos_problemas!$AS:$AS,"Sí"))</f>
        <v/>
      </c>
    </row>
    <row r="156" customFormat="false" ht="15" hidden="false" customHeight="false" outlineLevel="0" collapsed="false">
      <c r="A156" s="2" t="n">
        <v>152</v>
      </c>
      <c r="B156" s="2" t="str">
        <f aca="false">IFERROR(INDEX(Datos_problemas!$B:$B,MATCH($A156,Datos_problemas!$AV:$AV,0)),"")</f>
        <v/>
      </c>
      <c r="C156" s="2" t="str">
        <f aca="false">IF($B156="","",INDEX(Datos_problemas!$C:$C,MATCH($A156,Datos_problemas!$AV:$AV,0)))</f>
        <v/>
      </c>
      <c r="D156" s="2" t="str">
        <f aca="false">IF($B156="","",INDEX(Datos_problemas!$D:$D,MATCH($A156,Datos_problemas!$AV:$AV,0)))</f>
        <v/>
      </c>
      <c r="E156" s="2" t="str">
        <f aca="false">IF($B156="","",COUNTIFS(Datos_problemas!$B:$B,$B156,Datos_problemas!$F:$F,"Evaluación"))</f>
        <v/>
      </c>
      <c r="F156" s="20" t="str">
        <f aca="false">IF($B156="","",IFERROR(AVERAGEIFS(Datos_problemas!$AE:$AE,Datos_problemas!$B:$B,$B156,Datos_problemas!$F:$F,"Evaluación"),""))</f>
        <v/>
      </c>
      <c r="G156" s="20" t="str">
        <f aca="false">IF($B156="","",IFERROR(AVERAGEIFS(Datos_problemas!$AE:$AE,Datos_problemas!$B:$B,$B156,Datos_problemas!$F:$F,"Evaluación",Datos_problemas!$E:$E,"Diagnóstico"),""))</f>
        <v/>
      </c>
      <c r="H156" s="20" t="str">
        <f aca="false">IF($B156="","",IFERROR(AVERAGEIFS(Datos_problemas!$AE:$AE,Datos_problemas!$B:$B,$B156,Datos_problemas!$F:$F,"Evaluación",Datos_problemas!$E:$E,"Final"),""))</f>
        <v/>
      </c>
      <c r="I156" s="21" t="str">
        <f aca="false">IF(OR(G156="",H156=""),"",IF(G156&gt;=10,"",(H156-G156)/(10-G156)))</f>
        <v/>
      </c>
      <c r="J156" s="18" t="str">
        <f aca="false">IF($B156="","",IFERROR(SUMIFS(Datos_items!$Z:$Z,Datos_items!$B:$B,$B156,Datos_items!$O:$O,J$4,Datos_items!$E:$E,Analisis_grupo!$C$4)/COUNTIFS(Datos_items!$B:$B,$B156,Datos_items!$O:$O,J$4,Datos_items!$E:$E,Analisis_grupo!$C$4),""))</f>
        <v/>
      </c>
      <c r="K156" s="18" t="str">
        <f aca="false">IF($B156="","",IFERROR(SUMIFS(Datos_items!$Z:$Z,Datos_items!$B:$B,$B156,Datos_items!$O:$O,K$4,Datos_items!$E:$E,Analisis_grupo!$C$4)/COUNTIFS(Datos_items!$B:$B,$B156,Datos_items!$O:$O,K$4,Datos_items!$E:$E,Analisis_grupo!$C$4),""))</f>
        <v/>
      </c>
      <c r="L156" s="18" t="str">
        <f aca="false">IF($B156="","",IFERROR(SUMIFS(Datos_items!$Z:$Z,Datos_items!$B:$B,$B156,Datos_items!$O:$O,L$4,Datos_items!$E:$E,Analisis_grupo!$C$4)/COUNTIFS(Datos_items!$B:$B,$B156,Datos_items!$O:$O,L$4,Datos_items!$E:$E,Analisis_grupo!$C$4),""))</f>
        <v/>
      </c>
      <c r="M156" s="18" t="str">
        <f aca="false">IF($B156="","",IFERROR(SUMIFS(Datos_items!$Z:$Z,Datos_items!$B:$B,$B156,Datos_items!$O:$O,M$4,Datos_items!$E:$E,Analisis_grupo!$C$4)/COUNTIFS(Datos_items!$B:$B,$B156,Datos_items!$O:$O,M$4,Datos_items!$E:$E,Analisis_grupo!$C$4),""))</f>
        <v/>
      </c>
      <c r="N156" s="18" t="str">
        <f aca="false">IF($B156="","",IFERROR(SUMIFS(Datos_items!$Z:$Z,Datos_items!$B:$B,$B156,Datos_items!$O:$O,N$4,Datos_items!$E:$E,Analisis_grupo!$C$4)/COUNTIFS(Datos_items!$B:$B,$B156,Datos_items!$O:$O,N$4,Datos_items!$E:$E,Analisis_grupo!$C$4),""))</f>
        <v/>
      </c>
      <c r="O156" s="18" t="str">
        <f aca="false">IF($B156="","",IFERROR(SUMIFS(Datos_items!$Z:$Z,Datos_items!$B:$B,$B156,Datos_items!$O:$O,O$4,Datos_items!$E:$E,Analisis_grupo!$C$4)/COUNTIFS(Datos_items!$B:$B,$B156,Datos_items!$O:$O,O$4,Datos_items!$E:$E,Analisis_grupo!$C$4),""))</f>
        <v/>
      </c>
      <c r="P156" s="18" t="str">
        <f aca="false">IF($B156="","",IFERROR(SUMIFS(Datos_items!$Z:$Z,Datos_items!$B:$B,$B156,Datos_items!$O:$O,P$4,Datos_items!$E:$E,Analisis_grupo!$C$4)/COUNTIFS(Datos_items!$B:$B,$B156,Datos_items!$O:$O,P$4,Datos_items!$E:$E,Analisis_grupo!$C$4),""))</f>
        <v/>
      </c>
      <c r="Q156" s="18" t="str">
        <f aca="false">IF($B156="","",IFERROR(SUMIFS(Datos_items!$Z:$Z,Datos_items!$B:$B,$B156,Datos_items!$O:$O,Q$4,Datos_items!$E:$E,Analisis_grupo!$C$4)/COUNTIFS(Datos_items!$B:$B,$B156,Datos_items!$O:$O,Q$4,Datos_items!$E:$E,Analisis_grupo!$C$4),""))</f>
        <v/>
      </c>
      <c r="R156" s="2" t="str">
        <f aca="false">IF(COUNT(J156:Q156)=0,"",IF(MIN(J156:Q156)&gt;=Analisis_grupo!$B$7,"(ninguna)",INDEX($J$4:$Q$4,MATCH(MIN(J156:Q156),J156:Q156,0))))</f>
        <v/>
      </c>
      <c r="S156" s="2" t="str">
        <f aca="false">IF($B156="","",COUNTIF(J156:Q156,"&lt;"&amp;Analisis_grupo!$B$7))</f>
        <v/>
      </c>
      <c r="T156" s="2" t="str">
        <f aca="false">IF($B156="","",COUNTIFS(Datos_items!$B:$B,$B156,Datos_items!$AA:$AA,T$4,Datos_items!$E:$E,Analisis_grupo!$C$4))</f>
        <v/>
      </c>
      <c r="U156" s="2" t="str">
        <f aca="false">IF($B156="","",COUNTIFS(Datos_items!$B:$B,$B156,Datos_items!$AA:$AA,U$4,Datos_items!$E:$E,Analisis_grupo!$C$4))</f>
        <v/>
      </c>
      <c r="V156" s="2" t="str">
        <f aca="false">IF($B156="","",COUNTIFS(Datos_items!$B:$B,$B156,Datos_items!$AA:$AA,V$4,Datos_items!$E:$E,Analisis_grupo!$C$4))</f>
        <v/>
      </c>
      <c r="W156" s="2" t="str">
        <f aca="false">IF($B156="","",COUNTIFS(Datos_items!$B:$B,$B156,Datos_items!$AA:$AA,W$4,Datos_items!$E:$E,Analisis_grupo!$C$4))</f>
        <v/>
      </c>
      <c r="X156" s="2" t="str">
        <f aca="false">IF($B156="","",COUNTIFS(Datos_items!$B:$B,$B156,Datos_items!$AA:$AA,X$4,Datos_items!$E:$E,Analisis_grupo!$C$4))</f>
        <v/>
      </c>
      <c r="Y156" s="2" t="str">
        <f aca="false">IF($B156="","",COUNTIFS(Datos_items!$B:$B,$B156,Datos_items!$AA:$AA,Y$4,Datos_items!$E:$E,Analisis_grupo!$C$4))</f>
        <v/>
      </c>
      <c r="Z156" s="2" t="str">
        <f aca="false">IF($B156="","",COUNTIFS(Datos_items!$B:$B,$B156,Datos_items!$AA:$AA,Z$4,Datos_items!$E:$E,Analisis_grupo!$C$4))</f>
        <v/>
      </c>
      <c r="AA156" s="2" t="str">
        <f aca="false">IF($B156="","",COUNTIFS(Datos_items!$B:$B,$B156,Datos_items!$AA:$AA,AA$4,Datos_items!$E:$E,Analisis_grupo!$C$4))</f>
        <v/>
      </c>
      <c r="AB156" s="2" t="str">
        <f aca="false">IF($B156="","",COUNTIFS(Datos_items!$B:$B,$B156,Datos_items!$AA:$AA,AB$4,Datos_items!$E:$E,Analisis_grupo!$C$4))</f>
        <v/>
      </c>
      <c r="AC156" s="2" t="str">
        <f aca="false">IF($B156="","",COUNTIFS(Datos_items!$B:$B,$B156,Datos_items!$AA:$AA,AC$4,Datos_items!$E:$E,Analisis_grupo!$C$4))</f>
        <v/>
      </c>
      <c r="AD156" s="2" t="str">
        <f aca="false">IF($B156="","",COUNTIFS(Datos_items!$B:$B,$B156,Datos_items!$AA:$AA,AD$4,Datos_items!$E:$E,Analisis_grupo!$C$4))</f>
        <v/>
      </c>
      <c r="AE156" s="2" t="str">
        <f aca="false">IF($B156="","",COUNTIFS(Datos_items!$B:$B,$B156,Datos_items!$AA:$AA,AE$4,Datos_items!$E:$E,Analisis_grupo!$C$4))</f>
        <v/>
      </c>
      <c r="AF156" s="2" t="str">
        <f aca="false">IF($B156="","",COUNTIFS(Datos_items!$B:$B,$B156,Datos_items!$AA:$AA,AF$4,Datos_items!$E:$E,Analisis_grupo!$C$4))</f>
        <v/>
      </c>
      <c r="AG156" s="2" t="str">
        <f aca="false">IF($B156="","",COUNTIFS(Datos_items!$B:$B,$B156,Datos_items!$AA:$AA,AG$4,Datos_items!$E:$E,Analisis_grupo!$C$4))</f>
        <v/>
      </c>
      <c r="AH156" s="2" t="str">
        <f aca="false">IF($B156="","",COUNTIFS(Datos_items!$B:$B,$B156,Datos_items!$AA:$AA,AH$4,Datos_items!$E:$E,Analisis_grupo!$C$4))</f>
        <v/>
      </c>
      <c r="AI156" s="2" t="str">
        <f aca="false">IF($B156="","",COUNTIFS(Datos_items!$B:$B,$B156,Datos_items!$AA:$AA,AI$4,Datos_items!$E:$E,Analisis_grupo!$C$4))</f>
        <v/>
      </c>
      <c r="AJ156" s="2" t="str">
        <f aca="false">IF($B156="","",COUNTIFS(Datos_items!$B:$B,$B156,Datos_items!$AA:$AA,AJ$4,Datos_items!$E:$E,Analisis_grupo!$C$4))</f>
        <v/>
      </c>
      <c r="AK156" s="2" t="str">
        <f aca="false">IF($B156="","",COUNTIFS(Datos_items!$B:$B,$B156,Datos_items!$AA:$AA,AK$4,Datos_items!$E:$E,Analisis_grupo!$C$4))</f>
        <v/>
      </c>
      <c r="AL156" s="2" t="str">
        <f aca="false">IF($B156="","",COUNTIFS(Datos_items!$B:$B,$B156,Datos_items!$AA:$AA,AL$4,Datos_items!$E:$E,Analisis_grupo!$C$4))</f>
        <v/>
      </c>
      <c r="AM156" s="2" t="str">
        <f aca="false">IF($B156="","",IF(MAX(Y156:AL156)=0,"",INDEX($Y$4:$AL$4,MATCH(MAX(Y156:AL156),Y156:AL156,0))))</f>
        <v/>
      </c>
      <c r="AN156" s="2" t="str">
        <f aca="false">IF($B156="","",COUNTIFS(Datos_problemas!$B:$B,$B156,Datos_problemas!$F:$F,"Práctica"))</f>
        <v/>
      </c>
      <c r="AO156" s="2" t="str">
        <f aca="false">IF($B156="","",SUMIFS(Datos_problemas!$AQ:$AQ,Datos_problemas!$B:$B,$B156,Datos_problemas!$F:$F,"Práctica"))</f>
        <v/>
      </c>
      <c r="AP156" s="2" t="str">
        <f aca="false">IF($B156="","",COUNTIFS(Datos_problemas!$B:$B,$B156,Datos_problemas!$F:$F,"Práctica",Datos_problemas!$AS:$AS,"Sí"))</f>
        <v/>
      </c>
    </row>
    <row r="157" customFormat="false" ht="15" hidden="false" customHeight="false" outlineLevel="0" collapsed="false">
      <c r="A157" s="2" t="n">
        <v>153</v>
      </c>
      <c r="B157" s="2" t="str">
        <f aca="false">IFERROR(INDEX(Datos_problemas!$B:$B,MATCH($A157,Datos_problemas!$AV:$AV,0)),"")</f>
        <v/>
      </c>
      <c r="C157" s="2" t="str">
        <f aca="false">IF($B157="","",INDEX(Datos_problemas!$C:$C,MATCH($A157,Datos_problemas!$AV:$AV,0)))</f>
        <v/>
      </c>
      <c r="D157" s="2" t="str">
        <f aca="false">IF($B157="","",INDEX(Datos_problemas!$D:$D,MATCH($A157,Datos_problemas!$AV:$AV,0)))</f>
        <v/>
      </c>
      <c r="E157" s="2" t="str">
        <f aca="false">IF($B157="","",COUNTIFS(Datos_problemas!$B:$B,$B157,Datos_problemas!$F:$F,"Evaluación"))</f>
        <v/>
      </c>
      <c r="F157" s="20" t="str">
        <f aca="false">IF($B157="","",IFERROR(AVERAGEIFS(Datos_problemas!$AE:$AE,Datos_problemas!$B:$B,$B157,Datos_problemas!$F:$F,"Evaluación"),""))</f>
        <v/>
      </c>
      <c r="G157" s="20" t="str">
        <f aca="false">IF($B157="","",IFERROR(AVERAGEIFS(Datos_problemas!$AE:$AE,Datos_problemas!$B:$B,$B157,Datos_problemas!$F:$F,"Evaluación",Datos_problemas!$E:$E,"Diagnóstico"),""))</f>
        <v/>
      </c>
      <c r="H157" s="20" t="str">
        <f aca="false">IF($B157="","",IFERROR(AVERAGEIFS(Datos_problemas!$AE:$AE,Datos_problemas!$B:$B,$B157,Datos_problemas!$F:$F,"Evaluación",Datos_problemas!$E:$E,"Final"),""))</f>
        <v/>
      </c>
      <c r="I157" s="21" t="str">
        <f aca="false">IF(OR(G157="",H157=""),"",IF(G157&gt;=10,"",(H157-G157)/(10-G157)))</f>
        <v/>
      </c>
      <c r="J157" s="18" t="str">
        <f aca="false">IF($B157="","",IFERROR(SUMIFS(Datos_items!$Z:$Z,Datos_items!$B:$B,$B157,Datos_items!$O:$O,J$4,Datos_items!$E:$E,Analisis_grupo!$C$4)/COUNTIFS(Datos_items!$B:$B,$B157,Datos_items!$O:$O,J$4,Datos_items!$E:$E,Analisis_grupo!$C$4),""))</f>
        <v/>
      </c>
      <c r="K157" s="18" t="str">
        <f aca="false">IF($B157="","",IFERROR(SUMIFS(Datos_items!$Z:$Z,Datos_items!$B:$B,$B157,Datos_items!$O:$O,K$4,Datos_items!$E:$E,Analisis_grupo!$C$4)/COUNTIFS(Datos_items!$B:$B,$B157,Datos_items!$O:$O,K$4,Datos_items!$E:$E,Analisis_grupo!$C$4),""))</f>
        <v/>
      </c>
      <c r="L157" s="18" t="str">
        <f aca="false">IF($B157="","",IFERROR(SUMIFS(Datos_items!$Z:$Z,Datos_items!$B:$B,$B157,Datos_items!$O:$O,L$4,Datos_items!$E:$E,Analisis_grupo!$C$4)/COUNTIFS(Datos_items!$B:$B,$B157,Datos_items!$O:$O,L$4,Datos_items!$E:$E,Analisis_grupo!$C$4),""))</f>
        <v/>
      </c>
      <c r="M157" s="18" t="str">
        <f aca="false">IF($B157="","",IFERROR(SUMIFS(Datos_items!$Z:$Z,Datos_items!$B:$B,$B157,Datos_items!$O:$O,M$4,Datos_items!$E:$E,Analisis_grupo!$C$4)/COUNTIFS(Datos_items!$B:$B,$B157,Datos_items!$O:$O,M$4,Datos_items!$E:$E,Analisis_grupo!$C$4),""))</f>
        <v/>
      </c>
      <c r="N157" s="18" t="str">
        <f aca="false">IF($B157="","",IFERROR(SUMIFS(Datos_items!$Z:$Z,Datos_items!$B:$B,$B157,Datos_items!$O:$O,N$4,Datos_items!$E:$E,Analisis_grupo!$C$4)/COUNTIFS(Datos_items!$B:$B,$B157,Datos_items!$O:$O,N$4,Datos_items!$E:$E,Analisis_grupo!$C$4),""))</f>
        <v/>
      </c>
      <c r="O157" s="18" t="str">
        <f aca="false">IF($B157="","",IFERROR(SUMIFS(Datos_items!$Z:$Z,Datos_items!$B:$B,$B157,Datos_items!$O:$O,O$4,Datos_items!$E:$E,Analisis_grupo!$C$4)/COUNTIFS(Datos_items!$B:$B,$B157,Datos_items!$O:$O,O$4,Datos_items!$E:$E,Analisis_grupo!$C$4),""))</f>
        <v/>
      </c>
      <c r="P157" s="18" t="str">
        <f aca="false">IF($B157="","",IFERROR(SUMIFS(Datos_items!$Z:$Z,Datos_items!$B:$B,$B157,Datos_items!$O:$O,P$4,Datos_items!$E:$E,Analisis_grupo!$C$4)/COUNTIFS(Datos_items!$B:$B,$B157,Datos_items!$O:$O,P$4,Datos_items!$E:$E,Analisis_grupo!$C$4),""))</f>
        <v/>
      </c>
      <c r="Q157" s="18" t="str">
        <f aca="false">IF($B157="","",IFERROR(SUMIFS(Datos_items!$Z:$Z,Datos_items!$B:$B,$B157,Datos_items!$O:$O,Q$4,Datos_items!$E:$E,Analisis_grupo!$C$4)/COUNTIFS(Datos_items!$B:$B,$B157,Datos_items!$O:$O,Q$4,Datos_items!$E:$E,Analisis_grupo!$C$4),""))</f>
        <v/>
      </c>
      <c r="R157" s="2" t="str">
        <f aca="false">IF(COUNT(J157:Q157)=0,"",IF(MIN(J157:Q157)&gt;=Analisis_grupo!$B$7,"(ninguna)",INDEX($J$4:$Q$4,MATCH(MIN(J157:Q157),J157:Q157,0))))</f>
        <v/>
      </c>
      <c r="S157" s="2" t="str">
        <f aca="false">IF($B157="","",COUNTIF(J157:Q157,"&lt;"&amp;Analisis_grupo!$B$7))</f>
        <v/>
      </c>
      <c r="T157" s="2" t="str">
        <f aca="false">IF($B157="","",COUNTIFS(Datos_items!$B:$B,$B157,Datos_items!$AA:$AA,T$4,Datos_items!$E:$E,Analisis_grupo!$C$4))</f>
        <v/>
      </c>
      <c r="U157" s="2" t="str">
        <f aca="false">IF($B157="","",COUNTIFS(Datos_items!$B:$B,$B157,Datos_items!$AA:$AA,U$4,Datos_items!$E:$E,Analisis_grupo!$C$4))</f>
        <v/>
      </c>
      <c r="V157" s="2" t="str">
        <f aca="false">IF($B157="","",COUNTIFS(Datos_items!$B:$B,$B157,Datos_items!$AA:$AA,V$4,Datos_items!$E:$E,Analisis_grupo!$C$4))</f>
        <v/>
      </c>
      <c r="W157" s="2" t="str">
        <f aca="false">IF($B157="","",COUNTIFS(Datos_items!$B:$B,$B157,Datos_items!$AA:$AA,W$4,Datos_items!$E:$E,Analisis_grupo!$C$4))</f>
        <v/>
      </c>
      <c r="X157" s="2" t="str">
        <f aca="false">IF($B157="","",COUNTIFS(Datos_items!$B:$B,$B157,Datos_items!$AA:$AA,X$4,Datos_items!$E:$E,Analisis_grupo!$C$4))</f>
        <v/>
      </c>
      <c r="Y157" s="2" t="str">
        <f aca="false">IF($B157="","",COUNTIFS(Datos_items!$B:$B,$B157,Datos_items!$AA:$AA,Y$4,Datos_items!$E:$E,Analisis_grupo!$C$4))</f>
        <v/>
      </c>
      <c r="Z157" s="2" t="str">
        <f aca="false">IF($B157="","",COUNTIFS(Datos_items!$B:$B,$B157,Datos_items!$AA:$AA,Z$4,Datos_items!$E:$E,Analisis_grupo!$C$4))</f>
        <v/>
      </c>
      <c r="AA157" s="2" t="str">
        <f aca="false">IF($B157="","",COUNTIFS(Datos_items!$B:$B,$B157,Datos_items!$AA:$AA,AA$4,Datos_items!$E:$E,Analisis_grupo!$C$4))</f>
        <v/>
      </c>
      <c r="AB157" s="2" t="str">
        <f aca="false">IF($B157="","",COUNTIFS(Datos_items!$B:$B,$B157,Datos_items!$AA:$AA,AB$4,Datos_items!$E:$E,Analisis_grupo!$C$4))</f>
        <v/>
      </c>
      <c r="AC157" s="2" t="str">
        <f aca="false">IF($B157="","",COUNTIFS(Datos_items!$B:$B,$B157,Datos_items!$AA:$AA,AC$4,Datos_items!$E:$E,Analisis_grupo!$C$4))</f>
        <v/>
      </c>
      <c r="AD157" s="2" t="str">
        <f aca="false">IF($B157="","",COUNTIFS(Datos_items!$B:$B,$B157,Datos_items!$AA:$AA,AD$4,Datos_items!$E:$E,Analisis_grupo!$C$4))</f>
        <v/>
      </c>
      <c r="AE157" s="2" t="str">
        <f aca="false">IF($B157="","",COUNTIFS(Datos_items!$B:$B,$B157,Datos_items!$AA:$AA,AE$4,Datos_items!$E:$E,Analisis_grupo!$C$4))</f>
        <v/>
      </c>
      <c r="AF157" s="2" t="str">
        <f aca="false">IF($B157="","",COUNTIFS(Datos_items!$B:$B,$B157,Datos_items!$AA:$AA,AF$4,Datos_items!$E:$E,Analisis_grupo!$C$4))</f>
        <v/>
      </c>
      <c r="AG157" s="2" t="str">
        <f aca="false">IF($B157="","",COUNTIFS(Datos_items!$B:$B,$B157,Datos_items!$AA:$AA,AG$4,Datos_items!$E:$E,Analisis_grupo!$C$4))</f>
        <v/>
      </c>
      <c r="AH157" s="2" t="str">
        <f aca="false">IF($B157="","",COUNTIFS(Datos_items!$B:$B,$B157,Datos_items!$AA:$AA,AH$4,Datos_items!$E:$E,Analisis_grupo!$C$4))</f>
        <v/>
      </c>
      <c r="AI157" s="2" t="str">
        <f aca="false">IF($B157="","",COUNTIFS(Datos_items!$B:$B,$B157,Datos_items!$AA:$AA,AI$4,Datos_items!$E:$E,Analisis_grupo!$C$4))</f>
        <v/>
      </c>
      <c r="AJ157" s="2" t="str">
        <f aca="false">IF($B157="","",COUNTIFS(Datos_items!$B:$B,$B157,Datos_items!$AA:$AA,AJ$4,Datos_items!$E:$E,Analisis_grupo!$C$4))</f>
        <v/>
      </c>
      <c r="AK157" s="2" t="str">
        <f aca="false">IF($B157="","",COUNTIFS(Datos_items!$B:$B,$B157,Datos_items!$AA:$AA,AK$4,Datos_items!$E:$E,Analisis_grupo!$C$4))</f>
        <v/>
      </c>
      <c r="AL157" s="2" t="str">
        <f aca="false">IF($B157="","",COUNTIFS(Datos_items!$B:$B,$B157,Datos_items!$AA:$AA,AL$4,Datos_items!$E:$E,Analisis_grupo!$C$4))</f>
        <v/>
      </c>
      <c r="AM157" s="2" t="str">
        <f aca="false">IF($B157="","",IF(MAX(Y157:AL157)=0,"",INDEX($Y$4:$AL$4,MATCH(MAX(Y157:AL157),Y157:AL157,0))))</f>
        <v/>
      </c>
      <c r="AN157" s="2" t="str">
        <f aca="false">IF($B157="","",COUNTIFS(Datos_problemas!$B:$B,$B157,Datos_problemas!$F:$F,"Práctica"))</f>
        <v/>
      </c>
      <c r="AO157" s="2" t="str">
        <f aca="false">IF($B157="","",SUMIFS(Datos_problemas!$AQ:$AQ,Datos_problemas!$B:$B,$B157,Datos_problemas!$F:$F,"Práctica"))</f>
        <v/>
      </c>
      <c r="AP157" s="2" t="str">
        <f aca="false">IF($B157="","",COUNTIFS(Datos_problemas!$B:$B,$B157,Datos_problemas!$F:$F,"Práctica",Datos_problemas!$AS:$AS,"Sí"))</f>
        <v/>
      </c>
    </row>
    <row r="158" customFormat="false" ht="15" hidden="false" customHeight="false" outlineLevel="0" collapsed="false">
      <c r="A158" s="2" t="n">
        <v>154</v>
      </c>
      <c r="B158" s="2" t="str">
        <f aca="false">IFERROR(INDEX(Datos_problemas!$B:$B,MATCH($A158,Datos_problemas!$AV:$AV,0)),"")</f>
        <v/>
      </c>
      <c r="C158" s="2" t="str">
        <f aca="false">IF($B158="","",INDEX(Datos_problemas!$C:$C,MATCH($A158,Datos_problemas!$AV:$AV,0)))</f>
        <v/>
      </c>
      <c r="D158" s="2" t="str">
        <f aca="false">IF($B158="","",INDEX(Datos_problemas!$D:$D,MATCH($A158,Datos_problemas!$AV:$AV,0)))</f>
        <v/>
      </c>
      <c r="E158" s="2" t="str">
        <f aca="false">IF($B158="","",COUNTIFS(Datos_problemas!$B:$B,$B158,Datos_problemas!$F:$F,"Evaluación"))</f>
        <v/>
      </c>
      <c r="F158" s="20" t="str">
        <f aca="false">IF($B158="","",IFERROR(AVERAGEIFS(Datos_problemas!$AE:$AE,Datos_problemas!$B:$B,$B158,Datos_problemas!$F:$F,"Evaluación"),""))</f>
        <v/>
      </c>
      <c r="G158" s="20" t="str">
        <f aca="false">IF($B158="","",IFERROR(AVERAGEIFS(Datos_problemas!$AE:$AE,Datos_problemas!$B:$B,$B158,Datos_problemas!$F:$F,"Evaluación",Datos_problemas!$E:$E,"Diagnóstico"),""))</f>
        <v/>
      </c>
      <c r="H158" s="20" t="str">
        <f aca="false">IF($B158="","",IFERROR(AVERAGEIFS(Datos_problemas!$AE:$AE,Datos_problemas!$B:$B,$B158,Datos_problemas!$F:$F,"Evaluación",Datos_problemas!$E:$E,"Final"),""))</f>
        <v/>
      </c>
      <c r="I158" s="21" t="str">
        <f aca="false">IF(OR(G158="",H158=""),"",IF(G158&gt;=10,"",(H158-G158)/(10-G158)))</f>
        <v/>
      </c>
      <c r="J158" s="18" t="str">
        <f aca="false">IF($B158="","",IFERROR(SUMIFS(Datos_items!$Z:$Z,Datos_items!$B:$B,$B158,Datos_items!$O:$O,J$4,Datos_items!$E:$E,Analisis_grupo!$C$4)/COUNTIFS(Datos_items!$B:$B,$B158,Datos_items!$O:$O,J$4,Datos_items!$E:$E,Analisis_grupo!$C$4),""))</f>
        <v/>
      </c>
      <c r="K158" s="18" t="str">
        <f aca="false">IF($B158="","",IFERROR(SUMIFS(Datos_items!$Z:$Z,Datos_items!$B:$B,$B158,Datos_items!$O:$O,K$4,Datos_items!$E:$E,Analisis_grupo!$C$4)/COUNTIFS(Datos_items!$B:$B,$B158,Datos_items!$O:$O,K$4,Datos_items!$E:$E,Analisis_grupo!$C$4),""))</f>
        <v/>
      </c>
      <c r="L158" s="18" t="str">
        <f aca="false">IF($B158="","",IFERROR(SUMIFS(Datos_items!$Z:$Z,Datos_items!$B:$B,$B158,Datos_items!$O:$O,L$4,Datos_items!$E:$E,Analisis_grupo!$C$4)/COUNTIFS(Datos_items!$B:$B,$B158,Datos_items!$O:$O,L$4,Datos_items!$E:$E,Analisis_grupo!$C$4),""))</f>
        <v/>
      </c>
      <c r="M158" s="18" t="str">
        <f aca="false">IF($B158="","",IFERROR(SUMIFS(Datos_items!$Z:$Z,Datos_items!$B:$B,$B158,Datos_items!$O:$O,M$4,Datos_items!$E:$E,Analisis_grupo!$C$4)/COUNTIFS(Datos_items!$B:$B,$B158,Datos_items!$O:$O,M$4,Datos_items!$E:$E,Analisis_grupo!$C$4),""))</f>
        <v/>
      </c>
      <c r="N158" s="18" t="str">
        <f aca="false">IF($B158="","",IFERROR(SUMIFS(Datos_items!$Z:$Z,Datos_items!$B:$B,$B158,Datos_items!$O:$O,N$4,Datos_items!$E:$E,Analisis_grupo!$C$4)/COUNTIFS(Datos_items!$B:$B,$B158,Datos_items!$O:$O,N$4,Datos_items!$E:$E,Analisis_grupo!$C$4),""))</f>
        <v/>
      </c>
      <c r="O158" s="18" t="str">
        <f aca="false">IF($B158="","",IFERROR(SUMIFS(Datos_items!$Z:$Z,Datos_items!$B:$B,$B158,Datos_items!$O:$O,O$4,Datos_items!$E:$E,Analisis_grupo!$C$4)/COUNTIFS(Datos_items!$B:$B,$B158,Datos_items!$O:$O,O$4,Datos_items!$E:$E,Analisis_grupo!$C$4),""))</f>
        <v/>
      </c>
      <c r="P158" s="18" t="str">
        <f aca="false">IF($B158="","",IFERROR(SUMIFS(Datos_items!$Z:$Z,Datos_items!$B:$B,$B158,Datos_items!$O:$O,P$4,Datos_items!$E:$E,Analisis_grupo!$C$4)/COUNTIFS(Datos_items!$B:$B,$B158,Datos_items!$O:$O,P$4,Datos_items!$E:$E,Analisis_grupo!$C$4),""))</f>
        <v/>
      </c>
      <c r="Q158" s="18" t="str">
        <f aca="false">IF($B158="","",IFERROR(SUMIFS(Datos_items!$Z:$Z,Datos_items!$B:$B,$B158,Datos_items!$O:$O,Q$4,Datos_items!$E:$E,Analisis_grupo!$C$4)/COUNTIFS(Datos_items!$B:$B,$B158,Datos_items!$O:$O,Q$4,Datos_items!$E:$E,Analisis_grupo!$C$4),""))</f>
        <v/>
      </c>
      <c r="R158" s="2" t="str">
        <f aca="false">IF(COUNT(J158:Q158)=0,"",IF(MIN(J158:Q158)&gt;=Analisis_grupo!$B$7,"(ninguna)",INDEX($J$4:$Q$4,MATCH(MIN(J158:Q158),J158:Q158,0))))</f>
        <v/>
      </c>
      <c r="S158" s="2" t="str">
        <f aca="false">IF($B158="","",COUNTIF(J158:Q158,"&lt;"&amp;Analisis_grupo!$B$7))</f>
        <v/>
      </c>
      <c r="T158" s="2" t="str">
        <f aca="false">IF($B158="","",COUNTIFS(Datos_items!$B:$B,$B158,Datos_items!$AA:$AA,T$4,Datos_items!$E:$E,Analisis_grupo!$C$4))</f>
        <v/>
      </c>
      <c r="U158" s="2" t="str">
        <f aca="false">IF($B158="","",COUNTIFS(Datos_items!$B:$B,$B158,Datos_items!$AA:$AA,U$4,Datos_items!$E:$E,Analisis_grupo!$C$4))</f>
        <v/>
      </c>
      <c r="V158" s="2" t="str">
        <f aca="false">IF($B158="","",COUNTIFS(Datos_items!$B:$B,$B158,Datos_items!$AA:$AA,V$4,Datos_items!$E:$E,Analisis_grupo!$C$4))</f>
        <v/>
      </c>
      <c r="W158" s="2" t="str">
        <f aca="false">IF($B158="","",COUNTIFS(Datos_items!$B:$B,$B158,Datos_items!$AA:$AA,W$4,Datos_items!$E:$E,Analisis_grupo!$C$4))</f>
        <v/>
      </c>
      <c r="X158" s="2" t="str">
        <f aca="false">IF($B158="","",COUNTIFS(Datos_items!$B:$B,$B158,Datos_items!$AA:$AA,X$4,Datos_items!$E:$E,Analisis_grupo!$C$4))</f>
        <v/>
      </c>
      <c r="Y158" s="2" t="str">
        <f aca="false">IF($B158="","",COUNTIFS(Datos_items!$B:$B,$B158,Datos_items!$AA:$AA,Y$4,Datos_items!$E:$E,Analisis_grupo!$C$4))</f>
        <v/>
      </c>
      <c r="Z158" s="2" t="str">
        <f aca="false">IF($B158="","",COUNTIFS(Datos_items!$B:$B,$B158,Datos_items!$AA:$AA,Z$4,Datos_items!$E:$E,Analisis_grupo!$C$4))</f>
        <v/>
      </c>
      <c r="AA158" s="2" t="str">
        <f aca="false">IF($B158="","",COUNTIFS(Datos_items!$B:$B,$B158,Datos_items!$AA:$AA,AA$4,Datos_items!$E:$E,Analisis_grupo!$C$4))</f>
        <v/>
      </c>
      <c r="AB158" s="2" t="str">
        <f aca="false">IF($B158="","",COUNTIFS(Datos_items!$B:$B,$B158,Datos_items!$AA:$AA,AB$4,Datos_items!$E:$E,Analisis_grupo!$C$4))</f>
        <v/>
      </c>
      <c r="AC158" s="2" t="str">
        <f aca="false">IF($B158="","",COUNTIFS(Datos_items!$B:$B,$B158,Datos_items!$AA:$AA,AC$4,Datos_items!$E:$E,Analisis_grupo!$C$4))</f>
        <v/>
      </c>
      <c r="AD158" s="2" t="str">
        <f aca="false">IF($B158="","",COUNTIFS(Datos_items!$B:$B,$B158,Datos_items!$AA:$AA,AD$4,Datos_items!$E:$E,Analisis_grupo!$C$4))</f>
        <v/>
      </c>
      <c r="AE158" s="2" t="str">
        <f aca="false">IF($B158="","",COUNTIFS(Datos_items!$B:$B,$B158,Datos_items!$AA:$AA,AE$4,Datos_items!$E:$E,Analisis_grupo!$C$4))</f>
        <v/>
      </c>
      <c r="AF158" s="2" t="str">
        <f aca="false">IF($B158="","",COUNTIFS(Datos_items!$B:$B,$B158,Datos_items!$AA:$AA,AF$4,Datos_items!$E:$E,Analisis_grupo!$C$4))</f>
        <v/>
      </c>
      <c r="AG158" s="2" t="str">
        <f aca="false">IF($B158="","",COUNTIFS(Datos_items!$B:$B,$B158,Datos_items!$AA:$AA,AG$4,Datos_items!$E:$E,Analisis_grupo!$C$4))</f>
        <v/>
      </c>
      <c r="AH158" s="2" t="str">
        <f aca="false">IF($B158="","",COUNTIFS(Datos_items!$B:$B,$B158,Datos_items!$AA:$AA,AH$4,Datos_items!$E:$E,Analisis_grupo!$C$4))</f>
        <v/>
      </c>
      <c r="AI158" s="2" t="str">
        <f aca="false">IF($B158="","",COUNTIFS(Datos_items!$B:$B,$B158,Datos_items!$AA:$AA,AI$4,Datos_items!$E:$E,Analisis_grupo!$C$4))</f>
        <v/>
      </c>
      <c r="AJ158" s="2" t="str">
        <f aca="false">IF($B158="","",COUNTIFS(Datos_items!$B:$B,$B158,Datos_items!$AA:$AA,AJ$4,Datos_items!$E:$E,Analisis_grupo!$C$4))</f>
        <v/>
      </c>
      <c r="AK158" s="2" t="str">
        <f aca="false">IF($B158="","",COUNTIFS(Datos_items!$B:$B,$B158,Datos_items!$AA:$AA,AK$4,Datos_items!$E:$E,Analisis_grupo!$C$4))</f>
        <v/>
      </c>
      <c r="AL158" s="2" t="str">
        <f aca="false">IF($B158="","",COUNTIFS(Datos_items!$B:$B,$B158,Datos_items!$AA:$AA,AL$4,Datos_items!$E:$E,Analisis_grupo!$C$4))</f>
        <v/>
      </c>
      <c r="AM158" s="2" t="str">
        <f aca="false">IF($B158="","",IF(MAX(Y158:AL158)=0,"",INDEX($Y$4:$AL$4,MATCH(MAX(Y158:AL158),Y158:AL158,0))))</f>
        <v/>
      </c>
      <c r="AN158" s="2" t="str">
        <f aca="false">IF($B158="","",COUNTIFS(Datos_problemas!$B:$B,$B158,Datos_problemas!$F:$F,"Práctica"))</f>
        <v/>
      </c>
      <c r="AO158" s="2" t="str">
        <f aca="false">IF($B158="","",SUMIFS(Datos_problemas!$AQ:$AQ,Datos_problemas!$B:$B,$B158,Datos_problemas!$F:$F,"Práctica"))</f>
        <v/>
      </c>
      <c r="AP158" s="2" t="str">
        <f aca="false">IF($B158="","",COUNTIFS(Datos_problemas!$B:$B,$B158,Datos_problemas!$F:$F,"Práctica",Datos_problemas!$AS:$AS,"Sí"))</f>
        <v/>
      </c>
    </row>
    <row r="159" customFormat="false" ht="15" hidden="false" customHeight="false" outlineLevel="0" collapsed="false">
      <c r="A159" s="2" t="n">
        <v>155</v>
      </c>
      <c r="B159" s="2" t="str">
        <f aca="false">IFERROR(INDEX(Datos_problemas!$B:$B,MATCH($A159,Datos_problemas!$AV:$AV,0)),"")</f>
        <v/>
      </c>
      <c r="C159" s="2" t="str">
        <f aca="false">IF($B159="","",INDEX(Datos_problemas!$C:$C,MATCH($A159,Datos_problemas!$AV:$AV,0)))</f>
        <v/>
      </c>
      <c r="D159" s="2" t="str">
        <f aca="false">IF($B159="","",INDEX(Datos_problemas!$D:$D,MATCH($A159,Datos_problemas!$AV:$AV,0)))</f>
        <v/>
      </c>
      <c r="E159" s="2" t="str">
        <f aca="false">IF($B159="","",COUNTIFS(Datos_problemas!$B:$B,$B159,Datos_problemas!$F:$F,"Evaluación"))</f>
        <v/>
      </c>
      <c r="F159" s="20" t="str">
        <f aca="false">IF($B159="","",IFERROR(AVERAGEIFS(Datos_problemas!$AE:$AE,Datos_problemas!$B:$B,$B159,Datos_problemas!$F:$F,"Evaluación"),""))</f>
        <v/>
      </c>
      <c r="G159" s="20" t="str">
        <f aca="false">IF($B159="","",IFERROR(AVERAGEIFS(Datos_problemas!$AE:$AE,Datos_problemas!$B:$B,$B159,Datos_problemas!$F:$F,"Evaluación",Datos_problemas!$E:$E,"Diagnóstico"),""))</f>
        <v/>
      </c>
      <c r="H159" s="20" t="str">
        <f aca="false">IF($B159="","",IFERROR(AVERAGEIFS(Datos_problemas!$AE:$AE,Datos_problemas!$B:$B,$B159,Datos_problemas!$F:$F,"Evaluación",Datos_problemas!$E:$E,"Final"),""))</f>
        <v/>
      </c>
      <c r="I159" s="21" t="str">
        <f aca="false">IF(OR(G159="",H159=""),"",IF(G159&gt;=10,"",(H159-G159)/(10-G159)))</f>
        <v/>
      </c>
      <c r="J159" s="18" t="str">
        <f aca="false">IF($B159="","",IFERROR(SUMIFS(Datos_items!$Z:$Z,Datos_items!$B:$B,$B159,Datos_items!$O:$O,J$4,Datos_items!$E:$E,Analisis_grupo!$C$4)/COUNTIFS(Datos_items!$B:$B,$B159,Datos_items!$O:$O,J$4,Datos_items!$E:$E,Analisis_grupo!$C$4),""))</f>
        <v/>
      </c>
      <c r="K159" s="18" t="str">
        <f aca="false">IF($B159="","",IFERROR(SUMIFS(Datos_items!$Z:$Z,Datos_items!$B:$B,$B159,Datos_items!$O:$O,K$4,Datos_items!$E:$E,Analisis_grupo!$C$4)/COUNTIFS(Datos_items!$B:$B,$B159,Datos_items!$O:$O,K$4,Datos_items!$E:$E,Analisis_grupo!$C$4),""))</f>
        <v/>
      </c>
      <c r="L159" s="18" t="str">
        <f aca="false">IF($B159="","",IFERROR(SUMIFS(Datos_items!$Z:$Z,Datos_items!$B:$B,$B159,Datos_items!$O:$O,L$4,Datos_items!$E:$E,Analisis_grupo!$C$4)/COUNTIFS(Datos_items!$B:$B,$B159,Datos_items!$O:$O,L$4,Datos_items!$E:$E,Analisis_grupo!$C$4),""))</f>
        <v/>
      </c>
      <c r="M159" s="18" t="str">
        <f aca="false">IF($B159="","",IFERROR(SUMIFS(Datos_items!$Z:$Z,Datos_items!$B:$B,$B159,Datos_items!$O:$O,M$4,Datos_items!$E:$E,Analisis_grupo!$C$4)/COUNTIFS(Datos_items!$B:$B,$B159,Datos_items!$O:$O,M$4,Datos_items!$E:$E,Analisis_grupo!$C$4),""))</f>
        <v/>
      </c>
      <c r="N159" s="18" t="str">
        <f aca="false">IF($B159="","",IFERROR(SUMIFS(Datos_items!$Z:$Z,Datos_items!$B:$B,$B159,Datos_items!$O:$O,N$4,Datos_items!$E:$E,Analisis_grupo!$C$4)/COUNTIFS(Datos_items!$B:$B,$B159,Datos_items!$O:$O,N$4,Datos_items!$E:$E,Analisis_grupo!$C$4),""))</f>
        <v/>
      </c>
      <c r="O159" s="18" t="str">
        <f aca="false">IF($B159="","",IFERROR(SUMIFS(Datos_items!$Z:$Z,Datos_items!$B:$B,$B159,Datos_items!$O:$O,O$4,Datos_items!$E:$E,Analisis_grupo!$C$4)/COUNTIFS(Datos_items!$B:$B,$B159,Datos_items!$O:$O,O$4,Datos_items!$E:$E,Analisis_grupo!$C$4),""))</f>
        <v/>
      </c>
      <c r="P159" s="18" t="str">
        <f aca="false">IF($B159="","",IFERROR(SUMIFS(Datos_items!$Z:$Z,Datos_items!$B:$B,$B159,Datos_items!$O:$O,P$4,Datos_items!$E:$E,Analisis_grupo!$C$4)/COUNTIFS(Datos_items!$B:$B,$B159,Datos_items!$O:$O,P$4,Datos_items!$E:$E,Analisis_grupo!$C$4),""))</f>
        <v/>
      </c>
      <c r="Q159" s="18" t="str">
        <f aca="false">IF($B159="","",IFERROR(SUMIFS(Datos_items!$Z:$Z,Datos_items!$B:$B,$B159,Datos_items!$O:$O,Q$4,Datos_items!$E:$E,Analisis_grupo!$C$4)/COUNTIFS(Datos_items!$B:$B,$B159,Datos_items!$O:$O,Q$4,Datos_items!$E:$E,Analisis_grupo!$C$4),""))</f>
        <v/>
      </c>
      <c r="R159" s="2" t="str">
        <f aca="false">IF(COUNT(J159:Q159)=0,"",IF(MIN(J159:Q159)&gt;=Analisis_grupo!$B$7,"(ninguna)",INDEX($J$4:$Q$4,MATCH(MIN(J159:Q159),J159:Q159,0))))</f>
        <v/>
      </c>
      <c r="S159" s="2" t="str">
        <f aca="false">IF($B159="","",COUNTIF(J159:Q159,"&lt;"&amp;Analisis_grupo!$B$7))</f>
        <v/>
      </c>
      <c r="T159" s="2" t="str">
        <f aca="false">IF($B159="","",COUNTIFS(Datos_items!$B:$B,$B159,Datos_items!$AA:$AA,T$4,Datos_items!$E:$E,Analisis_grupo!$C$4))</f>
        <v/>
      </c>
      <c r="U159" s="2" t="str">
        <f aca="false">IF($B159="","",COUNTIFS(Datos_items!$B:$B,$B159,Datos_items!$AA:$AA,U$4,Datos_items!$E:$E,Analisis_grupo!$C$4))</f>
        <v/>
      </c>
      <c r="V159" s="2" t="str">
        <f aca="false">IF($B159="","",COUNTIFS(Datos_items!$B:$B,$B159,Datos_items!$AA:$AA,V$4,Datos_items!$E:$E,Analisis_grupo!$C$4))</f>
        <v/>
      </c>
      <c r="W159" s="2" t="str">
        <f aca="false">IF($B159="","",COUNTIFS(Datos_items!$B:$B,$B159,Datos_items!$AA:$AA,W$4,Datos_items!$E:$E,Analisis_grupo!$C$4))</f>
        <v/>
      </c>
      <c r="X159" s="2" t="str">
        <f aca="false">IF($B159="","",COUNTIFS(Datos_items!$B:$B,$B159,Datos_items!$AA:$AA,X$4,Datos_items!$E:$E,Analisis_grupo!$C$4))</f>
        <v/>
      </c>
      <c r="Y159" s="2" t="str">
        <f aca="false">IF($B159="","",COUNTIFS(Datos_items!$B:$B,$B159,Datos_items!$AA:$AA,Y$4,Datos_items!$E:$E,Analisis_grupo!$C$4))</f>
        <v/>
      </c>
      <c r="Z159" s="2" t="str">
        <f aca="false">IF($B159="","",COUNTIFS(Datos_items!$B:$B,$B159,Datos_items!$AA:$AA,Z$4,Datos_items!$E:$E,Analisis_grupo!$C$4))</f>
        <v/>
      </c>
      <c r="AA159" s="2" t="str">
        <f aca="false">IF($B159="","",COUNTIFS(Datos_items!$B:$B,$B159,Datos_items!$AA:$AA,AA$4,Datos_items!$E:$E,Analisis_grupo!$C$4))</f>
        <v/>
      </c>
      <c r="AB159" s="2" t="str">
        <f aca="false">IF($B159="","",COUNTIFS(Datos_items!$B:$B,$B159,Datos_items!$AA:$AA,AB$4,Datos_items!$E:$E,Analisis_grupo!$C$4))</f>
        <v/>
      </c>
      <c r="AC159" s="2" t="str">
        <f aca="false">IF($B159="","",COUNTIFS(Datos_items!$B:$B,$B159,Datos_items!$AA:$AA,AC$4,Datos_items!$E:$E,Analisis_grupo!$C$4))</f>
        <v/>
      </c>
      <c r="AD159" s="2" t="str">
        <f aca="false">IF($B159="","",COUNTIFS(Datos_items!$B:$B,$B159,Datos_items!$AA:$AA,AD$4,Datos_items!$E:$E,Analisis_grupo!$C$4))</f>
        <v/>
      </c>
      <c r="AE159" s="2" t="str">
        <f aca="false">IF($B159="","",COUNTIFS(Datos_items!$B:$B,$B159,Datos_items!$AA:$AA,AE$4,Datos_items!$E:$E,Analisis_grupo!$C$4))</f>
        <v/>
      </c>
      <c r="AF159" s="2" t="str">
        <f aca="false">IF($B159="","",COUNTIFS(Datos_items!$B:$B,$B159,Datos_items!$AA:$AA,AF$4,Datos_items!$E:$E,Analisis_grupo!$C$4))</f>
        <v/>
      </c>
      <c r="AG159" s="2" t="str">
        <f aca="false">IF($B159="","",COUNTIFS(Datos_items!$B:$B,$B159,Datos_items!$AA:$AA,AG$4,Datos_items!$E:$E,Analisis_grupo!$C$4))</f>
        <v/>
      </c>
      <c r="AH159" s="2" t="str">
        <f aca="false">IF($B159="","",COUNTIFS(Datos_items!$B:$B,$B159,Datos_items!$AA:$AA,AH$4,Datos_items!$E:$E,Analisis_grupo!$C$4))</f>
        <v/>
      </c>
      <c r="AI159" s="2" t="str">
        <f aca="false">IF($B159="","",COUNTIFS(Datos_items!$B:$B,$B159,Datos_items!$AA:$AA,AI$4,Datos_items!$E:$E,Analisis_grupo!$C$4))</f>
        <v/>
      </c>
      <c r="AJ159" s="2" t="str">
        <f aca="false">IF($B159="","",COUNTIFS(Datos_items!$B:$B,$B159,Datos_items!$AA:$AA,AJ$4,Datos_items!$E:$E,Analisis_grupo!$C$4))</f>
        <v/>
      </c>
      <c r="AK159" s="2" t="str">
        <f aca="false">IF($B159="","",COUNTIFS(Datos_items!$B:$B,$B159,Datos_items!$AA:$AA,AK$4,Datos_items!$E:$E,Analisis_grupo!$C$4))</f>
        <v/>
      </c>
      <c r="AL159" s="2" t="str">
        <f aca="false">IF($B159="","",COUNTIFS(Datos_items!$B:$B,$B159,Datos_items!$AA:$AA,AL$4,Datos_items!$E:$E,Analisis_grupo!$C$4))</f>
        <v/>
      </c>
      <c r="AM159" s="2" t="str">
        <f aca="false">IF($B159="","",IF(MAX(Y159:AL159)=0,"",INDEX($Y$4:$AL$4,MATCH(MAX(Y159:AL159),Y159:AL159,0))))</f>
        <v/>
      </c>
      <c r="AN159" s="2" t="str">
        <f aca="false">IF($B159="","",COUNTIFS(Datos_problemas!$B:$B,$B159,Datos_problemas!$F:$F,"Práctica"))</f>
        <v/>
      </c>
      <c r="AO159" s="2" t="str">
        <f aca="false">IF($B159="","",SUMIFS(Datos_problemas!$AQ:$AQ,Datos_problemas!$B:$B,$B159,Datos_problemas!$F:$F,"Práctica"))</f>
        <v/>
      </c>
      <c r="AP159" s="2" t="str">
        <f aca="false">IF($B159="","",COUNTIFS(Datos_problemas!$B:$B,$B159,Datos_problemas!$F:$F,"Práctica",Datos_problemas!$AS:$AS,"Sí"))</f>
        <v/>
      </c>
    </row>
    <row r="160" customFormat="false" ht="15" hidden="false" customHeight="false" outlineLevel="0" collapsed="false">
      <c r="A160" s="2" t="n">
        <v>156</v>
      </c>
      <c r="B160" s="2" t="str">
        <f aca="false">IFERROR(INDEX(Datos_problemas!$B:$B,MATCH($A160,Datos_problemas!$AV:$AV,0)),"")</f>
        <v/>
      </c>
      <c r="C160" s="2" t="str">
        <f aca="false">IF($B160="","",INDEX(Datos_problemas!$C:$C,MATCH($A160,Datos_problemas!$AV:$AV,0)))</f>
        <v/>
      </c>
      <c r="D160" s="2" t="str">
        <f aca="false">IF($B160="","",INDEX(Datos_problemas!$D:$D,MATCH($A160,Datos_problemas!$AV:$AV,0)))</f>
        <v/>
      </c>
      <c r="E160" s="2" t="str">
        <f aca="false">IF($B160="","",COUNTIFS(Datos_problemas!$B:$B,$B160,Datos_problemas!$F:$F,"Evaluación"))</f>
        <v/>
      </c>
      <c r="F160" s="20" t="str">
        <f aca="false">IF($B160="","",IFERROR(AVERAGEIFS(Datos_problemas!$AE:$AE,Datos_problemas!$B:$B,$B160,Datos_problemas!$F:$F,"Evaluación"),""))</f>
        <v/>
      </c>
      <c r="G160" s="20" t="str">
        <f aca="false">IF($B160="","",IFERROR(AVERAGEIFS(Datos_problemas!$AE:$AE,Datos_problemas!$B:$B,$B160,Datos_problemas!$F:$F,"Evaluación",Datos_problemas!$E:$E,"Diagnóstico"),""))</f>
        <v/>
      </c>
      <c r="H160" s="20" t="str">
        <f aca="false">IF($B160="","",IFERROR(AVERAGEIFS(Datos_problemas!$AE:$AE,Datos_problemas!$B:$B,$B160,Datos_problemas!$F:$F,"Evaluación",Datos_problemas!$E:$E,"Final"),""))</f>
        <v/>
      </c>
      <c r="I160" s="21" t="str">
        <f aca="false">IF(OR(G160="",H160=""),"",IF(G160&gt;=10,"",(H160-G160)/(10-G160)))</f>
        <v/>
      </c>
      <c r="J160" s="18" t="str">
        <f aca="false">IF($B160="","",IFERROR(SUMIFS(Datos_items!$Z:$Z,Datos_items!$B:$B,$B160,Datos_items!$O:$O,J$4,Datos_items!$E:$E,Analisis_grupo!$C$4)/COUNTIFS(Datos_items!$B:$B,$B160,Datos_items!$O:$O,J$4,Datos_items!$E:$E,Analisis_grupo!$C$4),""))</f>
        <v/>
      </c>
      <c r="K160" s="18" t="str">
        <f aca="false">IF($B160="","",IFERROR(SUMIFS(Datos_items!$Z:$Z,Datos_items!$B:$B,$B160,Datos_items!$O:$O,K$4,Datos_items!$E:$E,Analisis_grupo!$C$4)/COUNTIFS(Datos_items!$B:$B,$B160,Datos_items!$O:$O,K$4,Datos_items!$E:$E,Analisis_grupo!$C$4),""))</f>
        <v/>
      </c>
      <c r="L160" s="18" t="str">
        <f aca="false">IF($B160="","",IFERROR(SUMIFS(Datos_items!$Z:$Z,Datos_items!$B:$B,$B160,Datos_items!$O:$O,L$4,Datos_items!$E:$E,Analisis_grupo!$C$4)/COUNTIFS(Datos_items!$B:$B,$B160,Datos_items!$O:$O,L$4,Datos_items!$E:$E,Analisis_grupo!$C$4),""))</f>
        <v/>
      </c>
      <c r="M160" s="18" t="str">
        <f aca="false">IF($B160="","",IFERROR(SUMIFS(Datos_items!$Z:$Z,Datos_items!$B:$B,$B160,Datos_items!$O:$O,M$4,Datos_items!$E:$E,Analisis_grupo!$C$4)/COUNTIFS(Datos_items!$B:$B,$B160,Datos_items!$O:$O,M$4,Datos_items!$E:$E,Analisis_grupo!$C$4),""))</f>
        <v/>
      </c>
      <c r="N160" s="18" t="str">
        <f aca="false">IF($B160="","",IFERROR(SUMIFS(Datos_items!$Z:$Z,Datos_items!$B:$B,$B160,Datos_items!$O:$O,N$4,Datos_items!$E:$E,Analisis_grupo!$C$4)/COUNTIFS(Datos_items!$B:$B,$B160,Datos_items!$O:$O,N$4,Datos_items!$E:$E,Analisis_grupo!$C$4),""))</f>
        <v/>
      </c>
      <c r="O160" s="18" t="str">
        <f aca="false">IF($B160="","",IFERROR(SUMIFS(Datos_items!$Z:$Z,Datos_items!$B:$B,$B160,Datos_items!$O:$O,O$4,Datos_items!$E:$E,Analisis_grupo!$C$4)/COUNTIFS(Datos_items!$B:$B,$B160,Datos_items!$O:$O,O$4,Datos_items!$E:$E,Analisis_grupo!$C$4),""))</f>
        <v/>
      </c>
      <c r="P160" s="18" t="str">
        <f aca="false">IF($B160="","",IFERROR(SUMIFS(Datos_items!$Z:$Z,Datos_items!$B:$B,$B160,Datos_items!$O:$O,P$4,Datos_items!$E:$E,Analisis_grupo!$C$4)/COUNTIFS(Datos_items!$B:$B,$B160,Datos_items!$O:$O,P$4,Datos_items!$E:$E,Analisis_grupo!$C$4),""))</f>
        <v/>
      </c>
      <c r="Q160" s="18" t="str">
        <f aca="false">IF($B160="","",IFERROR(SUMIFS(Datos_items!$Z:$Z,Datos_items!$B:$B,$B160,Datos_items!$O:$O,Q$4,Datos_items!$E:$E,Analisis_grupo!$C$4)/COUNTIFS(Datos_items!$B:$B,$B160,Datos_items!$O:$O,Q$4,Datos_items!$E:$E,Analisis_grupo!$C$4),""))</f>
        <v/>
      </c>
      <c r="R160" s="2" t="str">
        <f aca="false">IF(COUNT(J160:Q160)=0,"",IF(MIN(J160:Q160)&gt;=Analisis_grupo!$B$7,"(ninguna)",INDEX($J$4:$Q$4,MATCH(MIN(J160:Q160),J160:Q160,0))))</f>
        <v/>
      </c>
      <c r="S160" s="2" t="str">
        <f aca="false">IF($B160="","",COUNTIF(J160:Q160,"&lt;"&amp;Analisis_grupo!$B$7))</f>
        <v/>
      </c>
      <c r="T160" s="2" t="str">
        <f aca="false">IF($B160="","",COUNTIFS(Datos_items!$B:$B,$B160,Datos_items!$AA:$AA,T$4,Datos_items!$E:$E,Analisis_grupo!$C$4))</f>
        <v/>
      </c>
      <c r="U160" s="2" t="str">
        <f aca="false">IF($B160="","",COUNTIFS(Datos_items!$B:$B,$B160,Datos_items!$AA:$AA,U$4,Datos_items!$E:$E,Analisis_grupo!$C$4))</f>
        <v/>
      </c>
      <c r="V160" s="2" t="str">
        <f aca="false">IF($B160="","",COUNTIFS(Datos_items!$B:$B,$B160,Datos_items!$AA:$AA,V$4,Datos_items!$E:$E,Analisis_grupo!$C$4))</f>
        <v/>
      </c>
      <c r="W160" s="2" t="str">
        <f aca="false">IF($B160="","",COUNTIFS(Datos_items!$B:$B,$B160,Datos_items!$AA:$AA,W$4,Datos_items!$E:$E,Analisis_grupo!$C$4))</f>
        <v/>
      </c>
      <c r="X160" s="2" t="str">
        <f aca="false">IF($B160="","",COUNTIFS(Datos_items!$B:$B,$B160,Datos_items!$AA:$AA,X$4,Datos_items!$E:$E,Analisis_grupo!$C$4))</f>
        <v/>
      </c>
      <c r="Y160" s="2" t="str">
        <f aca="false">IF($B160="","",COUNTIFS(Datos_items!$B:$B,$B160,Datos_items!$AA:$AA,Y$4,Datos_items!$E:$E,Analisis_grupo!$C$4))</f>
        <v/>
      </c>
      <c r="Z160" s="2" t="str">
        <f aca="false">IF($B160="","",COUNTIFS(Datos_items!$B:$B,$B160,Datos_items!$AA:$AA,Z$4,Datos_items!$E:$E,Analisis_grupo!$C$4))</f>
        <v/>
      </c>
      <c r="AA160" s="2" t="str">
        <f aca="false">IF($B160="","",COUNTIFS(Datos_items!$B:$B,$B160,Datos_items!$AA:$AA,AA$4,Datos_items!$E:$E,Analisis_grupo!$C$4))</f>
        <v/>
      </c>
      <c r="AB160" s="2" t="str">
        <f aca="false">IF($B160="","",COUNTIFS(Datos_items!$B:$B,$B160,Datos_items!$AA:$AA,AB$4,Datos_items!$E:$E,Analisis_grupo!$C$4))</f>
        <v/>
      </c>
      <c r="AC160" s="2" t="str">
        <f aca="false">IF($B160="","",COUNTIFS(Datos_items!$B:$B,$B160,Datos_items!$AA:$AA,AC$4,Datos_items!$E:$E,Analisis_grupo!$C$4))</f>
        <v/>
      </c>
      <c r="AD160" s="2" t="str">
        <f aca="false">IF($B160="","",COUNTIFS(Datos_items!$B:$B,$B160,Datos_items!$AA:$AA,AD$4,Datos_items!$E:$E,Analisis_grupo!$C$4))</f>
        <v/>
      </c>
      <c r="AE160" s="2" t="str">
        <f aca="false">IF($B160="","",COUNTIFS(Datos_items!$B:$B,$B160,Datos_items!$AA:$AA,AE$4,Datos_items!$E:$E,Analisis_grupo!$C$4))</f>
        <v/>
      </c>
      <c r="AF160" s="2" t="str">
        <f aca="false">IF($B160="","",COUNTIFS(Datos_items!$B:$B,$B160,Datos_items!$AA:$AA,AF$4,Datos_items!$E:$E,Analisis_grupo!$C$4))</f>
        <v/>
      </c>
      <c r="AG160" s="2" t="str">
        <f aca="false">IF($B160="","",COUNTIFS(Datos_items!$B:$B,$B160,Datos_items!$AA:$AA,AG$4,Datos_items!$E:$E,Analisis_grupo!$C$4))</f>
        <v/>
      </c>
      <c r="AH160" s="2" t="str">
        <f aca="false">IF($B160="","",COUNTIFS(Datos_items!$B:$B,$B160,Datos_items!$AA:$AA,AH$4,Datos_items!$E:$E,Analisis_grupo!$C$4))</f>
        <v/>
      </c>
      <c r="AI160" s="2" t="str">
        <f aca="false">IF($B160="","",COUNTIFS(Datos_items!$B:$B,$B160,Datos_items!$AA:$AA,AI$4,Datos_items!$E:$E,Analisis_grupo!$C$4))</f>
        <v/>
      </c>
      <c r="AJ160" s="2" t="str">
        <f aca="false">IF($B160="","",COUNTIFS(Datos_items!$B:$B,$B160,Datos_items!$AA:$AA,AJ$4,Datos_items!$E:$E,Analisis_grupo!$C$4))</f>
        <v/>
      </c>
      <c r="AK160" s="2" t="str">
        <f aca="false">IF($B160="","",COUNTIFS(Datos_items!$B:$B,$B160,Datos_items!$AA:$AA,AK$4,Datos_items!$E:$E,Analisis_grupo!$C$4))</f>
        <v/>
      </c>
      <c r="AL160" s="2" t="str">
        <f aca="false">IF($B160="","",COUNTIFS(Datos_items!$B:$B,$B160,Datos_items!$AA:$AA,AL$4,Datos_items!$E:$E,Analisis_grupo!$C$4))</f>
        <v/>
      </c>
      <c r="AM160" s="2" t="str">
        <f aca="false">IF($B160="","",IF(MAX(Y160:AL160)=0,"",INDEX($Y$4:$AL$4,MATCH(MAX(Y160:AL160),Y160:AL160,0))))</f>
        <v/>
      </c>
      <c r="AN160" s="2" t="str">
        <f aca="false">IF($B160="","",COUNTIFS(Datos_problemas!$B:$B,$B160,Datos_problemas!$F:$F,"Práctica"))</f>
        <v/>
      </c>
      <c r="AO160" s="2" t="str">
        <f aca="false">IF($B160="","",SUMIFS(Datos_problemas!$AQ:$AQ,Datos_problemas!$B:$B,$B160,Datos_problemas!$F:$F,"Práctica"))</f>
        <v/>
      </c>
      <c r="AP160" s="2" t="str">
        <f aca="false">IF($B160="","",COUNTIFS(Datos_problemas!$B:$B,$B160,Datos_problemas!$F:$F,"Práctica",Datos_problemas!$AS:$AS,"Sí"))</f>
        <v/>
      </c>
    </row>
    <row r="161" customFormat="false" ht="15" hidden="false" customHeight="false" outlineLevel="0" collapsed="false">
      <c r="A161" s="2" t="n">
        <v>157</v>
      </c>
      <c r="B161" s="2" t="str">
        <f aca="false">IFERROR(INDEX(Datos_problemas!$B:$B,MATCH($A161,Datos_problemas!$AV:$AV,0)),"")</f>
        <v/>
      </c>
      <c r="C161" s="2" t="str">
        <f aca="false">IF($B161="","",INDEX(Datos_problemas!$C:$C,MATCH($A161,Datos_problemas!$AV:$AV,0)))</f>
        <v/>
      </c>
      <c r="D161" s="2" t="str">
        <f aca="false">IF($B161="","",INDEX(Datos_problemas!$D:$D,MATCH($A161,Datos_problemas!$AV:$AV,0)))</f>
        <v/>
      </c>
      <c r="E161" s="2" t="str">
        <f aca="false">IF($B161="","",COUNTIFS(Datos_problemas!$B:$B,$B161,Datos_problemas!$F:$F,"Evaluación"))</f>
        <v/>
      </c>
      <c r="F161" s="20" t="str">
        <f aca="false">IF($B161="","",IFERROR(AVERAGEIFS(Datos_problemas!$AE:$AE,Datos_problemas!$B:$B,$B161,Datos_problemas!$F:$F,"Evaluación"),""))</f>
        <v/>
      </c>
      <c r="G161" s="20" t="str">
        <f aca="false">IF($B161="","",IFERROR(AVERAGEIFS(Datos_problemas!$AE:$AE,Datos_problemas!$B:$B,$B161,Datos_problemas!$F:$F,"Evaluación",Datos_problemas!$E:$E,"Diagnóstico"),""))</f>
        <v/>
      </c>
      <c r="H161" s="20" t="str">
        <f aca="false">IF($B161="","",IFERROR(AVERAGEIFS(Datos_problemas!$AE:$AE,Datos_problemas!$B:$B,$B161,Datos_problemas!$F:$F,"Evaluación",Datos_problemas!$E:$E,"Final"),""))</f>
        <v/>
      </c>
      <c r="I161" s="21" t="str">
        <f aca="false">IF(OR(G161="",H161=""),"",IF(G161&gt;=10,"",(H161-G161)/(10-G161)))</f>
        <v/>
      </c>
      <c r="J161" s="18" t="str">
        <f aca="false">IF($B161="","",IFERROR(SUMIFS(Datos_items!$Z:$Z,Datos_items!$B:$B,$B161,Datos_items!$O:$O,J$4,Datos_items!$E:$E,Analisis_grupo!$C$4)/COUNTIFS(Datos_items!$B:$B,$B161,Datos_items!$O:$O,J$4,Datos_items!$E:$E,Analisis_grupo!$C$4),""))</f>
        <v/>
      </c>
      <c r="K161" s="18" t="str">
        <f aca="false">IF($B161="","",IFERROR(SUMIFS(Datos_items!$Z:$Z,Datos_items!$B:$B,$B161,Datos_items!$O:$O,K$4,Datos_items!$E:$E,Analisis_grupo!$C$4)/COUNTIFS(Datos_items!$B:$B,$B161,Datos_items!$O:$O,K$4,Datos_items!$E:$E,Analisis_grupo!$C$4),""))</f>
        <v/>
      </c>
      <c r="L161" s="18" t="str">
        <f aca="false">IF($B161="","",IFERROR(SUMIFS(Datos_items!$Z:$Z,Datos_items!$B:$B,$B161,Datos_items!$O:$O,L$4,Datos_items!$E:$E,Analisis_grupo!$C$4)/COUNTIFS(Datos_items!$B:$B,$B161,Datos_items!$O:$O,L$4,Datos_items!$E:$E,Analisis_grupo!$C$4),""))</f>
        <v/>
      </c>
      <c r="M161" s="18" t="str">
        <f aca="false">IF($B161="","",IFERROR(SUMIFS(Datos_items!$Z:$Z,Datos_items!$B:$B,$B161,Datos_items!$O:$O,M$4,Datos_items!$E:$E,Analisis_grupo!$C$4)/COUNTIFS(Datos_items!$B:$B,$B161,Datos_items!$O:$O,M$4,Datos_items!$E:$E,Analisis_grupo!$C$4),""))</f>
        <v/>
      </c>
      <c r="N161" s="18" t="str">
        <f aca="false">IF($B161="","",IFERROR(SUMIFS(Datos_items!$Z:$Z,Datos_items!$B:$B,$B161,Datos_items!$O:$O,N$4,Datos_items!$E:$E,Analisis_grupo!$C$4)/COUNTIFS(Datos_items!$B:$B,$B161,Datos_items!$O:$O,N$4,Datos_items!$E:$E,Analisis_grupo!$C$4),""))</f>
        <v/>
      </c>
      <c r="O161" s="18" t="str">
        <f aca="false">IF($B161="","",IFERROR(SUMIFS(Datos_items!$Z:$Z,Datos_items!$B:$B,$B161,Datos_items!$O:$O,O$4,Datos_items!$E:$E,Analisis_grupo!$C$4)/COUNTIFS(Datos_items!$B:$B,$B161,Datos_items!$O:$O,O$4,Datos_items!$E:$E,Analisis_grupo!$C$4),""))</f>
        <v/>
      </c>
      <c r="P161" s="18" t="str">
        <f aca="false">IF($B161="","",IFERROR(SUMIFS(Datos_items!$Z:$Z,Datos_items!$B:$B,$B161,Datos_items!$O:$O,P$4,Datos_items!$E:$E,Analisis_grupo!$C$4)/COUNTIFS(Datos_items!$B:$B,$B161,Datos_items!$O:$O,P$4,Datos_items!$E:$E,Analisis_grupo!$C$4),""))</f>
        <v/>
      </c>
      <c r="Q161" s="18" t="str">
        <f aca="false">IF($B161="","",IFERROR(SUMIFS(Datos_items!$Z:$Z,Datos_items!$B:$B,$B161,Datos_items!$O:$O,Q$4,Datos_items!$E:$E,Analisis_grupo!$C$4)/COUNTIFS(Datos_items!$B:$B,$B161,Datos_items!$O:$O,Q$4,Datos_items!$E:$E,Analisis_grupo!$C$4),""))</f>
        <v/>
      </c>
      <c r="R161" s="2" t="str">
        <f aca="false">IF(COUNT(J161:Q161)=0,"",IF(MIN(J161:Q161)&gt;=Analisis_grupo!$B$7,"(ninguna)",INDEX($J$4:$Q$4,MATCH(MIN(J161:Q161),J161:Q161,0))))</f>
        <v/>
      </c>
      <c r="S161" s="2" t="str">
        <f aca="false">IF($B161="","",COUNTIF(J161:Q161,"&lt;"&amp;Analisis_grupo!$B$7))</f>
        <v/>
      </c>
      <c r="T161" s="2" t="str">
        <f aca="false">IF($B161="","",COUNTIFS(Datos_items!$B:$B,$B161,Datos_items!$AA:$AA,T$4,Datos_items!$E:$E,Analisis_grupo!$C$4))</f>
        <v/>
      </c>
      <c r="U161" s="2" t="str">
        <f aca="false">IF($B161="","",COUNTIFS(Datos_items!$B:$B,$B161,Datos_items!$AA:$AA,U$4,Datos_items!$E:$E,Analisis_grupo!$C$4))</f>
        <v/>
      </c>
      <c r="V161" s="2" t="str">
        <f aca="false">IF($B161="","",COUNTIFS(Datos_items!$B:$B,$B161,Datos_items!$AA:$AA,V$4,Datos_items!$E:$E,Analisis_grupo!$C$4))</f>
        <v/>
      </c>
      <c r="W161" s="2" t="str">
        <f aca="false">IF($B161="","",COUNTIFS(Datos_items!$B:$B,$B161,Datos_items!$AA:$AA,W$4,Datos_items!$E:$E,Analisis_grupo!$C$4))</f>
        <v/>
      </c>
      <c r="X161" s="2" t="str">
        <f aca="false">IF($B161="","",COUNTIFS(Datos_items!$B:$B,$B161,Datos_items!$AA:$AA,X$4,Datos_items!$E:$E,Analisis_grupo!$C$4))</f>
        <v/>
      </c>
      <c r="Y161" s="2" t="str">
        <f aca="false">IF($B161="","",COUNTIFS(Datos_items!$B:$B,$B161,Datos_items!$AA:$AA,Y$4,Datos_items!$E:$E,Analisis_grupo!$C$4))</f>
        <v/>
      </c>
      <c r="Z161" s="2" t="str">
        <f aca="false">IF($B161="","",COUNTIFS(Datos_items!$B:$B,$B161,Datos_items!$AA:$AA,Z$4,Datos_items!$E:$E,Analisis_grupo!$C$4))</f>
        <v/>
      </c>
      <c r="AA161" s="2" t="str">
        <f aca="false">IF($B161="","",COUNTIFS(Datos_items!$B:$B,$B161,Datos_items!$AA:$AA,AA$4,Datos_items!$E:$E,Analisis_grupo!$C$4))</f>
        <v/>
      </c>
      <c r="AB161" s="2" t="str">
        <f aca="false">IF($B161="","",COUNTIFS(Datos_items!$B:$B,$B161,Datos_items!$AA:$AA,AB$4,Datos_items!$E:$E,Analisis_grupo!$C$4))</f>
        <v/>
      </c>
      <c r="AC161" s="2" t="str">
        <f aca="false">IF($B161="","",COUNTIFS(Datos_items!$B:$B,$B161,Datos_items!$AA:$AA,AC$4,Datos_items!$E:$E,Analisis_grupo!$C$4))</f>
        <v/>
      </c>
      <c r="AD161" s="2" t="str">
        <f aca="false">IF($B161="","",COUNTIFS(Datos_items!$B:$B,$B161,Datos_items!$AA:$AA,AD$4,Datos_items!$E:$E,Analisis_grupo!$C$4))</f>
        <v/>
      </c>
      <c r="AE161" s="2" t="str">
        <f aca="false">IF($B161="","",COUNTIFS(Datos_items!$B:$B,$B161,Datos_items!$AA:$AA,AE$4,Datos_items!$E:$E,Analisis_grupo!$C$4))</f>
        <v/>
      </c>
      <c r="AF161" s="2" t="str">
        <f aca="false">IF($B161="","",COUNTIFS(Datos_items!$B:$B,$B161,Datos_items!$AA:$AA,AF$4,Datos_items!$E:$E,Analisis_grupo!$C$4))</f>
        <v/>
      </c>
      <c r="AG161" s="2" t="str">
        <f aca="false">IF($B161="","",COUNTIFS(Datos_items!$B:$B,$B161,Datos_items!$AA:$AA,AG$4,Datos_items!$E:$E,Analisis_grupo!$C$4))</f>
        <v/>
      </c>
      <c r="AH161" s="2" t="str">
        <f aca="false">IF($B161="","",COUNTIFS(Datos_items!$B:$B,$B161,Datos_items!$AA:$AA,AH$4,Datos_items!$E:$E,Analisis_grupo!$C$4))</f>
        <v/>
      </c>
      <c r="AI161" s="2" t="str">
        <f aca="false">IF($B161="","",COUNTIFS(Datos_items!$B:$B,$B161,Datos_items!$AA:$AA,AI$4,Datos_items!$E:$E,Analisis_grupo!$C$4))</f>
        <v/>
      </c>
      <c r="AJ161" s="2" t="str">
        <f aca="false">IF($B161="","",COUNTIFS(Datos_items!$B:$B,$B161,Datos_items!$AA:$AA,AJ$4,Datos_items!$E:$E,Analisis_grupo!$C$4))</f>
        <v/>
      </c>
      <c r="AK161" s="2" t="str">
        <f aca="false">IF($B161="","",COUNTIFS(Datos_items!$B:$B,$B161,Datos_items!$AA:$AA,AK$4,Datos_items!$E:$E,Analisis_grupo!$C$4))</f>
        <v/>
      </c>
      <c r="AL161" s="2" t="str">
        <f aca="false">IF($B161="","",COUNTIFS(Datos_items!$B:$B,$B161,Datos_items!$AA:$AA,AL$4,Datos_items!$E:$E,Analisis_grupo!$C$4))</f>
        <v/>
      </c>
      <c r="AM161" s="2" t="str">
        <f aca="false">IF($B161="","",IF(MAX(Y161:AL161)=0,"",INDEX($Y$4:$AL$4,MATCH(MAX(Y161:AL161),Y161:AL161,0))))</f>
        <v/>
      </c>
      <c r="AN161" s="2" t="str">
        <f aca="false">IF($B161="","",COUNTIFS(Datos_problemas!$B:$B,$B161,Datos_problemas!$F:$F,"Práctica"))</f>
        <v/>
      </c>
      <c r="AO161" s="2" t="str">
        <f aca="false">IF($B161="","",SUMIFS(Datos_problemas!$AQ:$AQ,Datos_problemas!$B:$B,$B161,Datos_problemas!$F:$F,"Práctica"))</f>
        <v/>
      </c>
      <c r="AP161" s="2" t="str">
        <f aca="false">IF($B161="","",COUNTIFS(Datos_problemas!$B:$B,$B161,Datos_problemas!$F:$F,"Práctica",Datos_problemas!$AS:$AS,"Sí"))</f>
        <v/>
      </c>
    </row>
    <row r="162" customFormat="false" ht="15" hidden="false" customHeight="false" outlineLevel="0" collapsed="false">
      <c r="A162" s="2" t="n">
        <v>158</v>
      </c>
      <c r="B162" s="2" t="str">
        <f aca="false">IFERROR(INDEX(Datos_problemas!$B:$B,MATCH($A162,Datos_problemas!$AV:$AV,0)),"")</f>
        <v/>
      </c>
      <c r="C162" s="2" t="str">
        <f aca="false">IF($B162="","",INDEX(Datos_problemas!$C:$C,MATCH($A162,Datos_problemas!$AV:$AV,0)))</f>
        <v/>
      </c>
      <c r="D162" s="2" t="str">
        <f aca="false">IF($B162="","",INDEX(Datos_problemas!$D:$D,MATCH($A162,Datos_problemas!$AV:$AV,0)))</f>
        <v/>
      </c>
      <c r="E162" s="2" t="str">
        <f aca="false">IF($B162="","",COUNTIFS(Datos_problemas!$B:$B,$B162,Datos_problemas!$F:$F,"Evaluación"))</f>
        <v/>
      </c>
      <c r="F162" s="20" t="str">
        <f aca="false">IF($B162="","",IFERROR(AVERAGEIFS(Datos_problemas!$AE:$AE,Datos_problemas!$B:$B,$B162,Datos_problemas!$F:$F,"Evaluación"),""))</f>
        <v/>
      </c>
      <c r="G162" s="20" t="str">
        <f aca="false">IF($B162="","",IFERROR(AVERAGEIFS(Datos_problemas!$AE:$AE,Datos_problemas!$B:$B,$B162,Datos_problemas!$F:$F,"Evaluación",Datos_problemas!$E:$E,"Diagnóstico"),""))</f>
        <v/>
      </c>
      <c r="H162" s="20" t="str">
        <f aca="false">IF($B162="","",IFERROR(AVERAGEIFS(Datos_problemas!$AE:$AE,Datos_problemas!$B:$B,$B162,Datos_problemas!$F:$F,"Evaluación",Datos_problemas!$E:$E,"Final"),""))</f>
        <v/>
      </c>
      <c r="I162" s="21" t="str">
        <f aca="false">IF(OR(G162="",H162=""),"",IF(G162&gt;=10,"",(H162-G162)/(10-G162)))</f>
        <v/>
      </c>
      <c r="J162" s="18" t="str">
        <f aca="false">IF($B162="","",IFERROR(SUMIFS(Datos_items!$Z:$Z,Datos_items!$B:$B,$B162,Datos_items!$O:$O,J$4,Datos_items!$E:$E,Analisis_grupo!$C$4)/COUNTIFS(Datos_items!$B:$B,$B162,Datos_items!$O:$O,J$4,Datos_items!$E:$E,Analisis_grupo!$C$4),""))</f>
        <v/>
      </c>
      <c r="K162" s="18" t="str">
        <f aca="false">IF($B162="","",IFERROR(SUMIFS(Datos_items!$Z:$Z,Datos_items!$B:$B,$B162,Datos_items!$O:$O,K$4,Datos_items!$E:$E,Analisis_grupo!$C$4)/COUNTIFS(Datos_items!$B:$B,$B162,Datos_items!$O:$O,K$4,Datos_items!$E:$E,Analisis_grupo!$C$4),""))</f>
        <v/>
      </c>
      <c r="L162" s="18" t="str">
        <f aca="false">IF($B162="","",IFERROR(SUMIFS(Datos_items!$Z:$Z,Datos_items!$B:$B,$B162,Datos_items!$O:$O,L$4,Datos_items!$E:$E,Analisis_grupo!$C$4)/COUNTIFS(Datos_items!$B:$B,$B162,Datos_items!$O:$O,L$4,Datos_items!$E:$E,Analisis_grupo!$C$4),""))</f>
        <v/>
      </c>
      <c r="M162" s="18" t="str">
        <f aca="false">IF($B162="","",IFERROR(SUMIFS(Datos_items!$Z:$Z,Datos_items!$B:$B,$B162,Datos_items!$O:$O,M$4,Datos_items!$E:$E,Analisis_grupo!$C$4)/COUNTIFS(Datos_items!$B:$B,$B162,Datos_items!$O:$O,M$4,Datos_items!$E:$E,Analisis_grupo!$C$4),""))</f>
        <v/>
      </c>
      <c r="N162" s="18" t="str">
        <f aca="false">IF($B162="","",IFERROR(SUMIFS(Datos_items!$Z:$Z,Datos_items!$B:$B,$B162,Datos_items!$O:$O,N$4,Datos_items!$E:$E,Analisis_grupo!$C$4)/COUNTIFS(Datos_items!$B:$B,$B162,Datos_items!$O:$O,N$4,Datos_items!$E:$E,Analisis_grupo!$C$4),""))</f>
        <v/>
      </c>
      <c r="O162" s="18" t="str">
        <f aca="false">IF($B162="","",IFERROR(SUMIFS(Datos_items!$Z:$Z,Datos_items!$B:$B,$B162,Datos_items!$O:$O,O$4,Datos_items!$E:$E,Analisis_grupo!$C$4)/COUNTIFS(Datos_items!$B:$B,$B162,Datos_items!$O:$O,O$4,Datos_items!$E:$E,Analisis_grupo!$C$4),""))</f>
        <v/>
      </c>
      <c r="P162" s="18" t="str">
        <f aca="false">IF($B162="","",IFERROR(SUMIFS(Datos_items!$Z:$Z,Datos_items!$B:$B,$B162,Datos_items!$O:$O,P$4,Datos_items!$E:$E,Analisis_grupo!$C$4)/COUNTIFS(Datos_items!$B:$B,$B162,Datos_items!$O:$O,P$4,Datos_items!$E:$E,Analisis_grupo!$C$4),""))</f>
        <v/>
      </c>
      <c r="Q162" s="18" t="str">
        <f aca="false">IF($B162="","",IFERROR(SUMIFS(Datos_items!$Z:$Z,Datos_items!$B:$B,$B162,Datos_items!$O:$O,Q$4,Datos_items!$E:$E,Analisis_grupo!$C$4)/COUNTIFS(Datos_items!$B:$B,$B162,Datos_items!$O:$O,Q$4,Datos_items!$E:$E,Analisis_grupo!$C$4),""))</f>
        <v/>
      </c>
      <c r="R162" s="2" t="str">
        <f aca="false">IF(COUNT(J162:Q162)=0,"",IF(MIN(J162:Q162)&gt;=Analisis_grupo!$B$7,"(ninguna)",INDEX($J$4:$Q$4,MATCH(MIN(J162:Q162),J162:Q162,0))))</f>
        <v/>
      </c>
      <c r="S162" s="2" t="str">
        <f aca="false">IF($B162="","",COUNTIF(J162:Q162,"&lt;"&amp;Analisis_grupo!$B$7))</f>
        <v/>
      </c>
      <c r="T162" s="2" t="str">
        <f aca="false">IF($B162="","",COUNTIFS(Datos_items!$B:$B,$B162,Datos_items!$AA:$AA,T$4,Datos_items!$E:$E,Analisis_grupo!$C$4))</f>
        <v/>
      </c>
      <c r="U162" s="2" t="str">
        <f aca="false">IF($B162="","",COUNTIFS(Datos_items!$B:$B,$B162,Datos_items!$AA:$AA,U$4,Datos_items!$E:$E,Analisis_grupo!$C$4))</f>
        <v/>
      </c>
      <c r="V162" s="2" t="str">
        <f aca="false">IF($B162="","",COUNTIFS(Datos_items!$B:$B,$B162,Datos_items!$AA:$AA,V$4,Datos_items!$E:$E,Analisis_grupo!$C$4))</f>
        <v/>
      </c>
      <c r="W162" s="2" t="str">
        <f aca="false">IF($B162="","",COUNTIFS(Datos_items!$B:$B,$B162,Datos_items!$AA:$AA,W$4,Datos_items!$E:$E,Analisis_grupo!$C$4))</f>
        <v/>
      </c>
      <c r="X162" s="2" t="str">
        <f aca="false">IF($B162="","",COUNTIFS(Datos_items!$B:$B,$B162,Datos_items!$AA:$AA,X$4,Datos_items!$E:$E,Analisis_grupo!$C$4))</f>
        <v/>
      </c>
      <c r="Y162" s="2" t="str">
        <f aca="false">IF($B162="","",COUNTIFS(Datos_items!$B:$B,$B162,Datos_items!$AA:$AA,Y$4,Datos_items!$E:$E,Analisis_grupo!$C$4))</f>
        <v/>
      </c>
      <c r="Z162" s="2" t="str">
        <f aca="false">IF($B162="","",COUNTIFS(Datos_items!$B:$B,$B162,Datos_items!$AA:$AA,Z$4,Datos_items!$E:$E,Analisis_grupo!$C$4))</f>
        <v/>
      </c>
      <c r="AA162" s="2" t="str">
        <f aca="false">IF($B162="","",COUNTIFS(Datos_items!$B:$B,$B162,Datos_items!$AA:$AA,AA$4,Datos_items!$E:$E,Analisis_grupo!$C$4))</f>
        <v/>
      </c>
      <c r="AB162" s="2" t="str">
        <f aca="false">IF($B162="","",COUNTIFS(Datos_items!$B:$B,$B162,Datos_items!$AA:$AA,AB$4,Datos_items!$E:$E,Analisis_grupo!$C$4))</f>
        <v/>
      </c>
      <c r="AC162" s="2" t="str">
        <f aca="false">IF($B162="","",COUNTIFS(Datos_items!$B:$B,$B162,Datos_items!$AA:$AA,AC$4,Datos_items!$E:$E,Analisis_grupo!$C$4))</f>
        <v/>
      </c>
      <c r="AD162" s="2" t="str">
        <f aca="false">IF($B162="","",COUNTIFS(Datos_items!$B:$B,$B162,Datos_items!$AA:$AA,AD$4,Datos_items!$E:$E,Analisis_grupo!$C$4))</f>
        <v/>
      </c>
      <c r="AE162" s="2" t="str">
        <f aca="false">IF($B162="","",COUNTIFS(Datos_items!$B:$B,$B162,Datos_items!$AA:$AA,AE$4,Datos_items!$E:$E,Analisis_grupo!$C$4))</f>
        <v/>
      </c>
      <c r="AF162" s="2" t="str">
        <f aca="false">IF($B162="","",COUNTIFS(Datos_items!$B:$B,$B162,Datos_items!$AA:$AA,AF$4,Datos_items!$E:$E,Analisis_grupo!$C$4))</f>
        <v/>
      </c>
      <c r="AG162" s="2" t="str">
        <f aca="false">IF($B162="","",COUNTIFS(Datos_items!$B:$B,$B162,Datos_items!$AA:$AA,AG$4,Datos_items!$E:$E,Analisis_grupo!$C$4))</f>
        <v/>
      </c>
      <c r="AH162" s="2" t="str">
        <f aca="false">IF($B162="","",COUNTIFS(Datos_items!$B:$B,$B162,Datos_items!$AA:$AA,AH$4,Datos_items!$E:$E,Analisis_grupo!$C$4))</f>
        <v/>
      </c>
      <c r="AI162" s="2" t="str">
        <f aca="false">IF($B162="","",COUNTIFS(Datos_items!$B:$B,$B162,Datos_items!$AA:$AA,AI$4,Datos_items!$E:$E,Analisis_grupo!$C$4))</f>
        <v/>
      </c>
      <c r="AJ162" s="2" t="str">
        <f aca="false">IF($B162="","",COUNTIFS(Datos_items!$B:$B,$B162,Datos_items!$AA:$AA,AJ$4,Datos_items!$E:$E,Analisis_grupo!$C$4))</f>
        <v/>
      </c>
      <c r="AK162" s="2" t="str">
        <f aca="false">IF($B162="","",COUNTIFS(Datos_items!$B:$B,$B162,Datos_items!$AA:$AA,AK$4,Datos_items!$E:$E,Analisis_grupo!$C$4))</f>
        <v/>
      </c>
      <c r="AL162" s="2" t="str">
        <f aca="false">IF($B162="","",COUNTIFS(Datos_items!$B:$B,$B162,Datos_items!$AA:$AA,AL$4,Datos_items!$E:$E,Analisis_grupo!$C$4))</f>
        <v/>
      </c>
      <c r="AM162" s="2" t="str">
        <f aca="false">IF($B162="","",IF(MAX(Y162:AL162)=0,"",INDEX($Y$4:$AL$4,MATCH(MAX(Y162:AL162),Y162:AL162,0))))</f>
        <v/>
      </c>
      <c r="AN162" s="2" t="str">
        <f aca="false">IF($B162="","",COUNTIFS(Datos_problemas!$B:$B,$B162,Datos_problemas!$F:$F,"Práctica"))</f>
        <v/>
      </c>
      <c r="AO162" s="2" t="str">
        <f aca="false">IF($B162="","",SUMIFS(Datos_problemas!$AQ:$AQ,Datos_problemas!$B:$B,$B162,Datos_problemas!$F:$F,"Práctica"))</f>
        <v/>
      </c>
      <c r="AP162" s="2" t="str">
        <f aca="false">IF($B162="","",COUNTIFS(Datos_problemas!$B:$B,$B162,Datos_problemas!$F:$F,"Práctica",Datos_problemas!$AS:$AS,"Sí"))</f>
        <v/>
      </c>
    </row>
    <row r="163" customFormat="false" ht="15" hidden="false" customHeight="false" outlineLevel="0" collapsed="false">
      <c r="A163" s="2" t="n">
        <v>159</v>
      </c>
      <c r="B163" s="2" t="str">
        <f aca="false">IFERROR(INDEX(Datos_problemas!$B:$B,MATCH($A163,Datos_problemas!$AV:$AV,0)),"")</f>
        <v/>
      </c>
      <c r="C163" s="2" t="str">
        <f aca="false">IF($B163="","",INDEX(Datos_problemas!$C:$C,MATCH($A163,Datos_problemas!$AV:$AV,0)))</f>
        <v/>
      </c>
      <c r="D163" s="2" t="str">
        <f aca="false">IF($B163="","",INDEX(Datos_problemas!$D:$D,MATCH($A163,Datos_problemas!$AV:$AV,0)))</f>
        <v/>
      </c>
      <c r="E163" s="2" t="str">
        <f aca="false">IF($B163="","",COUNTIFS(Datos_problemas!$B:$B,$B163,Datos_problemas!$F:$F,"Evaluación"))</f>
        <v/>
      </c>
      <c r="F163" s="20" t="str">
        <f aca="false">IF($B163="","",IFERROR(AVERAGEIFS(Datos_problemas!$AE:$AE,Datos_problemas!$B:$B,$B163,Datos_problemas!$F:$F,"Evaluación"),""))</f>
        <v/>
      </c>
      <c r="G163" s="20" t="str">
        <f aca="false">IF($B163="","",IFERROR(AVERAGEIFS(Datos_problemas!$AE:$AE,Datos_problemas!$B:$B,$B163,Datos_problemas!$F:$F,"Evaluación",Datos_problemas!$E:$E,"Diagnóstico"),""))</f>
        <v/>
      </c>
      <c r="H163" s="20" t="str">
        <f aca="false">IF($B163="","",IFERROR(AVERAGEIFS(Datos_problemas!$AE:$AE,Datos_problemas!$B:$B,$B163,Datos_problemas!$F:$F,"Evaluación",Datos_problemas!$E:$E,"Final"),""))</f>
        <v/>
      </c>
      <c r="I163" s="21" t="str">
        <f aca="false">IF(OR(G163="",H163=""),"",IF(G163&gt;=10,"",(H163-G163)/(10-G163)))</f>
        <v/>
      </c>
      <c r="J163" s="18" t="str">
        <f aca="false">IF($B163="","",IFERROR(SUMIFS(Datos_items!$Z:$Z,Datos_items!$B:$B,$B163,Datos_items!$O:$O,J$4,Datos_items!$E:$E,Analisis_grupo!$C$4)/COUNTIFS(Datos_items!$B:$B,$B163,Datos_items!$O:$O,J$4,Datos_items!$E:$E,Analisis_grupo!$C$4),""))</f>
        <v/>
      </c>
      <c r="K163" s="18" t="str">
        <f aca="false">IF($B163="","",IFERROR(SUMIFS(Datos_items!$Z:$Z,Datos_items!$B:$B,$B163,Datos_items!$O:$O,K$4,Datos_items!$E:$E,Analisis_grupo!$C$4)/COUNTIFS(Datos_items!$B:$B,$B163,Datos_items!$O:$O,K$4,Datos_items!$E:$E,Analisis_grupo!$C$4),""))</f>
        <v/>
      </c>
      <c r="L163" s="18" t="str">
        <f aca="false">IF($B163="","",IFERROR(SUMIFS(Datos_items!$Z:$Z,Datos_items!$B:$B,$B163,Datos_items!$O:$O,L$4,Datos_items!$E:$E,Analisis_grupo!$C$4)/COUNTIFS(Datos_items!$B:$B,$B163,Datos_items!$O:$O,L$4,Datos_items!$E:$E,Analisis_grupo!$C$4),""))</f>
        <v/>
      </c>
      <c r="M163" s="18" t="str">
        <f aca="false">IF($B163="","",IFERROR(SUMIFS(Datos_items!$Z:$Z,Datos_items!$B:$B,$B163,Datos_items!$O:$O,M$4,Datos_items!$E:$E,Analisis_grupo!$C$4)/COUNTIFS(Datos_items!$B:$B,$B163,Datos_items!$O:$O,M$4,Datos_items!$E:$E,Analisis_grupo!$C$4),""))</f>
        <v/>
      </c>
      <c r="N163" s="18" t="str">
        <f aca="false">IF($B163="","",IFERROR(SUMIFS(Datos_items!$Z:$Z,Datos_items!$B:$B,$B163,Datos_items!$O:$O,N$4,Datos_items!$E:$E,Analisis_grupo!$C$4)/COUNTIFS(Datos_items!$B:$B,$B163,Datos_items!$O:$O,N$4,Datos_items!$E:$E,Analisis_grupo!$C$4),""))</f>
        <v/>
      </c>
      <c r="O163" s="18" t="str">
        <f aca="false">IF($B163="","",IFERROR(SUMIFS(Datos_items!$Z:$Z,Datos_items!$B:$B,$B163,Datos_items!$O:$O,O$4,Datos_items!$E:$E,Analisis_grupo!$C$4)/COUNTIFS(Datos_items!$B:$B,$B163,Datos_items!$O:$O,O$4,Datos_items!$E:$E,Analisis_grupo!$C$4),""))</f>
        <v/>
      </c>
      <c r="P163" s="18" t="str">
        <f aca="false">IF($B163="","",IFERROR(SUMIFS(Datos_items!$Z:$Z,Datos_items!$B:$B,$B163,Datos_items!$O:$O,P$4,Datos_items!$E:$E,Analisis_grupo!$C$4)/COUNTIFS(Datos_items!$B:$B,$B163,Datos_items!$O:$O,P$4,Datos_items!$E:$E,Analisis_grupo!$C$4),""))</f>
        <v/>
      </c>
      <c r="Q163" s="18" t="str">
        <f aca="false">IF($B163="","",IFERROR(SUMIFS(Datos_items!$Z:$Z,Datos_items!$B:$B,$B163,Datos_items!$O:$O,Q$4,Datos_items!$E:$E,Analisis_grupo!$C$4)/COUNTIFS(Datos_items!$B:$B,$B163,Datos_items!$O:$O,Q$4,Datos_items!$E:$E,Analisis_grupo!$C$4),""))</f>
        <v/>
      </c>
      <c r="R163" s="2" t="str">
        <f aca="false">IF(COUNT(J163:Q163)=0,"",IF(MIN(J163:Q163)&gt;=Analisis_grupo!$B$7,"(ninguna)",INDEX($J$4:$Q$4,MATCH(MIN(J163:Q163),J163:Q163,0))))</f>
        <v/>
      </c>
      <c r="S163" s="2" t="str">
        <f aca="false">IF($B163="","",COUNTIF(J163:Q163,"&lt;"&amp;Analisis_grupo!$B$7))</f>
        <v/>
      </c>
      <c r="T163" s="2" t="str">
        <f aca="false">IF($B163="","",COUNTIFS(Datos_items!$B:$B,$B163,Datos_items!$AA:$AA,T$4,Datos_items!$E:$E,Analisis_grupo!$C$4))</f>
        <v/>
      </c>
      <c r="U163" s="2" t="str">
        <f aca="false">IF($B163="","",COUNTIFS(Datos_items!$B:$B,$B163,Datos_items!$AA:$AA,U$4,Datos_items!$E:$E,Analisis_grupo!$C$4))</f>
        <v/>
      </c>
      <c r="V163" s="2" t="str">
        <f aca="false">IF($B163="","",COUNTIFS(Datos_items!$B:$B,$B163,Datos_items!$AA:$AA,V$4,Datos_items!$E:$E,Analisis_grupo!$C$4))</f>
        <v/>
      </c>
      <c r="W163" s="2" t="str">
        <f aca="false">IF($B163="","",COUNTIFS(Datos_items!$B:$B,$B163,Datos_items!$AA:$AA,W$4,Datos_items!$E:$E,Analisis_grupo!$C$4))</f>
        <v/>
      </c>
      <c r="X163" s="2" t="str">
        <f aca="false">IF($B163="","",COUNTIFS(Datos_items!$B:$B,$B163,Datos_items!$AA:$AA,X$4,Datos_items!$E:$E,Analisis_grupo!$C$4))</f>
        <v/>
      </c>
      <c r="Y163" s="2" t="str">
        <f aca="false">IF($B163="","",COUNTIFS(Datos_items!$B:$B,$B163,Datos_items!$AA:$AA,Y$4,Datos_items!$E:$E,Analisis_grupo!$C$4))</f>
        <v/>
      </c>
      <c r="Z163" s="2" t="str">
        <f aca="false">IF($B163="","",COUNTIFS(Datos_items!$B:$B,$B163,Datos_items!$AA:$AA,Z$4,Datos_items!$E:$E,Analisis_grupo!$C$4))</f>
        <v/>
      </c>
      <c r="AA163" s="2" t="str">
        <f aca="false">IF($B163="","",COUNTIFS(Datos_items!$B:$B,$B163,Datos_items!$AA:$AA,AA$4,Datos_items!$E:$E,Analisis_grupo!$C$4))</f>
        <v/>
      </c>
      <c r="AB163" s="2" t="str">
        <f aca="false">IF($B163="","",COUNTIFS(Datos_items!$B:$B,$B163,Datos_items!$AA:$AA,AB$4,Datos_items!$E:$E,Analisis_grupo!$C$4))</f>
        <v/>
      </c>
      <c r="AC163" s="2" t="str">
        <f aca="false">IF($B163="","",COUNTIFS(Datos_items!$B:$B,$B163,Datos_items!$AA:$AA,AC$4,Datos_items!$E:$E,Analisis_grupo!$C$4))</f>
        <v/>
      </c>
      <c r="AD163" s="2" t="str">
        <f aca="false">IF($B163="","",COUNTIFS(Datos_items!$B:$B,$B163,Datos_items!$AA:$AA,AD$4,Datos_items!$E:$E,Analisis_grupo!$C$4))</f>
        <v/>
      </c>
      <c r="AE163" s="2" t="str">
        <f aca="false">IF($B163="","",COUNTIFS(Datos_items!$B:$B,$B163,Datos_items!$AA:$AA,AE$4,Datos_items!$E:$E,Analisis_grupo!$C$4))</f>
        <v/>
      </c>
      <c r="AF163" s="2" t="str">
        <f aca="false">IF($B163="","",COUNTIFS(Datos_items!$B:$B,$B163,Datos_items!$AA:$AA,AF$4,Datos_items!$E:$E,Analisis_grupo!$C$4))</f>
        <v/>
      </c>
      <c r="AG163" s="2" t="str">
        <f aca="false">IF($B163="","",COUNTIFS(Datos_items!$B:$B,$B163,Datos_items!$AA:$AA,AG$4,Datos_items!$E:$E,Analisis_grupo!$C$4))</f>
        <v/>
      </c>
      <c r="AH163" s="2" t="str">
        <f aca="false">IF($B163="","",COUNTIFS(Datos_items!$B:$B,$B163,Datos_items!$AA:$AA,AH$4,Datos_items!$E:$E,Analisis_grupo!$C$4))</f>
        <v/>
      </c>
      <c r="AI163" s="2" t="str">
        <f aca="false">IF($B163="","",COUNTIFS(Datos_items!$B:$B,$B163,Datos_items!$AA:$AA,AI$4,Datos_items!$E:$E,Analisis_grupo!$C$4))</f>
        <v/>
      </c>
      <c r="AJ163" s="2" t="str">
        <f aca="false">IF($B163="","",COUNTIFS(Datos_items!$B:$B,$B163,Datos_items!$AA:$AA,AJ$4,Datos_items!$E:$E,Analisis_grupo!$C$4))</f>
        <v/>
      </c>
      <c r="AK163" s="2" t="str">
        <f aca="false">IF($B163="","",COUNTIFS(Datos_items!$B:$B,$B163,Datos_items!$AA:$AA,AK$4,Datos_items!$E:$E,Analisis_grupo!$C$4))</f>
        <v/>
      </c>
      <c r="AL163" s="2" t="str">
        <f aca="false">IF($B163="","",COUNTIFS(Datos_items!$B:$B,$B163,Datos_items!$AA:$AA,AL$4,Datos_items!$E:$E,Analisis_grupo!$C$4))</f>
        <v/>
      </c>
      <c r="AM163" s="2" t="str">
        <f aca="false">IF($B163="","",IF(MAX(Y163:AL163)=0,"",INDEX($Y$4:$AL$4,MATCH(MAX(Y163:AL163),Y163:AL163,0))))</f>
        <v/>
      </c>
      <c r="AN163" s="2" t="str">
        <f aca="false">IF($B163="","",COUNTIFS(Datos_problemas!$B:$B,$B163,Datos_problemas!$F:$F,"Práctica"))</f>
        <v/>
      </c>
      <c r="AO163" s="2" t="str">
        <f aca="false">IF($B163="","",SUMIFS(Datos_problemas!$AQ:$AQ,Datos_problemas!$B:$B,$B163,Datos_problemas!$F:$F,"Práctica"))</f>
        <v/>
      </c>
      <c r="AP163" s="2" t="str">
        <f aca="false">IF($B163="","",COUNTIFS(Datos_problemas!$B:$B,$B163,Datos_problemas!$F:$F,"Práctica",Datos_problemas!$AS:$AS,"Sí"))</f>
        <v/>
      </c>
    </row>
    <row r="164" customFormat="false" ht="15" hidden="false" customHeight="false" outlineLevel="0" collapsed="false">
      <c r="A164" s="2" t="n">
        <v>160</v>
      </c>
      <c r="B164" s="2" t="str">
        <f aca="false">IFERROR(INDEX(Datos_problemas!$B:$B,MATCH($A164,Datos_problemas!$AV:$AV,0)),"")</f>
        <v/>
      </c>
      <c r="C164" s="2" t="str">
        <f aca="false">IF($B164="","",INDEX(Datos_problemas!$C:$C,MATCH($A164,Datos_problemas!$AV:$AV,0)))</f>
        <v/>
      </c>
      <c r="D164" s="2" t="str">
        <f aca="false">IF($B164="","",INDEX(Datos_problemas!$D:$D,MATCH($A164,Datos_problemas!$AV:$AV,0)))</f>
        <v/>
      </c>
      <c r="E164" s="2" t="str">
        <f aca="false">IF($B164="","",COUNTIFS(Datos_problemas!$B:$B,$B164,Datos_problemas!$F:$F,"Evaluación"))</f>
        <v/>
      </c>
      <c r="F164" s="20" t="str">
        <f aca="false">IF($B164="","",IFERROR(AVERAGEIFS(Datos_problemas!$AE:$AE,Datos_problemas!$B:$B,$B164,Datos_problemas!$F:$F,"Evaluación"),""))</f>
        <v/>
      </c>
      <c r="G164" s="20" t="str">
        <f aca="false">IF($B164="","",IFERROR(AVERAGEIFS(Datos_problemas!$AE:$AE,Datos_problemas!$B:$B,$B164,Datos_problemas!$F:$F,"Evaluación",Datos_problemas!$E:$E,"Diagnóstico"),""))</f>
        <v/>
      </c>
      <c r="H164" s="20" t="str">
        <f aca="false">IF($B164="","",IFERROR(AVERAGEIFS(Datos_problemas!$AE:$AE,Datos_problemas!$B:$B,$B164,Datos_problemas!$F:$F,"Evaluación",Datos_problemas!$E:$E,"Final"),""))</f>
        <v/>
      </c>
      <c r="I164" s="21" t="str">
        <f aca="false">IF(OR(G164="",H164=""),"",IF(G164&gt;=10,"",(H164-G164)/(10-G164)))</f>
        <v/>
      </c>
      <c r="J164" s="18" t="str">
        <f aca="false">IF($B164="","",IFERROR(SUMIFS(Datos_items!$Z:$Z,Datos_items!$B:$B,$B164,Datos_items!$O:$O,J$4,Datos_items!$E:$E,Analisis_grupo!$C$4)/COUNTIFS(Datos_items!$B:$B,$B164,Datos_items!$O:$O,J$4,Datos_items!$E:$E,Analisis_grupo!$C$4),""))</f>
        <v/>
      </c>
      <c r="K164" s="18" t="str">
        <f aca="false">IF($B164="","",IFERROR(SUMIFS(Datos_items!$Z:$Z,Datos_items!$B:$B,$B164,Datos_items!$O:$O,K$4,Datos_items!$E:$E,Analisis_grupo!$C$4)/COUNTIFS(Datos_items!$B:$B,$B164,Datos_items!$O:$O,K$4,Datos_items!$E:$E,Analisis_grupo!$C$4),""))</f>
        <v/>
      </c>
      <c r="L164" s="18" t="str">
        <f aca="false">IF($B164="","",IFERROR(SUMIFS(Datos_items!$Z:$Z,Datos_items!$B:$B,$B164,Datos_items!$O:$O,L$4,Datos_items!$E:$E,Analisis_grupo!$C$4)/COUNTIFS(Datos_items!$B:$B,$B164,Datos_items!$O:$O,L$4,Datos_items!$E:$E,Analisis_grupo!$C$4),""))</f>
        <v/>
      </c>
      <c r="M164" s="18" t="str">
        <f aca="false">IF($B164="","",IFERROR(SUMIFS(Datos_items!$Z:$Z,Datos_items!$B:$B,$B164,Datos_items!$O:$O,M$4,Datos_items!$E:$E,Analisis_grupo!$C$4)/COUNTIFS(Datos_items!$B:$B,$B164,Datos_items!$O:$O,M$4,Datos_items!$E:$E,Analisis_grupo!$C$4),""))</f>
        <v/>
      </c>
      <c r="N164" s="18" t="str">
        <f aca="false">IF($B164="","",IFERROR(SUMIFS(Datos_items!$Z:$Z,Datos_items!$B:$B,$B164,Datos_items!$O:$O,N$4,Datos_items!$E:$E,Analisis_grupo!$C$4)/COUNTIFS(Datos_items!$B:$B,$B164,Datos_items!$O:$O,N$4,Datos_items!$E:$E,Analisis_grupo!$C$4),""))</f>
        <v/>
      </c>
      <c r="O164" s="18" t="str">
        <f aca="false">IF($B164="","",IFERROR(SUMIFS(Datos_items!$Z:$Z,Datos_items!$B:$B,$B164,Datos_items!$O:$O,O$4,Datos_items!$E:$E,Analisis_grupo!$C$4)/COUNTIFS(Datos_items!$B:$B,$B164,Datos_items!$O:$O,O$4,Datos_items!$E:$E,Analisis_grupo!$C$4),""))</f>
        <v/>
      </c>
      <c r="P164" s="18" t="str">
        <f aca="false">IF($B164="","",IFERROR(SUMIFS(Datos_items!$Z:$Z,Datos_items!$B:$B,$B164,Datos_items!$O:$O,P$4,Datos_items!$E:$E,Analisis_grupo!$C$4)/COUNTIFS(Datos_items!$B:$B,$B164,Datos_items!$O:$O,P$4,Datos_items!$E:$E,Analisis_grupo!$C$4),""))</f>
        <v/>
      </c>
      <c r="Q164" s="18" t="str">
        <f aca="false">IF($B164="","",IFERROR(SUMIFS(Datos_items!$Z:$Z,Datos_items!$B:$B,$B164,Datos_items!$O:$O,Q$4,Datos_items!$E:$E,Analisis_grupo!$C$4)/COUNTIFS(Datos_items!$B:$B,$B164,Datos_items!$O:$O,Q$4,Datos_items!$E:$E,Analisis_grupo!$C$4),""))</f>
        <v/>
      </c>
      <c r="R164" s="2" t="str">
        <f aca="false">IF(COUNT(J164:Q164)=0,"",IF(MIN(J164:Q164)&gt;=Analisis_grupo!$B$7,"(ninguna)",INDEX($J$4:$Q$4,MATCH(MIN(J164:Q164),J164:Q164,0))))</f>
        <v/>
      </c>
      <c r="S164" s="2" t="str">
        <f aca="false">IF($B164="","",COUNTIF(J164:Q164,"&lt;"&amp;Analisis_grupo!$B$7))</f>
        <v/>
      </c>
      <c r="T164" s="2" t="str">
        <f aca="false">IF($B164="","",COUNTIFS(Datos_items!$B:$B,$B164,Datos_items!$AA:$AA,T$4,Datos_items!$E:$E,Analisis_grupo!$C$4))</f>
        <v/>
      </c>
      <c r="U164" s="2" t="str">
        <f aca="false">IF($B164="","",COUNTIFS(Datos_items!$B:$B,$B164,Datos_items!$AA:$AA,U$4,Datos_items!$E:$E,Analisis_grupo!$C$4))</f>
        <v/>
      </c>
      <c r="V164" s="2" t="str">
        <f aca="false">IF($B164="","",COUNTIFS(Datos_items!$B:$B,$B164,Datos_items!$AA:$AA,V$4,Datos_items!$E:$E,Analisis_grupo!$C$4))</f>
        <v/>
      </c>
      <c r="W164" s="2" t="str">
        <f aca="false">IF($B164="","",COUNTIFS(Datos_items!$B:$B,$B164,Datos_items!$AA:$AA,W$4,Datos_items!$E:$E,Analisis_grupo!$C$4))</f>
        <v/>
      </c>
      <c r="X164" s="2" t="str">
        <f aca="false">IF($B164="","",COUNTIFS(Datos_items!$B:$B,$B164,Datos_items!$AA:$AA,X$4,Datos_items!$E:$E,Analisis_grupo!$C$4))</f>
        <v/>
      </c>
      <c r="Y164" s="2" t="str">
        <f aca="false">IF($B164="","",COUNTIFS(Datos_items!$B:$B,$B164,Datos_items!$AA:$AA,Y$4,Datos_items!$E:$E,Analisis_grupo!$C$4))</f>
        <v/>
      </c>
      <c r="Z164" s="2" t="str">
        <f aca="false">IF($B164="","",COUNTIFS(Datos_items!$B:$B,$B164,Datos_items!$AA:$AA,Z$4,Datos_items!$E:$E,Analisis_grupo!$C$4))</f>
        <v/>
      </c>
      <c r="AA164" s="2" t="str">
        <f aca="false">IF($B164="","",COUNTIFS(Datos_items!$B:$B,$B164,Datos_items!$AA:$AA,AA$4,Datos_items!$E:$E,Analisis_grupo!$C$4))</f>
        <v/>
      </c>
      <c r="AB164" s="2" t="str">
        <f aca="false">IF($B164="","",COUNTIFS(Datos_items!$B:$B,$B164,Datos_items!$AA:$AA,AB$4,Datos_items!$E:$E,Analisis_grupo!$C$4))</f>
        <v/>
      </c>
      <c r="AC164" s="2" t="str">
        <f aca="false">IF($B164="","",COUNTIFS(Datos_items!$B:$B,$B164,Datos_items!$AA:$AA,AC$4,Datos_items!$E:$E,Analisis_grupo!$C$4))</f>
        <v/>
      </c>
      <c r="AD164" s="2" t="str">
        <f aca="false">IF($B164="","",COUNTIFS(Datos_items!$B:$B,$B164,Datos_items!$AA:$AA,AD$4,Datos_items!$E:$E,Analisis_grupo!$C$4))</f>
        <v/>
      </c>
      <c r="AE164" s="2" t="str">
        <f aca="false">IF($B164="","",COUNTIFS(Datos_items!$B:$B,$B164,Datos_items!$AA:$AA,AE$4,Datos_items!$E:$E,Analisis_grupo!$C$4))</f>
        <v/>
      </c>
      <c r="AF164" s="2" t="str">
        <f aca="false">IF($B164="","",COUNTIFS(Datos_items!$B:$B,$B164,Datos_items!$AA:$AA,AF$4,Datos_items!$E:$E,Analisis_grupo!$C$4))</f>
        <v/>
      </c>
      <c r="AG164" s="2" t="str">
        <f aca="false">IF($B164="","",COUNTIFS(Datos_items!$B:$B,$B164,Datos_items!$AA:$AA,AG$4,Datos_items!$E:$E,Analisis_grupo!$C$4))</f>
        <v/>
      </c>
      <c r="AH164" s="2" t="str">
        <f aca="false">IF($B164="","",COUNTIFS(Datos_items!$B:$B,$B164,Datos_items!$AA:$AA,AH$4,Datos_items!$E:$E,Analisis_grupo!$C$4))</f>
        <v/>
      </c>
      <c r="AI164" s="2" t="str">
        <f aca="false">IF($B164="","",COUNTIFS(Datos_items!$B:$B,$B164,Datos_items!$AA:$AA,AI$4,Datos_items!$E:$E,Analisis_grupo!$C$4))</f>
        <v/>
      </c>
      <c r="AJ164" s="2" t="str">
        <f aca="false">IF($B164="","",COUNTIFS(Datos_items!$B:$B,$B164,Datos_items!$AA:$AA,AJ$4,Datos_items!$E:$E,Analisis_grupo!$C$4))</f>
        <v/>
      </c>
      <c r="AK164" s="2" t="str">
        <f aca="false">IF($B164="","",COUNTIFS(Datos_items!$B:$B,$B164,Datos_items!$AA:$AA,AK$4,Datos_items!$E:$E,Analisis_grupo!$C$4))</f>
        <v/>
      </c>
      <c r="AL164" s="2" t="str">
        <f aca="false">IF($B164="","",COUNTIFS(Datos_items!$B:$B,$B164,Datos_items!$AA:$AA,AL$4,Datos_items!$E:$E,Analisis_grupo!$C$4))</f>
        <v/>
      </c>
      <c r="AM164" s="2" t="str">
        <f aca="false">IF($B164="","",IF(MAX(Y164:AL164)=0,"",INDEX($Y$4:$AL$4,MATCH(MAX(Y164:AL164),Y164:AL164,0))))</f>
        <v/>
      </c>
      <c r="AN164" s="2" t="str">
        <f aca="false">IF($B164="","",COUNTIFS(Datos_problemas!$B:$B,$B164,Datos_problemas!$F:$F,"Práctica"))</f>
        <v/>
      </c>
      <c r="AO164" s="2" t="str">
        <f aca="false">IF($B164="","",SUMIFS(Datos_problemas!$AQ:$AQ,Datos_problemas!$B:$B,$B164,Datos_problemas!$F:$F,"Práctica"))</f>
        <v/>
      </c>
      <c r="AP164" s="2" t="str">
        <f aca="false">IF($B164="","",COUNTIFS(Datos_problemas!$B:$B,$B164,Datos_problemas!$F:$F,"Práctica",Datos_problemas!$AS:$AS,"Sí"))</f>
        <v/>
      </c>
    </row>
    <row r="165" customFormat="false" ht="15" hidden="false" customHeight="false" outlineLevel="0" collapsed="false">
      <c r="A165" s="2" t="n">
        <v>161</v>
      </c>
      <c r="B165" s="2" t="str">
        <f aca="false">IFERROR(INDEX(Datos_problemas!$B:$B,MATCH($A165,Datos_problemas!$AV:$AV,0)),"")</f>
        <v/>
      </c>
      <c r="C165" s="2" t="str">
        <f aca="false">IF($B165="","",INDEX(Datos_problemas!$C:$C,MATCH($A165,Datos_problemas!$AV:$AV,0)))</f>
        <v/>
      </c>
      <c r="D165" s="2" t="str">
        <f aca="false">IF($B165="","",INDEX(Datos_problemas!$D:$D,MATCH($A165,Datos_problemas!$AV:$AV,0)))</f>
        <v/>
      </c>
      <c r="E165" s="2" t="str">
        <f aca="false">IF($B165="","",COUNTIFS(Datos_problemas!$B:$B,$B165,Datos_problemas!$F:$F,"Evaluación"))</f>
        <v/>
      </c>
      <c r="F165" s="20" t="str">
        <f aca="false">IF($B165="","",IFERROR(AVERAGEIFS(Datos_problemas!$AE:$AE,Datos_problemas!$B:$B,$B165,Datos_problemas!$F:$F,"Evaluación"),""))</f>
        <v/>
      </c>
      <c r="G165" s="20" t="str">
        <f aca="false">IF($B165="","",IFERROR(AVERAGEIFS(Datos_problemas!$AE:$AE,Datos_problemas!$B:$B,$B165,Datos_problemas!$F:$F,"Evaluación",Datos_problemas!$E:$E,"Diagnóstico"),""))</f>
        <v/>
      </c>
      <c r="H165" s="20" t="str">
        <f aca="false">IF($B165="","",IFERROR(AVERAGEIFS(Datos_problemas!$AE:$AE,Datos_problemas!$B:$B,$B165,Datos_problemas!$F:$F,"Evaluación",Datos_problemas!$E:$E,"Final"),""))</f>
        <v/>
      </c>
      <c r="I165" s="21" t="str">
        <f aca="false">IF(OR(G165="",H165=""),"",IF(G165&gt;=10,"",(H165-G165)/(10-G165)))</f>
        <v/>
      </c>
      <c r="J165" s="18" t="str">
        <f aca="false">IF($B165="","",IFERROR(SUMIFS(Datos_items!$Z:$Z,Datos_items!$B:$B,$B165,Datos_items!$O:$O,J$4,Datos_items!$E:$E,Analisis_grupo!$C$4)/COUNTIFS(Datos_items!$B:$B,$B165,Datos_items!$O:$O,J$4,Datos_items!$E:$E,Analisis_grupo!$C$4),""))</f>
        <v/>
      </c>
      <c r="K165" s="18" t="str">
        <f aca="false">IF($B165="","",IFERROR(SUMIFS(Datos_items!$Z:$Z,Datos_items!$B:$B,$B165,Datos_items!$O:$O,K$4,Datos_items!$E:$E,Analisis_grupo!$C$4)/COUNTIFS(Datos_items!$B:$B,$B165,Datos_items!$O:$O,K$4,Datos_items!$E:$E,Analisis_grupo!$C$4),""))</f>
        <v/>
      </c>
      <c r="L165" s="18" t="str">
        <f aca="false">IF($B165="","",IFERROR(SUMIFS(Datos_items!$Z:$Z,Datos_items!$B:$B,$B165,Datos_items!$O:$O,L$4,Datos_items!$E:$E,Analisis_grupo!$C$4)/COUNTIFS(Datos_items!$B:$B,$B165,Datos_items!$O:$O,L$4,Datos_items!$E:$E,Analisis_grupo!$C$4),""))</f>
        <v/>
      </c>
      <c r="M165" s="18" t="str">
        <f aca="false">IF($B165="","",IFERROR(SUMIFS(Datos_items!$Z:$Z,Datos_items!$B:$B,$B165,Datos_items!$O:$O,M$4,Datos_items!$E:$E,Analisis_grupo!$C$4)/COUNTIFS(Datos_items!$B:$B,$B165,Datos_items!$O:$O,M$4,Datos_items!$E:$E,Analisis_grupo!$C$4),""))</f>
        <v/>
      </c>
      <c r="N165" s="18" t="str">
        <f aca="false">IF($B165="","",IFERROR(SUMIFS(Datos_items!$Z:$Z,Datos_items!$B:$B,$B165,Datos_items!$O:$O,N$4,Datos_items!$E:$E,Analisis_grupo!$C$4)/COUNTIFS(Datos_items!$B:$B,$B165,Datos_items!$O:$O,N$4,Datos_items!$E:$E,Analisis_grupo!$C$4),""))</f>
        <v/>
      </c>
      <c r="O165" s="18" t="str">
        <f aca="false">IF($B165="","",IFERROR(SUMIFS(Datos_items!$Z:$Z,Datos_items!$B:$B,$B165,Datos_items!$O:$O,O$4,Datos_items!$E:$E,Analisis_grupo!$C$4)/COUNTIFS(Datos_items!$B:$B,$B165,Datos_items!$O:$O,O$4,Datos_items!$E:$E,Analisis_grupo!$C$4),""))</f>
        <v/>
      </c>
      <c r="P165" s="18" t="str">
        <f aca="false">IF($B165="","",IFERROR(SUMIFS(Datos_items!$Z:$Z,Datos_items!$B:$B,$B165,Datos_items!$O:$O,P$4,Datos_items!$E:$E,Analisis_grupo!$C$4)/COUNTIFS(Datos_items!$B:$B,$B165,Datos_items!$O:$O,P$4,Datos_items!$E:$E,Analisis_grupo!$C$4),""))</f>
        <v/>
      </c>
      <c r="Q165" s="18" t="str">
        <f aca="false">IF($B165="","",IFERROR(SUMIFS(Datos_items!$Z:$Z,Datos_items!$B:$B,$B165,Datos_items!$O:$O,Q$4,Datos_items!$E:$E,Analisis_grupo!$C$4)/COUNTIFS(Datos_items!$B:$B,$B165,Datos_items!$O:$O,Q$4,Datos_items!$E:$E,Analisis_grupo!$C$4),""))</f>
        <v/>
      </c>
      <c r="R165" s="2" t="str">
        <f aca="false">IF(COUNT(J165:Q165)=0,"",IF(MIN(J165:Q165)&gt;=Analisis_grupo!$B$7,"(ninguna)",INDEX($J$4:$Q$4,MATCH(MIN(J165:Q165),J165:Q165,0))))</f>
        <v/>
      </c>
      <c r="S165" s="2" t="str">
        <f aca="false">IF($B165="","",COUNTIF(J165:Q165,"&lt;"&amp;Analisis_grupo!$B$7))</f>
        <v/>
      </c>
      <c r="T165" s="2" t="str">
        <f aca="false">IF($B165="","",COUNTIFS(Datos_items!$B:$B,$B165,Datos_items!$AA:$AA,T$4,Datos_items!$E:$E,Analisis_grupo!$C$4))</f>
        <v/>
      </c>
      <c r="U165" s="2" t="str">
        <f aca="false">IF($B165="","",COUNTIFS(Datos_items!$B:$B,$B165,Datos_items!$AA:$AA,U$4,Datos_items!$E:$E,Analisis_grupo!$C$4))</f>
        <v/>
      </c>
      <c r="V165" s="2" t="str">
        <f aca="false">IF($B165="","",COUNTIFS(Datos_items!$B:$B,$B165,Datos_items!$AA:$AA,V$4,Datos_items!$E:$E,Analisis_grupo!$C$4))</f>
        <v/>
      </c>
      <c r="W165" s="2" t="str">
        <f aca="false">IF($B165="","",COUNTIFS(Datos_items!$B:$B,$B165,Datos_items!$AA:$AA,W$4,Datos_items!$E:$E,Analisis_grupo!$C$4))</f>
        <v/>
      </c>
      <c r="X165" s="2" t="str">
        <f aca="false">IF($B165="","",COUNTIFS(Datos_items!$B:$B,$B165,Datos_items!$AA:$AA,X$4,Datos_items!$E:$E,Analisis_grupo!$C$4))</f>
        <v/>
      </c>
      <c r="Y165" s="2" t="str">
        <f aca="false">IF($B165="","",COUNTIFS(Datos_items!$B:$B,$B165,Datos_items!$AA:$AA,Y$4,Datos_items!$E:$E,Analisis_grupo!$C$4))</f>
        <v/>
      </c>
      <c r="Z165" s="2" t="str">
        <f aca="false">IF($B165="","",COUNTIFS(Datos_items!$B:$B,$B165,Datos_items!$AA:$AA,Z$4,Datos_items!$E:$E,Analisis_grupo!$C$4))</f>
        <v/>
      </c>
      <c r="AA165" s="2" t="str">
        <f aca="false">IF($B165="","",COUNTIFS(Datos_items!$B:$B,$B165,Datos_items!$AA:$AA,AA$4,Datos_items!$E:$E,Analisis_grupo!$C$4))</f>
        <v/>
      </c>
      <c r="AB165" s="2" t="str">
        <f aca="false">IF($B165="","",COUNTIFS(Datos_items!$B:$B,$B165,Datos_items!$AA:$AA,AB$4,Datos_items!$E:$E,Analisis_grupo!$C$4))</f>
        <v/>
      </c>
      <c r="AC165" s="2" t="str">
        <f aca="false">IF($B165="","",COUNTIFS(Datos_items!$B:$B,$B165,Datos_items!$AA:$AA,AC$4,Datos_items!$E:$E,Analisis_grupo!$C$4))</f>
        <v/>
      </c>
      <c r="AD165" s="2" t="str">
        <f aca="false">IF($B165="","",COUNTIFS(Datos_items!$B:$B,$B165,Datos_items!$AA:$AA,AD$4,Datos_items!$E:$E,Analisis_grupo!$C$4))</f>
        <v/>
      </c>
      <c r="AE165" s="2" t="str">
        <f aca="false">IF($B165="","",COUNTIFS(Datos_items!$B:$B,$B165,Datos_items!$AA:$AA,AE$4,Datos_items!$E:$E,Analisis_grupo!$C$4))</f>
        <v/>
      </c>
      <c r="AF165" s="2" t="str">
        <f aca="false">IF($B165="","",COUNTIFS(Datos_items!$B:$B,$B165,Datos_items!$AA:$AA,AF$4,Datos_items!$E:$E,Analisis_grupo!$C$4))</f>
        <v/>
      </c>
      <c r="AG165" s="2" t="str">
        <f aca="false">IF($B165="","",COUNTIFS(Datos_items!$B:$B,$B165,Datos_items!$AA:$AA,AG$4,Datos_items!$E:$E,Analisis_grupo!$C$4))</f>
        <v/>
      </c>
      <c r="AH165" s="2" t="str">
        <f aca="false">IF($B165="","",COUNTIFS(Datos_items!$B:$B,$B165,Datos_items!$AA:$AA,AH$4,Datos_items!$E:$E,Analisis_grupo!$C$4))</f>
        <v/>
      </c>
      <c r="AI165" s="2" t="str">
        <f aca="false">IF($B165="","",COUNTIFS(Datos_items!$B:$B,$B165,Datos_items!$AA:$AA,AI$4,Datos_items!$E:$E,Analisis_grupo!$C$4))</f>
        <v/>
      </c>
      <c r="AJ165" s="2" t="str">
        <f aca="false">IF($B165="","",COUNTIFS(Datos_items!$B:$B,$B165,Datos_items!$AA:$AA,AJ$4,Datos_items!$E:$E,Analisis_grupo!$C$4))</f>
        <v/>
      </c>
      <c r="AK165" s="2" t="str">
        <f aca="false">IF($B165="","",COUNTIFS(Datos_items!$B:$B,$B165,Datos_items!$AA:$AA,AK$4,Datos_items!$E:$E,Analisis_grupo!$C$4))</f>
        <v/>
      </c>
      <c r="AL165" s="2" t="str">
        <f aca="false">IF($B165="","",COUNTIFS(Datos_items!$B:$B,$B165,Datos_items!$AA:$AA,AL$4,Datos_items!$E:$E,Analisis_grupo!$C$4))</f>
        <v/>
      </c>
      <c r="AM165" s="2" t="str">
        <f aca="false">IF($B165="","",IF(MAX(Y165:AL165)=0,"",INDEX($Y$4:$AL$4,MATCH(MAX(Y165:AL165),Y165:AL165,0))))</f>
        <v/>
      </c>
      <c r="AN165" s="2" t="str">
        <f aca="false">IF($B165="","",COUNTIFS(Datos_problemas!$B:$B,$B165,Datos_problemas!$F:$F,"Práctica"))</f>
        <v/>
      </c>
      <c r="AO165" s="2" t="str">
        <f aca="false">IF($B165="","",SUMIFS(Datos_problemas!$AQ:$AQ,Datos_problemas!$B:$B,$B165,Datos_problemas!$F:$F,"Práctica"))</f>
        <v/>
      </c>
      <c r="AP165" s="2" t="str">
        <f aca="false">IF($B165="","",COUNTIFS(Datos_problemas!$B:$B,$B165,Datos_problemas!$F:$F,"Práctica",Datos_problemas!$AS:$AS,"Sí"))</f>
        <v/>
      </c>
    </row>
    <row r="166" customFormat="false" ht="15" hidden="false" customHeight="false" outlineLevel="0" collapsed="false">
      <c r="A166" s="2" t="n">
        <v>162</v>
      </c>
      <c r="B166" s="2" t="str">
        <f aca="false">IFERROR(INDEX(Datos_problemas!$B:$B,MATCH($A166,Datos_problemas!$AV:$AV,0)),"")</f>
        <v/>
      </c>
      <c r="C166" s="2" t="str">
        <f aca="false">IF($B166="","",INDEX(Datos_problemas!$C:$C,MATCH($A166,Datos_problemas!$AV:$AV,0)))</f>
        <v/>
      </c>
      <c r="D166" s="2" t="str">
        <f aca="false">IF($B166="","",INDEX(Datos_problemas!$D:$D,MATCH($A166,Datos_problemas!$AV:$AV,0)))</f>
        <v/>
      </c>
      <c r="E166" s="2" t="str">
        <f aca="false">IF($B166="","",COUNTIFS(Datos_problemas!$B:$B,$B166,Datos_problemas!$F:$F,"Evaluación"))</f>
        <v/>
      </c>
      <c r="F166" s="20" t="str">
        <f aca="false">IF($B166="","",IFERROR(AVERAGEIFS(Datos_problemas!$AE:$AE,Datos_problemas!$B:$B,$B166,Datos_problemas!$F:$F,"Evaluación"),""))</f>
        <v/>
      </c>
      <c r="G166" s="20" t="str">
        <f aca="false">IF($B166="","",IFERROR(AVERAGEIFS(Datos_problemas!$AE:$AE,Datos_problemas!$B:$B,$B166,Datos_problemas!$F:$F,"Evaluación",Datos_problemas!$E:$E,"Diagnóstico"),""))</f>
        <v/>
      </c>
      <c r="H166" s="20" t="str">
        <f aca="false">IF($B166="","",IFERROR(AVERAGEIFS(Datos_problemas!$AE:$AE,Datos_problemas!$B:$B,$B166,Datos_problemas!$F:$F,"Evaluación",Datos_problemas!$E:$E,"Final"),""))</f>
        <v/>
      </c>
      <c r="I166" s="21" t="str">
        <f aca="false">IF(OR(G166="",H166=""),"",IF(G166&gt;=10,"",(H166-G166)/(10-G166)))</f>
        <v/>
      </c>
      <c r="J166" s="18" t="str">
        <f aca="false">IF($B166="","",IFERROR(SUMIFS(Datos_items!$Z:$Z,Datos_items!$B:$B,$B166,Datos_items!$O:$O,J$4,Datos_items!$E:$E,Analisis_grupo!$C$4)/COUNTIFS(Datos_items!$B:$B,$B166,Datos_items!$O:$O,J$4,Datos_items!$E:$E,Analisis_grupo!$C$4),""))</f>
        <v/>
      </c>
      <c r="K166" s="18" t="str">
        <f aca="false">IF($B166="","",IFERROR(SUMIFS(Datos_items!$Z:$Z,Datos_items!$B:$B,$B166,Datos_items!$O:$O,K$4,Datos_items!$E:$E,Analisis_grupo!$C$4)/COUNTIFS(Datos_items!$B:$B,$B166,Datos_items!$O:$O,K$4,Datos_items!$E:$E,Analisis_grupo!$C$4),""))</f>
        <v/>
      </c>
      <c r="L166" s="18" t="str">
        <f aca="false">IF($B166="","",IFERROR(SUMIFS(Datos_items!$Z:$Z,Datos_items!$B:$B,$B166,Datos_items!$O:$O,L$4,Datos_items!$E:$E,Analisis_grupo!$C$4)/COUNTIFS(Datos_items!$B:$B,$B166,Datos_items!$O:$O,L$4,Datos_items!$E:$E,Analisis_grupo!$C$4),""))</f>
        <v/>
      </c>
      <c r="M166" s="18" t="str">
        <f aca="false">IF($B166="","",IFERROR(SUMIFS(Datos_items!$Z:$Z,Datos_items!$B:$B,$B166,Datos_items!$O:$O,M$4,Datos_items!$E:$E,Analisis_grupo!$C$4)/COUNTIFS(Datos_items!$B:$B,$B166,Datos_items!$O:$O,M$4,Datos_items!$E:$E,Analisis_grupo!$C$4),""))</f>
        <v/>
      </c>
      <c r="N166" s="18" t="str">
        <f aca="false">IF($B166="","",IFERROR(SUMIFS(Datos_items!$Z:$Z,Datos_items!$B:$B,$B166,Datos_items!$O:$O,N$4,Datos_items!$E:$E,Analisis_grupo!$C$4)/COUNTIFS(Datos_items!$B:$B,$B166,Datos_items!$O:$O,N$4,Datos_items!$E:$E,Analisis_grupo!$C$4),""))</f>
        <v/>
      </c>
      <c r="O166" s="18" t="str">
        <f aca="false">IF($B166="","",IFERROR(SUMIFS(Datos_items!$Z:$Z,Datos_items!$B:$B,$B166,Datos_items!$O:$O,O$4,Datos_items!$E:$E,Analisis_grupo!$C$4)/COUNTIFS(Datos_items!$B:$B,$B166,Datos_items!$O:$O,O$4,Datos_items!$E:$E,Analisis_grupo!$C$4),""))</f>
        <v/>
      </c>
      <c r="P166" s="18" t="str">
        <f aca="false">IF($B166="","",IFERROR(SUMIFS(Datos_items!$Z:$Z,Datos_items!$B:$B,$B166,Datos_items!$O:$O,P$4,Datos_items!$E:$E,Analisis_grupo!$C$4)/COUNTIFS(Datos_items!$B:$B,$B166,Datos_items!$O:$O,P$4,Datos_items!$E:$E,Analisis_grupo!$C$4),""))</f>
        <v/>
      </c>
      <c r="Q166" s="18" t="str">
        <f aca="false">IF($B166="","",IFERROR(SUMIFS(Datos_items!$Z:$Z,Datos_items!$B:$B,$B166,Datos_items!$O:$O,Q$4,Datos_items!$E:$E,Analisis_grupo!$C$4)/COUNTIFS(Datos_items!$B:$B,$B166,Datos_items!$O:$O,Q$4,Datos_items!$E:$E,Analisis_grupo!$C$4),""))</f>
        <v/>
      </c>
      <c r="R166" s="2" t="str">
        <f aca="false">IF(COUNT(J166:Q166)=0,"",IF(MIN(J166:Q166)&gt;=Analisis_grupo!$B$7,"(ninguna)",INDEX($J$4:$Q$4,MATCH(MIN(J166:Q166),J166:Q166,0))))</f>
        <v/>
      </c>
      <c r="S166" s="2" t="str">
        <f aca="false">IF($B166="","",COUNTIF(J166:Q166,"&lt;"&amp;Analisis_grupo!$B$7))</f>
        <v/>
      </c>
      <c r="T166" s="2" t="str">
        <f aca="false">IF($B166="","",COUNTIFS(Datos_items!$B:$B,$B166,Datos_items!$AA:$AA,T$4,Datos_items!$E:$E,Analisis_grupo!$C$4))</f>
        <v/>
      </c>
      <c r="U166" s="2" t="str">
        <f aca="false">IF($B166="","",COUNTIFS(Datos_items!$B:$B,$B166,Datos_items!$AA:$AA,U$4,Datos_items!$E:$E,Analisis_grupo!$C$4))</f>
        <v/>
      </c>
      <c r="V166" s="2" t="str">
        <f aca="false">IF($B166="","",COUNTIFS(Datos_items!$B:$B,$B166,Datos_items!$AA:$AA,V$4,Datos_items!$E:$E,Analisis_grupo!$C$4))</f>
        <v/>
      </c>
      <c r="W166" s="2" t="str">
        <f aca="false">IF($B166="","",COUNTIFS(Datos_items!$B:$B,$B166,Datos_items!$AA:$AA,W$4,Datos_items!$E:$E,Analisis_grupo!$C$4))</f>
        <v/>
      </c>
      <c r="X166" s="2" t="str">
        <f aca="false">IF($B166="","",COUNTIFS(Datos_items!$B:$B,$B166,Datos_items!$AA:$AA,X$4,Datos_items!$E:$E,Analisis_grupo!$C$4))</f>
        <v/>
      </c>
      <c r="Y166" s="2" t="str">
        <f aca="false">IF($B166="","",COUNTIFS(Datos_items!$B:$B,$B166,Datos_items!$AA:$AA,Y$4,Datos_items!$E:$E,Analisis_grupo!$C$4))</f>
        <v/>
      </c>
      <c r="Z166" s="2" t="str">
        <f aca="false">IF($B166="","",COUNTIFS(Datos_items!$B:$B,$B166,Datos_items!$AA:$AA,Z$4,Datos_items!$E:$E,Analisis_grupo!$C$4))</f>
        <v/>
      </c>
      <c r="AA166" s="2" t="str">
        <f aca="false">IF($B166="","",COUNTIFS(Datos_items!$B:$B,$B166,Datos_items!$AA:$AA,AA$4,Datos_items!$E:$E,Analisis_grupo!$C$4))</f>
        <v/>
      </c>
      <c r="AB166" s="2" t="str">
        <f aca="false">IF($B166="","",COUNTIFS(Datos_items!$B:$B,$B166,Datos_items!$AA:$AA,AB$4,Datos_items!$E:$E,Analisis_grupo!$C$4))</f>
        <v/>
      </c>
      <c r="AC166" s="2" t="str">
        <f aca="false">IF($B166="","",COUNTIFS(Datos_items!$B:$B,$B166,Datos_items!$AA:$AA,AC$4,Datos_items!$E:$E,Analisis_grupo!$C$4))</f>
        <v/>
      </c>
      <c r="AD166" s="2" t="str">
        <f aca="false">IF($B166="","",COUNTIFS(Datos_items!$B:$B,$B166,Datos_items!$AA:$AA,AD$4,Datos_items!$E:$E,Analisis_grupo!$C$4))</f>
        <v/>
      </c>
      <c r="AE166" s="2" t="str">
        <f aca="false">IF($B166="","",COUNTIFS(Datos_items!$B:$B,$B166,Datos_items!$AA:$AA,AE$4,Datos_items!$E:$E,Analisis_grupo!$C$4))</f>
        <v/>
      </c>
      <c r="AF166" s="2" t="str">
        <f aca="false">IF($B166="","",COUNTIFS(Datos_items!$B:$B,$B166,Datos_items!$AA:$AA,AF$4,Datos_items!$E:$E,Analisis_grupo!$C$4))</f>
        <v/>
      </c>
      <c r="AG166" s="2" t="str">
        <f aca="false">IF($B166="","",COUNTIFS(Datos_items!$B:$B,$B166,Datos_items!$AA:$AA,AG$4,Datos_items!$E:$E,Analisis_grupo!$C$4))</f>
        <v/>
      </c>
      <c r="AH166" s="2" t="str">
        <f aca="false">IF($B166="","",COUNTIFS(Datos_items!$B:$B,$B166,Datos_items!$AA:$AA,AH$4,Datos_items!$E:$E,Analisis_grupo!$C$4))</f>
        <v/>
      </c>
      <c r="AI166" s="2" t="str">
        <f aca="false">IF($B166="","",COUNTIFS(Datos_items!$B:$B,$B166,Datos_items!$AA:$AA,AI$4,Datos_items!$E:$E,Analisis_grupo!$C$4))</f>
        <v/>
      </c>
      <c r="AJ166" s="2" t="str">
        <f aca="false">IF($B166="","",COUNTIFS(Datos_items!$B:$B,$B166,Datos_items!$AA:$AA,AJ$4,Datos_items!$E:$E,Analisis_grupo!$C$4))</f>
        <v/>
      </c>
      <c r="AK166" s="2" t="str">
        <f aca="false">IF($B166="","",COUNTIFS(Datos_items!$B:$B,$B166,Datos_items!$AA:$AA,AK$4,Datos_items!$E:$E,Analisis_grupo!$C$4))</f>
        <v/>
      </c>
      <c r="AL166" s="2" t="str">
        <f aca="false">IF($B166="","",COUNTIFS(Datos_items!$B:$B,$B166,Datos_items!$AA:$AA,AL$4,Datos_items!$E:$E,Analisis_grupo!$C$4))</f>
        <v/>
      </c>
      <c r="AM166" s="2" t="str">
        <f aca="false">IF($B166="","",IF(MAX(Y166:AL166)=0,"",INDEX($Y$4:$AL$4,MATCH(MAX(Y166:AL166),Y166:AL166,0))))</f>
        <v/>
      </c>
      <c r="AN166" s="2" t="str">
        <f aca="false">IF($B166="","",COUNTIFS(Datos_problemas!$B:$B,$B166,Datos_problemas!$F:$F,"Práctica"))</f>
        <v/>
      </c>
      <c r="AO166" s="2" t="str">
        <f aca="false">IF($B166="","",SUMIFS(Datos_problemas!$AQ:$AQ,Datos_problemas!$B:$B,$B166,Datos_problemas!$F:$F,"Práctica"))</f>
        <v/>
      </c>
      <c r="AP166" s="2" t="str">
        <f aca="false">IF($B166="","",COUNTIFS(Datos_problemas!$B:$B,$B166,Datos_problemas!$F:$F,"Práctica",Datos_problemas!$AS:$AS,"Sí"))</f>
        <v/>
      </c>
    </row>
    <row r="167" customFormat="false" ht="15" hidden="false" customHeight="false" outlineLevel="0" collapsed="false">
      <c r="A167" s="2" t="n">
        <v>163</v>
      </c>
      <c r="B167" s="2" t="str">
        <f aca="false">IFERROR(INDEX(Datos_problemas!$B:$B,MATCH($A167,Datos_problemas!$AV:$AV,0)),"")</f>
        <v/>
      </c>
      <c r="C167" s="2" t="str">
        <f aca="false">IF($B167="","",INDEX(Datos_problemas!$C:$C,MATCH($A167,Datos_problemas!$AV:$AV,0)))</f>
        <v/>
      </c>
      <c r="D167" s="2" t="str">
        <f aca="false">IF($B167="","",INDEX(Datos_problemas!$D:$D,MATCH($A167,Datos_problemas!$AV:$AV,0)))</f>
        <v/>
      </c>
      <c r="E167" s="2" t="str">
        <f aca="false">IF($B167="","",COUNTIFS(Datos_problemas!$B:$B,$B167,Datos_problemas!$F:$F,"Evaluación"))</f>
        <v/>
      </c>
      <c r="F167" s="20" t="str">
        <f aca="false">IF($B167="","",IFERROR(AVERAGEIFS(Datos_problemas!$AE:$AE,Datos_problemas!$B:$B,$B167,Datos_problemas!$F:$F,"Evaluación"),""))</f>
        <v/>
      </c>
      <c r="G167" s="20" t="str">
        <f aca="false">IF($B167="","",IFERROR(AVERAGEIFS(Datos_problemas!$AE:$AE,Datos_problemas!$B:$B,$B167,Datos_problemas!$F:$F,"Evaluación",Datos_problemas!$E:$E,"Diagnóstico"),""))</f>
        <v/>
      </c>
      <c r="H167" s="20" t="str">
        <f aca="false">IF($B167="","",IFERROR(AVERAGEIFS(Datos_problemas!$AE:$AE,Datos_problemas!$B:$B,$B167,Datos_problemas!$F:$F,"Evaluación",Datos_problemas!$E:$E,"Final"),""))</f>
        <v/>
      </c>
      <c r="I167" s="21" t="str">
        <f aca="false">IF(OR(G167="",H167=""),"",IF(G167&gt;=10,"",(H167-G167)/(10-G167)))</f>
        <v/>
      </c>
      <c r="J167" s="18" t="str">
        <f aca="false">IF($B167="","",IFERROR(SUMIFS(Datos_items!$Z:$Z,Datos_items!$B:$B,$B167,Datos_items!$O:$O,J$4,Datos_items!$E:$E,Analisis_grupo!$C$4)/COUNTIFS(Datos_items!$B:$B,$B167,Datos_items!$O:$O,J$4,Datos_items!$E:$E,Analisis_grupo!$C$4),""))</f>
        <v/>
      </c>
      <c r="K167" s="18" t="str">
        <f aca="false">IF($B167="","",IFERROR(SUMIFS(Datos_items!$Z:$Z,Datos_items!$B:$B,$B167,Datos_items!$O:$O,K$4,Datos_items!$E:$E,Analisis_grupo!$C$4)/COUNTIFS(Datos_items!$B:$B,$B167,Datos_items!$O:$O,K$4,Datos_items!$E:$E,Analisis_grupo!$C$4),""))</f>
        <v/>
      </c>
      <c r="L167" s="18" t="str">
        <f aca="false">IF($B167="","",IFERROR(SUMIFS(Datos_items!$Z:$Z,Datos_items!$B:$B,$B167,Datos_items!$O:$O,L$4,Datos_items!$E:$E,Analisis_grupo!$C$4)/COUNTIFS(Datos_items!$B:$B,$B167,Datos_items!$O:$O,L$4,Datos_items!$E:$E,Analisis_grupo!$C$4),""))</f>
        <v/>
      </c>
      <c r="M167" s="18" t="str">
        <f aca="false">IF($B167="","",IFERROR(SUMIFS(Datos_items!$Z:$Z,Datos_items!$B:$B,$B167,Datos_items!$O:$O,M$4,Datos_items!$E:$E,Analisis_grupo!$C$4)/COUNTIFS(Datos_items!$B:$B,$B167,Datos_items!$O:$O,M$4,Datos_items!$E:$E,Analisis_grupo!$C$4),""))</f>
        <v/>
      </c>
      <c r="N167" s="18" t="str">
        <f aca="false">IF($B167="","",IFERROR(SUMIFS(Datos_items!$Z:$Z,Datos_items!$B:$B,$B167,Datos_items!$O:$O,N$4,Datos_items!$E:$E,Analisis_grupo!$C$4)/COUNTIFS(Datos_items!$B:$B,$B167,Datos_items!$O:$O,N$4,Datos_items!$E:$E,Analisis_grupo!$C$4),""))</f>
        <v/>
      </c>
      <c r="O167" s="18" t="str">
        <f aca="false">IF($B167="","",IFERROR(SUMIFS(Datos_items!$Z:$Z,Datos_items!$B:$B,$B167,Datos_items!$O:$O,O$4,Datos_items!$E:$E,Analisis_grupo!$C$4)/COUNTIFS(Datos_items!$B:$B,$B167,Datos_items!$O:$O,O$4,Datos_items!$E:$E,Analisis_grupo!$C$4),""))</f>
        <v/>
      </c>
      <c r="P167" s="18" t="str">
        <f aca="false">IF($B167="","",IFERROR(SUMIFS(Datos_items!$Z:$Z,Datos_items!$B:$B,$B167,Datos_items!$O:$O,P$4,Datos_items!$E:$E,Analisis_grupo!$C$4)/COUNTIFS(Datos_items!$B:$B,$B167,Datos_items!$O:$O,P$4,Datos_items!$E:$E,Analisis_grupo!$C$4),""))</f>
        <v/>
      </c>
      <c r="Q167" s="18" t="str">
        <f aca="false">IF($B167="","",IFERROR(SUMIFS(Datos_items!$Z:$Z,Datos_items!$B:$B,$B167,Datos_items!$O:$O,Q$4,Datos_items!$E:$E,Analisis_grupo!$C$4)/COUNTIFS(Datos_items!$B:$B,$B167,Datos_items!$O:$O,Q$4,Datos_items!$E:$E,Analisis_grupo!$C$4),""))</f>
        <v/>
      </c>
      <c r="R167" s="2" t="str">
        <f aca="false">IF(COUNT(J167:Q167)=0,"",IF(MIN(J167:Q167)&gt;=Analisis_grupo!$B$7,"(ninguna)",INDEX($J$4:$Q$4,MATCH(MIN(J167:Q167),J167:Q167,0))))</f>
        <v/>
      </c>
      <c r="S167" s="2" t="str">
        <f aca="false">IF($B167="","",COUNTIF(J167:Q167,"&lt;"&amp;Analisis_grupo!$B$7))</f>
        <v/>
      </c>
      <c r="T167" s="2" t="str">
        <f aca="false">IF($B167="","",COUNTIFS(Datos_items!$B:$B,$B167,Datos_items!$AA:$AA,T$4,Datos_items!$E:$E,Analisis_grupo!$C$4))</f>
        <v/>
      </c>
      <c r="U167" s="2" t="str">
        <f aca="false">IF($B167="","",COUNTIFS(Datos_items!$B:$B,$B167,Datos_items!$AA:$AA,U$4,Datos_items!$E:$E,Analisis_grupo!$C$4))</f>
        <v/>
      </c>
      <c r="V167" s="2" t="str">
        <f aca="false">IF($B167="","",COUNTIFS(Datos_items!$B:$B,$B167,Datos_items!$AA:$AA,V$4,Datos_items!$E:$E,Analisis_grupo!$C$4))</f>
        <v/>
      </c>
      <c r="W167" s="2" t="str">
        <f aca="false">IF($B167="","",COUNTIFS(Datos_items!$B:$B,$B167,Datos_items!$AA:$AA,W$4,Datos_items!$E:$E,Analisis_grupo!$C$4))</f>
        <v/>
      </c>
      <c r="X167" s="2" t="str">
        <f aca="false">IF($B167="","",COUNTIFS(Datos_items!$B:$B,$B167,Datos_items!$AA:$AA,X$4,Datos_items!$E:$E,Analisis_grupo!$C$4))</f>
        <v/>
      </c>
      <c r="Y167" s="2" t="str">
        <f aca="false">IF($B167="","",COUNTIFS(Datos_items!$B:$B,$B167,Datos_items!$AA:$AA,Y$4,Datos_items!$E:$E,Analisis_grupo!$C$4))</f>
        <v/>
      </c>
      <c r="Z167" s="2" t="str">
        <f aca="false">IF($B167="","",COUNTIFS(Datos_items!$B:$B,$B167,Datos_items!$AA:$AA,Z$4,Datos_items!$E:$E,Analisis_grupo!$C$4))</f>
        <v/>
      </c>
      <c r="AA167" s="2" t="str">
        <f aca="false">IF($B167="","",COUNTIFS(Datos_items!$B:$B,$B167,Datos_items!$AA:$AA,AA$4,Datos_items!$E:$E,Analisis_grupo!$C$4))</f>
        <v/>
      </c>
      <c r="AB167" s="2" t="str">
        <f aca="false">IF($B167="","",COUNTIFS(Datos_items!$B:$B,$B167,Datos_items!$AA:$AA,AB$4,Datos_items!$E:$E,Analisis_grupo!$C$4))</f>
        <v/>
      </c>
      <c r="AC167" s="2" t="str">
        <f aca="false">IF($B167="","",COUNTIFS(Datos_items!$B:$B,$B167,Datos_items!$AA:$AA,AC$4,Datos_items!$E:$E,Analisis_grupo!$C$4))</f>
        <v/>
      </c>
      <c r="AD167" s="2" t="str">
        <f aca="false">IF($B167="","",COUNTIFS(Datos_items!$B:$B,$B167,Datos_items!$AA:$AA,AD$4,Datos_items!$E:$E,Analisis_grupo!$C$4))</f>
        <v/>
      </c>
      <c r="AE167" s="2" t="str">
        <f aca="false">IF($B167="","",COUNTIFS(Datos_items!$B:$B,$B167,Datos_items!$AA:$AA,AE$4,Datos_items!$E:$E,Analisis_grupo!$C$4))</f>
        <v/>
      </c>
      <c r="AF167" s="2" t="str">
        <f aca="false">IF($B167="","",COUNTIFS(Datos_items!$B:$B,$B167,Datos_items!$AA:$AA,AF$4,Datos_items!$E:$E,Analisis_grupo!$C$4))</f>
        <v/>
      </c>
      <c r="AG167" s="2" t="str">
        <f aca="false">IF($B167="","",COUNTIFS(Datos_items!$B:$B,$B167,Datos_items!$AA:$AA,AG$4,Datos_items!$E:$E,Analisis_grupo!$C$4))</f>
        <v/>
      </c>
      <c r="AH167" s="2" t="str">
        <f aca="false">IF($B167="","",COUNTIFS(Datos_items!$B:$B,$B167,Datos_items!$AA:$AA,AH$4,Datos_items!$E:$E,Analisis_grupo!$C$4))</f>
        <v/>
      </c>
      <c r="AI167" s="2" t="str">
        <f aca="false">IF($B167="","",COUNTIFS(Datos_items!$B:$B,$B167,Datos_items!$AA:$AA,AI$4,Datos_items!$E:$E,Analisis_grupo!$C$4))</f>
        <v/>
      </c>
      <c r="AJ167" s="2" t="str">
        <f aca="false">IF($B167="","",COUNTIFS(Datos_items!$B:$B,$B167,Datos_items!$AA:$AA,AJ$4,Datos_items!$E:$E,Analisis_grupo!$C$4))</f>
        <v/>
      </c>
      <c r="AK167" s="2" t="str">
        <f aca="false">IF($B167="","",COUNTIFS(Datos_items!$B:$B,$B167,Datos_items!$AA:$AA,AK$4,Datos_items!$E:$E,Analisis_grupo!$C$4))</f>
        <v/>
      </c>
      <c r="AL167" s="2" t="str">
        <f aca="false">IF($B167="","",COUNTIFS(Datos_items!$B:$B,$B167,Datos_items!$AA:$AA,AL$4,Datos_items!$E:$E,Analisis_grupo!$C$4))</f>
        <v/>
      </c>
      <c r="AM167" s="2" t="str">
        <f aca="false">IF($B167="","",IF(MAX(Y167:AL167)=0,"",INDEX($Y$4:$AL$4,MATCH(MAX(Y167:AL167),Y167:AL167,0))))</f>
        <v/>
      </c>
      <c r="AN167" s="2" t="str">
        <f aca="false">IF($B167="","",COUNTIFS(Datos_problemas!$B:$B,$B167,Datos_problemas!$F:$F,"Práctica"))</f>
        <v/>
      </c>
      <c r="AO167" s="2" t="str">
        <f aca="false">IF($B167="","",SUMIFS(Datos_problemas!$AQ:$AQ,Datos_problemas!$B:$B,$B167,Datos_problemas!$F:$F,"Práctica"))</f>
        <v/>
      </c>
      <c r="AP167" s="2" t="str">
        <f aca="false">IF($B167="","",COUNTIFS(Datos_problemas!$B:$B,$B167,Datos_problemas!$F:$F,"Práctica",Datos_problemas!$AS:$AS,"Sí"))</f>
        <v/>
      </c>
    </row>
    <row r="168" customFormat="false" ht="15" hidden="false" customHeight="false" outlineLevel="0" collapsed="false">
      <c r="A168" s="2" t="n">
        <v>164</v>
      </c>
      <c r="B168" s="2" t="str">
        <f aca="false">IFERROR(INDEX(Datos_problemas!$B:$B,MATCH($A168,Datos_problemas!$AV:$AV,0)),"")</f>
        <v/>
      </c>
      <c r="C168" s="2" t="str">
        <f aca="false">IF($B168="","",INDEX(Datos_problemas!$C:$C,MATCH($A168,Datos_problemas!$AV:$AV,0)))</f>
        <v/>
      </c>
      <c r="D168" s="2" t="str">
        <f aca="false">IF($B168="","",INDEX(Datos_problemas!$D:$D,MATCH($A168,Datos_problemas!$AV:$AV,0)))</f>
        <v/>
      </c>
      <c r="E168" s="2" t="str">
        <f aca="false">IF($B168="","",COUNTIFS(Datos_problemas!$B:$B,$B168,Datos_problemas!$F:$F,"Evaluación"))</f>
        <v/>
      </c>
      <c r="F168" s="20" t="str">
        <f aca="false">IF($B168="","",IFERROR(AVERAGEIFS(Datos_problemas!$AE:$AE,Datos_problemas!$B:$B,$B168,Datos_problemas!$F:$F,"Evaluación"),""))</f>
        <v/>
      </c>
      <c r="G168" s="20" t="str">
        <f aca="false">IF($B168="","",IFERROR(AVERAGEIFS(Datos_problemas!$AE:$AE,Datos_problemas!$B:$B,$B168,Datos_problemas!$F:$F,"Evaluación",Datos_problemas!$E:$E,"Diagnóstico"),""))</f>
        <v/>
      </c>
      <c r="H168" s="20" t="str">
        <f aca="false">IF($B168="","",IFERROR(AVERAGEIFS(Datos_problemas!$AE:$AE,Datos_problemas!$B:$B,$B168,Datos_problemas!$F:$F,"Evaluación",Datos_problemas!$E:$E,"Final"),""))</f>
        <v/>
      </c>
      <c r="I168" s="21" t="str">
        <f aca="false">IF(OR(G168="",H168=""),"",IF(G168&gt;=10,"",(H168-G168)/(10-G168)))</f>
        <v/>
      </c>
      <c r="J168" s="18" t="str">
        <f aca="false">IF($B168="","",IFERROR(SUMIFS(Datos_items!$Z:$Z,Datos_items!$B:$B,$B168,Datos_items!$O:$O,J$4,Datos_items!$E:$E,Analisis_grupo!$C$4)/COUNTIFS(Datos_items!$B:$B,$B168,Datos_items!$O:$O,J$4,Datos_items!$E:$E,Analisis_grupo!$C$4),""))</f>
        <v/>
      </c>
      <c r="K168" s="18" t="str">
        <f aca="false">IF($B168="","",IFERROR(SUMIFS(Datos_items!$Z:$Z,Datos_items!$B:$B,$B168,Datos_items!$O:$O,K$4,Datos_items!$E:$E,Analisis_grupo!$C$4)/COUNTIFS(Datos_items!$B:$B,$B168,Datos_items!$O:$O,K$4,Datos_items!$E:$E,Analisis_grupo!$C$4),""))</f>
        <v/>
      </c>
      <c r="L168" s="18" t="str">
        <f aca="false">IF($B168="","",IFERROR(SUMIFS(Datos_items!$Z:$Z,Datos_items!$B:$B,$B168,Datos_items!$O:$O,L$4,Datos_items!$E:$E,Analisis_grupo!$C$4)/COUNTIFS(Datos_items!$B:$B,$B168,Datos_items!$O:$O,L$4,Datos_items!$E:$E,Analisis_grupo!$C$4),""))</f>
        <v/>
      </c>
      <c r="M168" s="18" t="str">
        <f aca="false">IF($B168="","",IFERROR(SUMIFS(Datos_items!$Z:$Z,Datos_items!$B:$B,$B168,Datos_items!$O:$O,M$4,Datos_items!$E:$E,Analisis_grupo!$C$4)/COUNTIFS(Datos_items!$B:$B,$B168,Datos_items!$O:$O,M$4,Datos_items!$E:$E,Analisis_grupo!$C$4),""))</f>
        <v/>
      </c>
      <c r="N168" s="18" t="str">
        <f aca="false">IF($B168="","",IFERROR(SUMIFS(Datos_items!$Z:$Z,Datos_items!$B:$B,$B168,Datos_items!$O:$O,N$4,Datos_items!$E:$E,Analisis_grupo!$C$4)/COUNTIFS(Datos_items!$B:$B,$B168,Datos_items!$O:$O,N$4,Datos_items!$E:$E,Analisis_grupo!$C$4),""))</f>
        <v/>
      </c>
      <c r="O168" s="18" t="str">
        <f aca="false">IF($B168="","",IFERROR(SUMIFS(Datos_items!$Z:$Z,Datos_items!$B:$B,$B168,Datos_items!$O:$O,O$4,Datos_items!$E:$E,Analisis_grupo!$C$4)/COUNTIFS(Datos_items!$B:$B,$B168,Datos_items!$O:$O,O$4,Datos_items!$E:$E,Analisis_grupo!$C$4),""))</f>
        <v/>
      </c>
      <c r="P168" s="18" t="str">
        <f aca="false">IF($B168="","",IFERROR(SUMIFS(Datos_items!$Z:$Z,Datos_items!$B:$B,$B168,Datos_items!$O:$O,P$4,Datos_items!$E:$E,Analisis_grupo!$C$4)/COUNTIFS(Datos_items!$B:$B,$B168,Datos_items!$O:$O,P$4,Datos_items!$E:$E,Analisis_grupo!$C$4),""))</f>
        <v/>
      </c>
      <c r="Q168" s="18" t="str">
        <f aca="false">IF($B168="","",IFERROR(SUMIFS(Datos_items!$Z:$Z,Datos_items!$B:$B,$B168,Datos_items!$O:$O,Q$4,Datos_items!$E:$E,Analisis_grupo!$C$4)/COUNTIFS(Datos_items!$B:$B,$B168,Datos_items!$O:$O,Q$4,Datos_items!$E:$E,Analisis_grupo!$C$4),""))</f>
        <v/>
      </c>
      <c r="R168" s="2" t="str">
        <f aca="false">IF(COUNT(J168:Q168)=0,"",IF(MIN(J168:Q168)&gt;=Analisis_grupo!$B$7,"(ninguna)",INDEX($J$4:$Q$4,MATCH(MIN(J168:Q168),J168:Q168,0))))</f>
        <v/>
      </c>
      <c r="S168" s="2" t="str">
        <f aca="false">IF($B168="","",COUNTIF(J168:Q168,"&lt;"&amp;Analisis_grupo!$B$7))</f>
        <v/>
      </c>
      <c r="T168" s="2" t="str">
        <f aca="false">IF($B168="","",COUNTIFS(Datos_items!$B:$B,$B168,Datos_items!$AA:$AA,T$4,Datos_items!$E:$E,Analisis_grupo!$C$4))</f>
        <v/>
      </c>
      <c r="U168" s="2" t="str">
        <f aca="false">IF($B168="","",COUNTIFS(Datos_items!$B:$B,$B168,Datos_items!$AA:$AA,U$4,Datos_items!$E:$E,Analisis_grupo!$C$4))</f>
        <v/>
      </c>
      <c r="V168" s="2" t="str">
        <f aca="false">IF($B168="","",COUNTIFS(Datos_items!$B:$B,$B168,Datos_items!$AA:$AA,V$4,Datos_items!$E:$E,Analisis_grupo!$C$4))</f>
        <v/>
      </c>
      <c r="W168" s="2" t="str">
        <f aca="false">IF($B168="","",COUNTIFS(Datos_items!$B:$B,$B168,Datos_items!$AA:$AA,W$4,Datos_items!$E:$E,Analisis_grupo!$C$4))</f>
        <v/>
      </c>
      <c r="X168" s="2" t="str">
        <f aca="false">IF($B168="","",COUNTIFS(Datos_items!$B:$B,$B168,Datos_items!$AA:$AA,X$4,Datos_items!$E:$E,Analisis_grupo!$C$4))</f>
        <v/>
      </c>
      <c r="Y168" s="2" t="str">
        <f aca="false">IF($B168="","",COUNTIFS(Datos_items!$B:$B,$B168,Datos_items!$AA:$AA,Y$4,Datos_items!$E:$E,Analisis_grupo!$C$4))</f>
        <v/>
      </c>
      <c r="Z168" s="2" t="str">
        <f aca="false">IF($B168="","",COUNTIFS(Datos_items!$B:$B,$B168,Datos_items!$AA:$AA,Z$4,Datos_items!$E:$E,Analisis_grupo!$C$4))</f>
        <v/>
      </c>
      <c r="AA168" s="2" t="str">
        <f aca="false">IF($B168="","",COUNTIFS(Datos_items!$B:$B,$B168,Datos_items!$AA:$AA,AA$4,Datos_items!$E:$E,Analisis_grupo!$C$4))</f>
        <v/>
      </c>
      <c r="AB168" s="2" t="str">
        <f aca="false">IF($B168="","",COUNTIFS(Datos_items!$B:$B,$B168,Datos_items!$AA:$AA,AB$4,Datos_items!$E:$E,Analisis_grupo!$C$4))</f>
        <v/>
      </c>
      <c r="AC168" s="2" t="str">
        <f aca="false">IF($B168="","",COUNTIFS(Datos_items!$B:$B,$B168,Datos_items!$AA:$AA,AC$4,Datos_items!$E:$E,Analisis_grupo!$C$4))</f>
        <v/>
      </c>
      <c r="AD168" s="2" t="str">
        <f aca="false">IF($B168="","",COUNTIFS(Datos_items!$B:$B,$B168,Datos_items!$AA:$AA,AD$4,Datos_items!$E:$E,Analisis_grupo!$C$4))</f>
        <v/>
      </c>
      <c r="AE168" s="2" t="str">
        <f aca="false">IF($B168="","",COUNTIFS(Datos_items!$B:$B,$B168,Datos_items!$AA:$AA,AE$4,Datos_items!$E:$E,Analisis_grupo!$C$4))</f>
        <v/>
      </c>
      <c r="AF168" s="2" t="str">
        <f aca="false">IF($B168="","",COUNTIFS(Datos_items!$B:$B,$B168,Datos_items!$AA:$AA,AF$4,Datos_items!$E:$E,Analisis_grupo!$C$4))</f>
        <v/>
      </c>
      <c r="AG168" s="2" t="str">
        <f aca="false">IF($B168="","",COUNTIFS(Datos_items!$B:$B,$B168,Datos_items!$AA:$AA,AG$4,Datos_items!$E:$E,Analisis_grupo!$C$4))</f>
        <v/>
      </c>
      <c r="AH168" s="2" t="str">
        <f aca="false">IF($B168="","",COUNTIFS(Datos_items!$B:$B,$B168,Datos_items!$AA:$AA,AH$4,Datos_items!$E:$E,Analisis_grupo!$C$4))</f>
        <v/>
      </c>
      <c r="AI168" s="2" t="str">
        <f aca="false">IF($B168="","",COUNTIFS(Datos_items!$B:$B,$B168,Datos_items!$AA:$AA,AI$4,Datos_items!$E:$E,Analisis_grupo!$C$4))</f>
        <v/>
      </c>
      <c r="AJ168" s="2" t="str">
        <f aca="false">IF($B168="","",COUNTIFS(Datos_items!$B:$B,$B168,Datos_items!$AA:$AA,AJ$4,Datos_items!$E:$E,Analisis_grupo!$C$4))</f>
        <v/>
      </c>
      <c r="AK168" s="2" t="str">
        <f aca="false">IF($B168="","",COUNTIFS(Datos_items!$B:$B,$B168,Datos_items!$AA:$AA,AK$4,Datos_items!$E:$E,Analisis_grupo!$C$4))</f>
        <v/>
      </c>
      <c r="AL168" s="2" t="str">
        <f aca="false">IF($B168="","",COUNTIFS(Datos_items!$B:$B,$B168,Datos_items!$AA:$AA,AL$4,Datos_items!$E:$E,Analisis_grupo!$C$4))</f>
        <v/>
      </c>
      <c r="AM168" s="2" t="str">
        <f aca="false">IF($B168="","",IF(MAX(Y168:AL168)=0,"",INDEX($Y$4:$AL$4,MATCH(MAX(Y168:AL168),Y168:AL168,0))))</f>
        <v/>
      </c>
      <c r="AN168" s="2" t="str">
        <f aca="false">IF($B168="","",COUNTIFS(Datos_problemas!$B:$B,$B168,Datos_problemas!$F:$F,"Práctica"))</f>
        <v/>
      </c>
      <c r="AO168" s="2" t="str">
        <f aca="false">IF($B168="","",SUMIFS(Datos_problemas!$AQ:$AQ,Datos_problemas!$B:$B,$B168,Datos_problemas!$F:$F,"Práctica"))</f>
        <v/>
      </c>
      <c r="AP168" s="2" t="str">
        <f aca="false">IF($B168="","",COUNTIFS(Datos_problemas!$B:$B,$B168,Datos_problemas!$F:$F,"Práctica",Datos_problemas!$AS:$AS,"Sí"))</f>
        <v/>
      </c>
    </row>
    <row r="169" customFormat="false" ht="15" hidden="false" customHeight="false" outlineLevel="0" collapsed="false">
      <c r="A169" s="2" t="n">
        <v>165</v>
      </c>
      <c r="B169" s="2" t="str">
        <f aca="false">IFERROR(INDEX(Datos_problemas!$B:$B,MATCH($A169,Datos_problemas!$AV:$AV,0)),"")</f>
        <v/>
      </c>
      <c r="C169" s="2" t="str">
        <f aca="false">IF($B169="","",INDEX(Datos_problemas!$C:$C,MATCH($A169,Datos_problemas!$AV:$AV,0)))</f>
        <v/>
      </c>
      <c r="D169" s="2" t="str">
        <f aca="false">IF($B169="","",INDEX(Datos_problemas!$D:$D,MATCH($A169,Datos_problemas!$AV:$AV,0)))</f>
        <v/>
      </c>
      <c r="E169" s="2" t="str">
        <f aca="false">IF($B169="","",COUNTIFS(Datos_problemas!$B:$B,$B169,Datos_problemas!$F:$F,"Evaluación"))</f>
        <v/>
      </c>
      <c r="F169" s="20" t="str">
        <f aca="false">IF($B169="","",IFERROR(AVERAGEIFS(Datos_problemas!$AE:$AE,Datos_problemas!$B:$B,$B169,Datos_problemas!$F:$F,"Evaluación"),""))</f>
        <v/>
      </c>
      <c r="G169" s="20" t="str">
        <f aca="false">IF($B169="","",IFERROR(AVERAGEIFS(Datos_problemas!$AE:$AE,Datos_problemas!$B:$B,$B169,Datos_problemas!$F:$F,"Evaluación",Datos_problemas!$E:$E,"Diagnóstico"),""))</f>
        <v/>
      </c>
      <c r="H169" s="20" t="str">
        <f aca="false">IF($B169="","",IFERROR(AVERAGEIFS(Datos_problemas!$AE:$AE,Datos_problemas!$B:$B,$B169,Datos_problemas!$F:$F,"Evaluación",Datos_problemas!$E:$E,"Final"),""))</f>
        <v/>
      </c>
      <c r="I169" s="21" t="str">
        <f aca="false">IF(OR(G169="",H169=""),"",IF(G169&gt;=10,"",(H169-G169)/(10-G169)))</f>
        <v/>
      </c>
      <c r="J169" s="18" t="str">
        <f aca="false">IF($B169="","",IFERROR(SUMIFS(Datos_items!$Z:$Z,Datos_items!$B:$B,$B169,Datos_items!$O:$O,J$4,Datos_items!$E:$E,Analisis_grupo!$C$4)/COUNTIFS(Datos_items!$B:$B,$B169,Datos_items!$O:$O,J$4,Datos_items!$E:$E,Analisis_grupo!$C$4),""))</f>
        <v/>
      </c>
      <c r="K169" s="18" t="str">
        <f aca="false">IF($B169="","",IFERROR(SUMIFS(Datos_items!$Z:$Z,Datos_items!$B:$B,$B169,Datos_items!$O:$O,K$4,Datos_items!$E:$E,Analisis_grupo!$C$4)/COUNTIFS(Datos_items!$B:$B,$B169,Datos_items!$O:$O,K$4,Datos_items!$E:$E,Analisis_grupo!$C$4),""))</f>
        <v/>
      </c>
      <c r="L169" s="18" t="str">
        <f aca="false">IF($B169="","",IFERROR(SUMIFS(Datos_items!$Z:$Z,Datos_items!$B:$B,$B169,Datos_items!$O:$O,L$4,Datos_items!$E:$E,Analisis_grupo!$C$4)/COUNTIFS(Datos_items!$B:$B,$B169,Datos_items!$O:$O,L$4,Datos_items!$E:$E,Analisis_grupo!$C$4),""))</f>
        <v/>
      </c>
      <c r="M169" s="18" t="str">
        <f aca="false">IF($B169="","",IFERROR(SUMIFS(Datos_items!$Z:$Z,Datos_items!$B:$B,$B169,Datos_items!$O:$O,M$4,Datos_items!$E:$E,Analisis_grupo!$C$4)/COUNTIFS(Datos_items!$B:$B,$B169,Datos_items!$O:$O,M$4,Datos_items!$E:$E,Analisis_grupo!$C$4),""))</f>
        <v/>
      </c>
      <c r="N169" s="18" t="str">
        <f aca="false">IF($B169="","",IFERROR(SUMIFS(Datos_items!$Z:$Z,Datos_items!$B:$B,$B169,Datos_items!$O:$O,N$4,Datos_items!$E:$E,Analisis_grupo!$C$4)/COUNTIFS(Datos_items!$B:$B,$B169,Datos_items!$O:$O,N$4,Datos_items!$E:$E,Analisis_grupo!$C$4),""))</f>
        <v/>
      </c>
      <c r="O169" s="18" t="str">
        <f aca="false">IF($B169="","",IFERROR(SUMIFS(Datos_items!$Z:$Z,Datos_items!$B:$B,$B169,Datos_items!$O:$O,O$4,Datos_items!$E:$E,Analisis_grupo!$C$4)/COUNTIFS(Datos_items!$B:$B,$B169,Datos_items!$O:$O,O$4,Datos_items!$E:$E,Analisis_grupo!$C$4),""))</f>
        <v/>
      </c>
      <c r="P169" s="18" t="str">
        <f aca="false">IF($B169="","",IFERROR(SUMIFS(Datos_items!$Z:$Z,Datos_items!$B:$B,$B169,Datos_items!$O:$O,P$4,Datos_items!$E:$E,Analisis_grupo!$C$4)/COUNTIFS(Datos_items!$B:$B,$B169,Datos_items!$O:$O,P$4,Datos_items!$E:$E,Analisis_grupo!$C$4),""))</f>
        <v/>
      </c>
      <c r="Q169" s="18" t="str">
        <f aca="false">IF($B169="","",IFERROR(SUMIFS(Datos_items!$Z:$Z,Datos_items!$B:$B,$B169,Datos_items!$O:$O,Q$4,Datos_items!$E:$E,Analisis_grupo!$C$4)/COUNTIFS(Datos_items!$B:$B,$B169,Datos_items!$O:$O,Q$4,Datos_items!$E:$E,Analisis_grupo!$C$4),""))</f>
        <v/>
      </c>
      <c r="R169" s="2" t="str">
        <f aca="false">IF(COUNT(J169:Q169)=0,"",IF(MIN(J169:Q169)&gt;=Analisis_grupo!$B$7,"(ninguna)",INDEX($J$4:$Q$4,MATCH(MIN(J169:Q169),J169:Q169,0))))</f>
        <v/>
      </c>
      <c r="S169" s="2" t="str">
        <f aca="false">IF($B169="","",COUNTIF(J169:Q169,"&lt;"&amp;Analisis_grupo!$B$7))</f>
        <v/>
      </c>
      <c r="T169" s="2" t="str">
        <f aca="false">IF($B169="","",COUNTIFS(Datos_items!$B:$B,$B169,Datos_items!$AA:$AA,T$4,Datos_items!$E:$E,Analisis_grupo!$C$4))</f>
        <v/>
      </c>
      <c r="U169" s="2" t="str">
        <f aca="false">IF($B169="","",COUNTIFS(Datos_items!$B:$B,$B169,Datos_items!$AA:$AA,U$4,Datos_items!$E:$E,Analisis_grupo!$C$4))</f>
        <v/>
      </c>
      <c r="V169" s="2" t="str">
        <f aca="false">IF($B169="","",COUNTIFS(Datos_items!$B:$B,$B169,Datos_items!$AA:$AA,V$4,Datos_items!$E:$E,Analisis_grupo!$C$4))</f>
        <v/>
      </c>
      <c r="W169" s="2" t="str">
        <f aca="false">IF($B169="","",COUNTIFS(Datos_items!$B:$B,$B169,Datos_items!$AA:$AA,W$4,Datos_items!$E:$E,Analisis_grupo!$C$4))</f>
        <v/>
      </c>
      <c r="X169" s="2" t="str">
        <f aca="false">IF($B169="","",COUNTIFS(Datos_items!$B:$B,$B169,Datos_items!$AA:$AA,X$4,Datos_items!$E:$E,Analisis_grupo!$C$4))</f>
        <v/>
      </c>
      <c r="Y169" s="2" t="str">
        <f aca="false">IF($B169="","",COUNTIFS(Datos_items!$B:$B,$B169,Datos_items!$AA:$AA,Y$4,Datos_items!$E:$E,Analisis_grupo!$C$4))</f>
        <v/>
      </c>
      <c r="Z169" s="2" t="str">
        <f aca="false">IF($B169="","",COUNTIFS(Datos_items!$B:$B,$B169,Datos_items!$AA:$AA,Z$4,Datos_items!$E:$E,Analisis_grupo!$C$4))</f>
        <v/>
      </c>
      <c r="AA169" s="2" t="str">
        <f aca="false">IF($B169="","",COUNTIFS(Datos_items!$B:$B,$B169,Datos_items!$AA:$AA,AA$4,Datos_items!$E:$E,Analisis_grupo!$C$4))</f>
        <v/>
      </c>
      <c r="AB169" s="2" t="str">
        <f aca="false">IF($B169="","",COUNTIFS(Datos_items!$B:$B,$B169,Datos_items!$AA:$AA,AB$4,Datos_items!$E:$E,Analisis_grupo!$C$4))</f>
        <v/>
      </c>
      <c r="AC169" s="2" t="str">
        <f aca="false">IF($B169="","",COUNTIFS(Datos_items!$B:$B,$B169,Datos_items!$AA:$AA,AC$4,Datos_items!$E:$E,Analisis_grupo!$C$4))</f>
        <v/>
      </c>
      <c r="AD169" s="2" t="str">
        <f aca="false">IF($B169="","",COUNTIFS(Datos_items!$B:$B,$B169,Datos_items!$AA:$AA,AD$4,Datos_items!$E:$E,Analisis_grupo!$C$4))</f>
        <v/>
      </c>
      <c r="AE169" s="2" t="str">
        <f aca="false">IF($B169="","",COUNTIFS(Datos_items!$B:$B,$B169,Datos_items!$AA:$AA,AE$4,Datos_items!$E:$E,Analisis_grupo!$C$4))</f>
        <v/>
      </c>
      <c r="AF169" s="2" t="str">
        <f aca="false">IF($B169="","",COUNTIFS(Datos_items!$B:$B,$B169,Datos_items!$AA:$AA,AF$4,Datos_items!$E:$E,Analisis_grupo!$C$4))</f>
        <v/>
      </c>
      <c r="AG169" s="2" t="str">
        <f aca="false">IF($B169="","",COUNTIFS(Datos_items!$B:$B,$B169,Datos_items!$AA:$AA,AG$4,Datos_items!$E:$E,Analisis_grupo!$C$4))</f>
        <v/>
      </c>
      <c r="AH169" s="2" t="str">
        <f aca="false">IF($B169="","",COUNTIFS(Datos_items!$B:$B,$B169,Datos_items!$AA:$AA,AH$4,Datos_items!$E:$E,Analisis_grupo!$C$4))</f>
        <v/>
      </c>
      <c r="AI169" s="2" t="str">
        <f aca="false">IF($B169="","",COUNTIFS(Datos_items!$B:$B,$B169,Datos_items!$AA:$AA,AI$4,Datos_items!$E:$E,Analisis_grupo!$C$4))</f>
        <v/>
      </c>
      <c r="AJ169" s="2" t="str">
        <f aca="false">IF($B169="","",COUNTIFS(Datos_items!$B:$B,$B169,Datos_items!$AA:$AA,AJ$4,Datos_items!$E:$E,Analisis_grupo!$C$4))</f>
        <v/>
      </c>
      <c r="AK169" s="2" t="str">
        <f aca="false">IF($B169="","",COUNTIFS(Datos_items!$B:$B,$B169,Datos_items!$AA:$AA,AK$4,Datos_items!$E:$E,Analisis_grupo!$C$4))</f>
        <v/>
      </c>
      <c r="AL169" s="2" t="str">
        <f aca="false">IF($B169="","",COUNTIFS(Datos_items!$B:$B,$B169,Datos_items!$AA:$AA,AL$4,Datos_items!$E:$E,Analisis_grupo!$C$4))</f>
        <v/>
      </c>
      <c r="AM169" s="2" t="str">
        <f aca="false">IF($B169="","",IF(MAX(Y169:AL169)=0,"",INDEX($Y$4:$AL$4,MATCH(MAX(Y169:AL169),Y169:AL169,0))))</f>
        <v/>
      </c>
      <c r="AN169" s="2" t="str">
        <f aca="false">IF($B169="","",COUNTIFS(Datos_problemas!$B:$B,$B169,Datos_problemas!$F:$F,"Práctica"))</f>
        <v/>
      </c>
      <c r="AO169" s="2" t="str">
        <f aca="false">IF($B169="","",SUMIFS(Datos_problemas!$AQ:$AQ,Datos_problemas!$B:$B,$B169,Datos_problemas!$F:$F,"Práctica"))</f>
        <v/>
      </c>
      <c r="AP169" s="2" t="str">
        <f aca="false">IF($B169="","",COUNTIFS(Datos_problemas!$B:$B,$B169,Datos_problemas!$F:$F,"Práctica",Datos_problemas!$AS:$AS,"Sí"))</f>
        <v/>
      </c>
    </row>
    <row r="170" customFormat="false" ht="15" hidden="false" customHeight="false" outlineLevel="0" collapsed="false">
      <c r="A170" s="2" t="n">
        <v>166</v>
      </c>
      <c r="B170" s="2" t="str">
        <f aca="false">IFERROR(INDEX(Datos_problemas!$B:$B,MATCH($A170,Datos_problemas!$AV:$AV,0)),"")</f>
        <v/>
      </c>
      <c r="C170" s="2" t="str">
        <f aca="false">IF($B170="","",INDEX(Datos_problemas!$C:$C,MATCH($A170,Datos_problemas!$AV:$AV,0)))</f>
        <v/>
      </c>
      <c r="D170" s="2" t="str">
        <f aca="false">IF($B170="","",INDEX(Datos_problemas!$D:$D,MATCH($A170,Datos_problemas!$AV:$AV,0)))</f>
        <v/>
      </c>
      <c r="E170" s="2" t="str">
        <f aca="false">IF($B170="","",COUNTIFS(Datos_problemas!$B:$B,$B170,Datos_problemas!$F:$F,"Evaluación"))</f>
        <v/>
      </c>
      <c r="F170" s="20" t="str">
        <f aca="false">IF($B170="","",IFERROR(AVERAGEIFS(Datos_problemas!$AE:$AE,Datos_problemas!$B:$B,$B170,Datos_problemas!$F:$F,"Evaluación"),""))</f>
        <v/>
      </c>
      <c r="G170" s="20" t="str">
        <f aca="false">IF($B170="","",IFERROR(AVERAGEIFS(Datos_problemas!$AE:$AE,Datos_problemas!$B:$B,$B170,Datos_problemas!$F:$F,"Evaluación",Datos_problemas!$E:$E,"Diagnóstico"),""))</f>
        <v/>
      </c>
      <c r="H170" s="20" t="str">
        <f aca="false">IF($B170="","",IFERROR(AVERAGEIFS(Datos_problemas!$AE:$AE,Datos_problemas!$B:$B,$B170,Datos_problemas!$F:$F,"Evaluación",Datos_problemas!$E:$E,"Final"),""))</f>
        <v/>
      </c>
      <c r="I170" s="21" t="str">
        <f aca="false">IF(OR(G170="",H170=""),"",IF(G170&gt;=10,"",(H170-G170)/(10-G170)))</f>
        <v/>
      </c>
      <c r="J170" s="18" t="str">
        <f aca="false">IF($B170="","",IFERROR(SUMIFS(Datos_items!$Z:$Z,Datos_items!$B:$B,$B170,Datos_items!$O:$O,J$4,Datos_items!$E:$E,Analisis_grupo!$C$4)/COUNTIFS(Datos_items!$B:$B,$B170,Datos_items!$O:$O,J$4,Datos_items!$E:$E,Analisis_grupo!$C$4),""))</f>
        <v/>
      </c>
      <c r="K170" s="18" t="str">
        <f aca="false">IF($B170="","",IFERROR(SUMIFS(Datos_items!$Z:$Z,Datos_items!$B:$B,$B170,Datos_items!$O:$O,K$4,Datos_items!$E:$E,Analisis_grupo!$C$4)/COUNTIFS(Datos_items!$B:$B,$B170,Datos_items!$O:$O,K$4,Datos_items!$E:$E,Analisis_grupo!$C$4),""))</f>
        <v/>
      </c>
      <c r="L170" s="18" t="str">
        <f aca="false">IF($B170="","",IFERROR(SUMIFS(Datos_items!$Z:$Z,Datos_items!$B:$B,$B170,Datos_items!$O:$O,L$4,Datos_items!$E:$E,Analisis_grupo!$C$4)/COUNTIFS(Datos_items!$B:$B,$B170,Datos_items!$O:$O,L$4,Datos_items!$E:$E,Analisis_grupo!$C$4),""))</f>
        <v/>
      </c>
      <c r="M170" s="18" t="str">
        <f aca="false">IF($B170="","",IFERROR(SUMIFS(Datos_items!$Z:$Z,Datos_items!$B:$B,$B170,Datos_items!$O:$O,M$4,Datos_items!$E:$E,Analisis_grupo!$C$4)/COUNTIFS(Datos_items!$B:$B,$B170,Datos_items!$O:$O,M$4,Datos_items!$E:$E,Analisis_grupo!$C$4),""))</f>
        <v/>
      </c>
      <c r="N170" s="18" t="str">
        <f aca="false">IF($B170="","",IFERROR(SUMIFS(Datos_items!$Z:$Z,Datos_items!$B:$B,$B170,Datos_items!$O:$O,N$4,Datos_items!$E:$E,Analisis_grupo!$C$4)/COUNTIFS(Datos_items!$B:$B,$B170,Datos_items!$O:$O,N$4,Datos_items!$E:$E,Analisis_grupo!$C$4),""))</f>
        <v/>
      </c>
      <c r="O170" s="18" t="str">
        <f aca="false">IF($B170="","",IFERROR(SUMIFS(Datos_items!$Z:$Z,Datos_items!$B:$B,$B170,Datos_items!$O:$O,O$4,Datos_items!$E:$E,Analisis_grupo!$C$4)/COUNTIFS(Datos_items!$B:$B,$B170,Datos_items!$O:$O,O$4,Datos_items!$E:$E,Analisis_grupo!$C$4),""))</f>
        <v/>
      </c>
      <c r="P170" s="18" t="str">
        <f aca="false">IF($B170="","",IFERROR(SUMIFS(Datos_items!$Z:$Z,Datos_items!$B:$B,$B170,Datos_items!$O:$O,P$4,Datos_items!$E:$E,Analisis_grupo!$C$4)/COUNTIFS(Datos_items!$B:$B,$B170,Datos_items!$O:$O,P$4,Datos_items!$E:$E,Analisis_grupo!$C$4),""))</f>
        <v/>
      </c>
      <c r="Q170" s="18" t="str">
        <f aca="false">IF($B170="","",IFERROR(SUMIFS(Datos_items!$Z:$Z,Datos_items!$B:$B,$B170,Datos_items!$O:$O,Q$4,Datos_items!$E:$E,Analisis_grupo!$C$4)/COUNTIFS(Datos_items!$B:$B,$B170,Datos_items!$O:$O,Q$4,Datos_items!$E:$E,Analisis_grupo!$C$4),""))</f>
        <v/>
      </c>
      <c r="R170" s="2" t="str">
        <f aca="false">IF(COUNT(J170:Q170)=0,"",IF(MIN(J170:Q170)&gt;=Analisis_grupo!$B$7,"(ninguna)",INDEX($J$4:$Q$4,MATCH(MIN(J170:Q170),J170:Q170,0))))</f>
        <v/>
      </c>
      <c r="S170" s="2" t="str">
        <f aca="false">IF($B170="","",COUNTIF(J170:Q170,"&lt;"&amp;Analisis_grupo!$B$7))</f>
        <v/>
      </c>
      <c r="T170" s="2" t="str">
        <f aca="false">IF($B170="","",COUNTIFS(Datos_items!$B:$B,$B170,Datos_items!$AA:$AA,T$4,Datos_items!$E:$E,Analisis_grupo!$C$4))</f>
        <v/>
      </c>
      <c r="U170" s="2" t="str">
        <f aca="false">IF($B170="","",COUNTIFS(Datos_items!$B:$B,$B170,Datos_items!$AA:$AA,U$4,Datos_items!$E:$E,Analisis_grupo!$C$4))</f>
        <v/>
      </c>
      <c r="V170" s="2" t="str">
        <f aca="false">IF($B170="","",COUNTIFS(Datos_items!$B:$B,$B170,Datos_items!$AA:$AA,V$4,Datos_items!$E:$E,Analisis_grupo!$C$4))</f>
        <v/>
      </c>
      <c r="W170" s="2" t="str">
        <f aca="false">IF($B170="","",COUNTIFS(Datos_items!$B:$B,$B170,Datos_items!$AA:$AA,W$4,Datos_items!$E:$E,Analisis_grupo!$C$4))</f>
        <v/>
      </c>
      <c r="X170" s="2" t="str">
        <f aca="false">IF($B170="","",COUNTIFS(Datos_items!$B:$B,$B170,Datos_items!$AA:$AA,X$4,Datos_items!$E:$E,Analisis_grupo!$C$4))</f>
        <v/>
      </c>
      <c r="Y170" s="2" t="str">
        <f aca="false">IF($B170="","",COUNTIFS(Datos_items!$B:$B,$B170,Datos_items!$AA:$AA,Y$4,Datos_items!$E:$E,Analisis_grupo!$C$4))</f>
        <v/>
      </c>
      <c r="Z170" s="2" t="str">
        <f aca="false">IF($B170="","",COUNTIFS(Datos_items!$B:$B,$B170,Datos_items!$AA:$AA,Z$4,Datos_items!$E:$E,Analisis_grupo!$C$4))</f>
        <v/>
      </c>
      <c r="AA170" s="2" t="str">
        <f aca="false">IF($B170="","",COUNTIFS(Datos_items!$B:$B,$B170,Datos_items!$AA:$AA,AA$4,Datos_items!$E:$E,Analisis_grupo!$C$4))</f>
        <v/>
      </c>
      <c r="AB170" s="2" t="str">
        <f aca="false">IF($B170="","",COUNTIFS(Datos_items!$B:$B,$B170,Datos_items!$AA:$AA,AB$4,Datos_items!$E:$E,Analisis_grupo!$C$4))</f>
        <v/>
      </c>
      <c r="AC170" s="2" t="str">
        <f aca="false">IF($B170="","",COUNTIFS(Datos_items!$B:$B,$B170,Datos_items!$AA:$AA,AC$4,Datos_items!$E:$E,Analisis_grupo!$C$4))</f>
        <v/>
      </c>
      <c r="AD170" s="2" t="str">
        <f aca="false">IF($B170="","",COUNTIFS(Datos_items!$B:$B,$B170,Datos_items!$AA:$AA,AD$4,Datos_items!$E:$E,Analisis_grupo!$C$4))</f>
        <v/>
      </c>
      <c r="AE170" s="2" t="str">
        <f aca="false">IF($B170="","",COUNTIFS(Datos_items!$B:$B,$B170,Datos_items!$AA:$AA,AE$4,Datos_items!$E:$E,Analisis_grupo!$C$4))</f>
        <v/>
      </c>
      <c r="AF170" s="2" t="str">
        <f aca="false">IF($B170="","",COUNTIFS(Datos_items!$B:$B,$B170,Datos_items!$AA:$AA,AF$4,Datos_items!$E:$E,Analisis_grupo!$C$4))</f>
        <v/>
      </c>
      <c r="AG170" s="2" t="str">
        <f aca="false">IF($B170="","",COUNTIFS(Datos_items!$B:$B,$B170,Datos_items!$AA:$AA,AG$4,Datos_items!$E:$E,Analisis_grupo!$C$4))</f>
        <v/>
      </c>
      <c r="AH170" s="2" t="str">
        <f aca="false">IF($B170="","",COUNTIFS(Datos_items!$B:$B,$B170,Datos_items!$AA:$AA,AH$4,Datos_items!$E:$E,Analisis_grupo!$C$4))</f>
        <v/>
      </c>
      <c r="AI170" s="2" t="str">
        <f aca="false">IF($B170="","",COUNTIFS(Datos_items!$B:$B,$B170,Datos_items!$AA:$AA,AI$4,Datos_items!$E:$E,Analisis_grupo!$C$4))</f>
        <v/>
      </c>
      <c r="AJ170" s="2" t="str">
        <f aca="false">IF($B170="","",COUNTIFS(Datos_items!$B:$B,$B170,Datos_items!$AA:$AA,AJ$4,Datos_items!$E:$E,Analisis_grupo!$C$4))</f>
        <v/>
      </c>
      <c r="AK170" s="2" t="str">
        <f aca="false">IF($B170="","",COUNTIFS(Datos_items!$B:$B,$B170,Datos_items!$AA:$AA,AK$4,Datos_items!$E:$E,Analisis_grupo!$C$4))</f>
        <v/>
      </c>
      <c r="AL170" s="2" t="str">
        <f aca="false">IF($B170="","",COUNTIFS(Datos_items!$B:$B,$B170,Datos_items!$AA:$AA,AL$4,Datos_items!$E:$E,Analisis_grupo!$C$4))</f>
        <v/>
      </c>
      <c r="AM170" s="2" t="str">
        <f aca="false">IF($B170="","",IF(MAX(Y170:AL170)=0,"",INDEX($Y$4:$AL$4,MATCH(MAX(Y170:AL170),Y170:AL170,0))))</f>
        <v/>
      </c>
      <c r="AN170" s="2" t="str">
        <f aca="false">IF($B170="","",COUNTIFS(Datos_problemas!$B:$B,$B170,Datos_problemas!$F:$F,"Práctica"))</f>
        <v/>
      </c>
      <c r="AO170" s="2" t="str">
        <f aca="false">IF($B170="","",SUMIFS(Datos_problemas!$AQ:$AQ,Datos_problemas!$B:$B,$B170,Datos_problemas!$F:$F,"Práctica"))</f>
        <v/>
      </c>
      <c r="AP170" s="2" t="str">
        <f aca="false">IF($B170="","",COUNTIFS(Datos_problemas!$B:$B,$B170,Datos_problemas!$F:$F,"Práctica",Datos_problemas!$AS:$AS,"Sí"))</f>
        <v/>
      </c>
    </row>
    <row r="171" customFormat="false" ht="15" hidden="false" customHeight="false" outlineLevel="0" collapsed="false">
      <c r="A171" s="2" t="n">
        <v>167</v>
      </c>
      <c r="B171" s="2" t="str">
        <f aca="false">IFERROR(INDEX(Datos_problemas!$B:$B,MATCH($A171,Datos_problemas!$AV:$AV,0)),"")</f>
        <v/>
      </c>
      <c r="C171" s="2" t="str">
        <f aca="false">IF($B171="","",INDEX(Datos_problemas!$C:$C,MATCH($A171,Datos_problemas!$AV:$AV,0)))</f>
        <v/>
      </c>
      <c r="D171" s="2" t="str">
        <f aca="false">IF($B171="","",INDEX(Datos_problemas!$D:$D,MATCH($A171,Datos_problemas!$AV:$AV,0)))</f>
        <v/>
      </c>
      <c r="E171" s="2" t="str">
        <f aca="false">IF($B171="","",COUNTIFS(Datos_problemas!$B:$B,$B171,Datos_problemas!$F:$F,"Evaluación"))</f>
        <v/>
      </c>
      <c r="F171" s="20" t="str">
        <f aca="false">IF($B171="","",IFERROR(AVERAGEIFS(Datos_problemas!$AE:$AE,Datos_problemas!$B:$B,$B171,Datos_problemas!$F:$F,"Evaluación"),""))</f>
        <v/>
      </c>
      <c r="G171" s="20" t="str">
        <f aca="false">IF($B171="","",IFERROR(AVERAGEIFS(Datos_problemas!$AE:$AE,Datos_problemas!$B:$B,$B171,Datos_problemas!$F:$F,"Evaluación",Datos_problemas!$E:$E,"Diagnóstico"),""))</f>
        <v/>
      </c>
      <c r="H171" s="20" t="str">
        <f aca="false">IF($B171="","",IFERROR(AVERAGEIFS(Datos_problemas!$AE:$AE,Datos_problemas!$B:$B,$B171,Datos_problemas!$F:$F,"Evaluación",Datos_problemas!$E:$E,"Final"),""))</f>
        <v/>
      </c>
      <c r="I171" s="21" t="str">
        <f aca="false">IF(OR(G171="",H171=""),"",IF(G171&gt;=10,"",(H171-G171)/(10-G171)))</f>
        <v/>
      </c>
      <c r="J171" s="18" t="str">
        <f aca="false">IF($B171="","",IFERROR(SUMIFS(Datos_items!$Z:$Z,Datos_items!$B:$B,$B171,Datos_items!$O:$O,J$4,Datos_items!$E:$E,Analisis_grupo!$C$4)/COUNTIFS(Datos_items!$B:$B,$B171,Datos_items!$O:$O,J$4,Datos_items!$E:$E,Analisis_grupo!$C$4),""))</f>
        <v/>
      </c>
      <c r="K171" s="18" t="str">
        <f aca="false">IF($B171="","",IFERROR(SUMIFS(Datos_items!$Z:$Z,Datos_items!$B:$B,$B171,Datos_items!$O:$O,K$4,Datos_items!$E:$E,Analisis_grupo!$C$4)/COUNTIFS(Datos_items!$B:$B,$B171,Datos_items!$O:$O,K$4,Datos_items!$E:$E,Analisis_grupo!$C$4),""))</f>
        <v/>
      </c>
      <c r="L171" s="18" t="str">
        <f aca="false">IF($B171="","",IFERROR(SUMIFS(Datos_items!$Z:$Z,Datos_items!$B:$B,$B171,Datos_items!$O:$O,L$4,Datos_items!$E:$E,Analisis_grupo!$C$4)/COUNTIFS(Datos_items!$B:$B,$B171,Datos_items!$O:$O,L$4,Datos_items!$E:$E,Analisis_grupo!$C$4),""))</f>
        <v/>
      </c>
      <c r="M171" s="18" t="str">
        <f aca="false">IF($B171="","",IFERROR(SUMIFS(Datos_items!$Z:$Z,Datos_items!$B:$B,$B171,Datos_items!$O:$O,M$4,Datos_items!$E:$E,Analisis_grupo!$C$4)/COUNTIFS(Datos_items!$B:$B,$B171,Datos_items!$O:$O,M$4,Datos_items!$E:$E,Analisis_grupo!$C$4),""))</f>
        <v/>
      </c>
      <c r="N171" s="18" t="str">
        <f aca="false">IF($B171="","",IFERROR(SUMIFS(Datos_items!$Z:$Z,Datos_items!$B:$B,$B171,Datos_items!$O:$O,N$4,Datos_items!$E:$E,Analisis_grupo!$C$4)/COUNTIFS(Datos_items!$B:$B,$B171,Datos_items!$O:$O,N$4,Datos_items!$E:$E,Analisis_grupo!$C$4),""))</f>
        <v/>
      </c>
      <c r="O171" s="18" t="str">
        <f aca="false">IF($B171="","",IFERROR(SUMIFS(Datos_items!$Z:$Z,Datos_items!$B:$B,$B171,Datos_items!$O:$O,O$4,Datos_items!$E:$E,Analisis_grupo!$C$4)/COUNTIFS(Datos_items!$B:$B,$B171,Datos_items!$O:$O,O$4,Datos_items!$E:$E,Analisis_grupo!$C$4),""))</f>
        <v/>
      </c>
      <c r="P171" s="18" t="str">
        <f aca="false">IF($B171="","",IFERROR(SUMIFS(Datos_items!$Z:$Z,Datos_items!$B:$B,$B171,Datos_items!$O:$O,P$4,Datos_items!$E:$E,Analisis_grupo!$C$4)/COUNTIFS(Datos_items!$B:$B,$B171,Datos_items!$O:$O,P$4,Datos_items!$E:$E,Analisis_grupo!$C$4),""))</f>
        <v/>
      </c>
      <c r="Q171" s="18" t="str">
        <f aca="false">IF($B171="","",IFERROR(SUMIFS(Datos_items!$Z:$Z,Datos_items!$B:$B,$B171,Datos_items!$O:$O,Q$4,Datos_items!$E:$E,Analisis_grupo!$C$4)/COUNTIFS(Datos_items!$B:$B,$B171,Datos_items!$O:$O,Q$4,Datos_items!$E:$E,Analisis_grupo!$C$4),""))</f>
        <v/>
      </c>
      <c r="R171" s="2" t="str">
        <f aca="false">IF(COUNT(J171:Q171)=0,"",IF(MIN(J171:Q171)&gt;=Analisis_grupo!$B$7,"(ninguna)",INDEX($J$4:$Q$4,MATCH(MIN(J171:Q171),J171:Q171,0))))</f>
        <v/>
      </c>
      <c r="S171" s="2" t="str">
        <f aca="false">IF($B171="","",COUNTIF(J171:Q171,"&lt;"&amp;Analisis_grupo!$B$7))</f>
        <v/>
      </c>
      <c r="T171" s="2" t="str">
        <f aca="false">IF($B171="","",COUNTIFS(Datos_items!$B:$B,$B171,Datos_items!$AA:$AA,T$4,Datos_items!$E:$E,Analisis_grupo!$C$4))</f>
        <v/>
      </c>
      <c r="U171" s="2" t="str">
        <f aca="false">IF($B171="","",COUNTIFS(Datos_items!$B:$B,$B171,Datos_items!$AA:$AA,U$4,Datos_items!$E:$E,Analisis_grupo!$C$4))</f>
        <v/>
      </c>
      <c r="V171" s="2" t="str">
        <f aca="false">IF($B171="","",COUNTIFS(Datos_items!$B:$B,$B171,Datos_items!$AA:$AA,V$4,Datos_items!$E:$E,Analisis_grupo!$C$4))</f>
        <v/>
      </c>
      <c r="W171" s="2" t="str">
        <f aca="false">IF($B171="","",COUNTIFS(Datos_items!$B:$B,$B171,Datos_items!$AA:$AA,W$4,Datos_items!$E:$E,Analisis_grupo!$C$4))</f>
        <v/>
      </c>
      <c r="X171" s="2" t="str">
        <f aca="false">IF($B171="","",COUNTIFS(Datos_items!$B:$B,$B171,Datos_items!$AA:$AA,X$4,Datos_items!$E:$E,Analisis_grupo!$C$4))</f>
        <v/>
      </c>
      <c r="Y171" s="2" t="str">
        <f aca="false">IF($B171="","",COUNTIFS(Datos_items!$B:$B,$B171,Datos_items!$AA:$AA,Y$4,Datos_items!$E:$E,Analisis_grupo!$C$4))</f>
        <v/>
      </c>
      <c r="Z171" s="2" t="str">
        <f aca="false">IF($B171="","",COUNTIFS(Datos_items!$B:$B,$B171,Datos_items!$AA:$AA,Z$4,Datos_items!$E:$E,Analisis_grupo!$C$4))</f>
        <v/>
      </c>
      <c r="AA171" s="2" t="str">
        <f aca="false">IF($B171="","",COUNTIFS(Datos_items!$B:$B,$B171,Datos_items!$AA:$AA,AA$4,Datos_items!$E:$E,Analisis_grupo!$C$4))</f>
        <v/>
      </c>
      <c r="AB171" s="2" t="str">
        <f aca="false">IF($B171="","",COUNTIFS(Datos_items!$B:$B,$B171,Datos_items!$AA:$AA,AB$4,Datos_items!$E:$E,Analisis_grupo!$C$4))</f>
        <v/>
      </c>
      <c r="AC171" s="2" t="str">
        <f aca="false">IF($B171="","",COUNTIFS(Datos_items!$B:$B,$B171,Datos_items!$AA:$AA,AC$4,Datos_items!$E:$E,Analisis_grupo!$C$4))</f>
        <v/>
      </c>
      <c r="AD171" s="2" t="str">
        <f aca="false">IF($B171="","",COUNTIFS(Datos_items!$B:$B,$B171,Datos_items!$AA:$AA,AD$4,Datos_items!$E:$E,Analisis_grupo!$C$4))</f>
        <v/>
      </c>
      <c r="AE171" s="2" t="str">
        <f aca="false">IF($B171="","",COUNTIFS(Datos_items!$B:$B,$B171,Datos_items!$AA:$AA,AE$4,Datos_items!$E:$E,Analisis_grupo!$C$4))</f>
        <v/>
      </c>
      <c r="AF171" s="2" t="str">
        <f aca="false">IF($B171="","",COUNTIFS(Datos_items!$B:$B,$B171,Datos_items!$AA:$AA,AF$4,Datos_items!$E:$E,Analisis_grupo!$C$4))</f>
        <v/>
      </c>
      <c r="AG171" s="2" t="str">
        <f aca="false">IF($B171="","",COUNTIFS(Datos_items!$B:$B,$B171,Datos_items!$AA:$AA,AG$4,Datos_items!$E:$E,Analisis_grupo!$C$4))</f>
        <v/>
      </c>
      <c r="AH171" s="2" t="str">
        <f aca="false">IF($B171="","",COUNTIFS(Datos_items!$B:$B,$B171,Datos_items!$AA:$AA,AH$4,Datos_items!$E:$E,Analisis_grupo!$C$4))</f>
        <v/>
      </c>
      <c r="AI171" s="2" t="str">
        <f aca="false">IF($B171="","",COUNTIFS(Datos_items!$B:$B,$B171,Datos_items!$AA:$AA,AI$4,Datos_items!$E:$E,Analisis_grupo!$C$4))</f>
        <v/>
      </c>
      <c r="AJ171" s="2" t="str">
        <f aca="false">IF($B171="","",COUNTIFS(Datos_items!$B:$B,$B171,Datos_items!$AA:$AA,AJ$4,Datos_items!$E:$E,Analisis_grupo!$C$4))</f>
        <v/>
      </c>
      <c r="AK171" s="2" t="str">
        <f aca="false">IF($B171="","",COUNTIFS(Datos_items!$B:$B,$B171,Datos_items!$AA:$AA,AK$4,Datos_items!$E:$E,Analisis_grupo!$C$4))</f>
        <v/>
      </c>
      <c r="AL171" s="2" t="str">
        <f aca="false">IF($B171="","",COUNTIFS(Datos_items!$B:$B,$B171,Datos_items!$AA:$AA,AL$4,Datos_items!$E:$E,Analisis_grupo!$C$4))</f>
        <v/>
      </c>
      <c r="AM171" s="2" t="str">
        <f aca="false">IF($B171="","",IF(MAX(Y171:AL171)=0,"",INDEX($Y$4:$AL$4,MATCH(MAX(Y171:AL171),Y171:AL171,0))))</f>
        <v/>
      </c>
      <c r="AN171" s="2" t="str">
        <f aca="false">IF($B171="","",COUNTIFS(Datos_problemas!$B:$B,$B171,Datos_problemas!$F:$F,"Práctica"))</f>
        <v/>
      </c>
      <c r="AO171" s="2" t="str">
        <f aca="false">IF($B171="","",SUMIFS(Datos_problemas!$AQ:$AQ,Datos_problemas!$B:$B,$B171,Datos_problemas!$F:$F,"Práctica"))</f>
        <v/>
      </c>
      <c r="AP171" s="2" t="str">
        <f aca="false">IF($B171="","",COUNTIFS(Datos_problemas!$B:$B,$B171,Datos_problemas!$F:$F,"Práctica",Datos_problemas!$AS:$AS,"Sí"))</f>
        <v/>
      </c>
    </row>
    <row r="172" customFormat="false" ht="15" hidden="false" customHeight="false" outlineLevel="0" collapsed="false">
      <c r="A172" s="2" t="n">
        <v>168</v>
      </c>
      <c r="B172" s="2" t="str">
        <f aca="false">IFERROR(INDEX(Datos_problemas!$B:$B,MATCH($A172,Datos_problemas!$AV:$AV,0)),"")</f>
        <v/>
      </c>
      <c r="C172" s="2" t="str">
        <f aca="false">IF($B172="","",INDEX(Datos_problemas!$C:$C,MATCH($A172,Datos_problemas!$AV:$AV,0)))</f>
        <v/>
      </c>
      <c r="D172" s="2" t="str">
        <f aca="false">IF($B172="","",INDEX(Datos_problemas!$D:$D,MATCH($A172,Datos_problemas!$AV:$AV,0)))</f>
        <v/>
      </c>
      <c r="E172" s="2" t="str">
        <f aca="false">IF($B172="","",COUNTIFS(Datos_problemas!$B:$B,$B172,Datos_problemas!$F:$F,"Evaluación"))</f>
        <v/>
      </c>
      <c r="F172" s="20" t="str">
        <f aca="false">IF($B172="","",IFERROR(AVERAGEIFS(Datos_problemas!$AE:$AE,Datos_problemas!$B:$B,$B172,Datos_problemas!$F:$F,"Evaluación"),""))</f>
        <v/>
      </c>
      <c r="G172" s="20" t="str">
        <f aca="false">IF($B172="","",IFERROR(AVERAGEIFS(Datos_problemas!$AE:$AE,Datos_problemas!$B:$B,$B172,Datos_problemas!$F:$F,"Evaluación",Datos_problemas!$E:$E,"Diagnóstico"),""))</f>
        <v/>
      </c>
      <c r="H172" s="20" t="str">
        <f aca="false">IF($B172="","",IFERROR(AVERAGEIFS(Datos_problemas!$AE:$AE,Datos_problemas!$B:$B,$B172,Datos_problemas!$F:$F,"Evaluación",Datos_problemas!$E:$E,"Final"),""))</f>
        <v/>
      </c>
      <c r="I172" s="21" t="str">
        <f aca="false">IF(OR(G172="",H172=""),"",IF(G172&gt;=10,"",(H172-G172)/(10-G172)))</f>
        <v/>
      </c>
      <c r="J172" s="18" t="str">
        <f aca="false">IF($B172="","",IFERROR(SUMIFS(Datos_items!$Z:$Z,Datos_items!$B:$B,$B172,Datos_items!$O:$O,J$4,Datos_items!$E:$E,Analisis_grupo!$C$4)/COUNTIFS(Datos_items!$B:$B,$B172,Datos_items!$O:$O,J$4,Datos_items!$E:$E,Analisis_grupo!$C$4),""))</f>
        <v/>
      </c>
      <c r="K172" s="18" t="str">
        <f aca="false">IF($B172="","",IFERROR(SUMIFS(Datos_items!$Z:$Z,Datos_items!$B:$B,$B172,Datos_items!$O:$O,K$4,Datos_items!$E:$E,Analisis_grupo!$C$4)/COUNTIFS(Datos_items!$B:$B,$B172,Datos_items!$O:$O,K$4,Datos_items!$E:$E,Analisis_grupo!$C$4),""))</f>
        <v/>
      </c>
      <c r="L172" s="18" t="str">
        <f aca="false">IF($B172="","",IFERROR(SUMIFS(Datos_items!$Z:$Z,Datos_items!$B:$B,$B172,Datos_items!$O:$O,L$4,Datos_items!$E:$E,Analisis_grupo!$C$4)/COUNTIFS(Datos_items!$B:$B,$B172,Datos_items!$O:$O,L$4,Datos_items!$E:$E,Analisis_grupo!$C$4),""))</f>
        <v/>
      </c>
      <c r="M172" s="18" t="str">
        <f aca="false">IF($B172="","",IFERROR(SUMIFS(Datos_items!$Z:$Z,Datos_items!$B:$B,$B172,Datos_items!$O:$O,M$4,Datos_items!$E:$E,Analisis_grupo!$C$4)/COUNTIFS(Datos_items!$B:$B,$B172,Datos_items!$O:$O,M$4,Datos_items!$E:$E,Analisis_grupo!$C$4),""))</f>
        <v/>
      </c>
      <c r="N172" s="18" t="str">
        <f aca="false">IF($B172="","",IFERROR(SUMIFS(Datos_items!$Z:$Z,Datos_items!$B:$B,$B172,Datos_items!$O:$O,N$4,Datos_items!$E:$E,Analisis_grupo!$C$4)/COUNTIFS(Datos_items!$B:$B,$B172,Datos_items!$O:$O,N$4,Datos_items!$E:$E,Analisis_grupo!$C$4),""))</f>
        <v/>
      </c>
      <c r="O172" s="18" t="str">
        <f aca="false">IF($B172="","",IFERROR(SUMIFS(Datos_items!$Z:$Z,Datos_items!$B:$B,$B172,Datos_items!$O:$O,O$4,Datos_items!$E:$E,Analisis_grupo!$C$4)/COUNTIFS(Datos_items!$B:$B,$B172,Datos_items!$O:$O,O$4,Datos_items!$E:$E,Analisis_grupo!$C$4),""))</f>
        <v/>
      </c>
      <c r="P172" s="18" t="str">
        <f aca="false">IF($B172="","",IFERROR(SUMIFS(Datos_items!$Z:$Z,Datos_items!$B:$B,$B172,Datos_items!$O:$O,P$4,Datos_items!$E:$E,Analisis_grupo!$C$4)/COUNTIFS(Datos_items!$B:$B,$B172,Datos_items!$O:$O,P$4,Datos_items!$E:$E,Analisis_grupo!$C$4),""))</f>
        <v/>
      </c>
      <c r="Q172" s="18" t="str">
        <f aca="false">IF($B172="","",IFERROR(SUMIFS(Datos_items!$Z:$Z,Datos_items!$B:$B,$B172,Datos_items!$O:$O,Q$4,Datos_items!$E:$E,Analisis_grupo!$C$4)/COUNTIFS(Datos_items!$B:$B,$B172,Datos_items!$O:$O,Q$4,Datos_items!$E:$E,Analisis_grupo!$C$4),""))</f>
        <v/>
      </c>
      <c r="R172" s="2" t="str">
        <f aca="false">IF(COUNT(J172:Q172)=0,"",IF(MIN(J172:Q172)&gt;=Analisis_grupo!$B$7,"(ninguna)",INDEX($J$4:$Q$4,MATCH(MIN(J172:Q172),J172:Q172,0))))</f>
        <v/>
      </c>
      <c r="S172" s="2" t="str">
        <f aca="false">IF($B172="","",COUNTIF(J172:Q172,"&lt;"&amp;Analisis_grupo!$B$7))</f>
        <v/>
      </c>
      <c r="T172" s="2" t="str">
        <f aca="false">IF($B172="","",COUNTIFS(Datos_items!$B:$B,$B172,Datos_items!$AA:$AA,T$4,Datos_items!$E:$E,Analisis_grupo!$C$4))</f>
        <v/>
      </c>
      <c r="U172" s="2" t="str">
        <f aca="false">IF($B172="","",COUNTIFS(Datos_items!$B:$B,$B172,Datos_items!$AA:$AA,U$4,Datos_items!$E:$E,Analisis_grupo!$C$4))</f>
        <v/>
      </c>
      <c r="V172" s="2" t="str">
        <f aca="false">IF($B172="","",COUNTIFS(Datos_items!$B:$B,$B172,Datos_items!$AA:$AA,V$4,Datos_items!$E:$E,Analisis_grupo!$C$4))</f>
        <v/>
      </c>
      <c r="W172" s="2" t="str">
        <f aca="false">IF($B172="","",COUNTIFS(Datos_items!$B:$B,$B172,Datos_items!$AA:$AA,W$4,Datos_items!$E:$E,Analisis_grupo!$C$4))</f>
        <v/>
      </c>
      <c r="X172" s="2" t="str">
        <f aca="false">IF($B172="","",COUNTIFS(Datos_items!$B:$B,$B172,Datos_items!$AA:$AA,X$4,Datos_items!$E:$E,Analisis_grupo!$C$4))</f>
        <v/>
      </c>
      <c r="Y172" s="2" t="str">
        <f aca="false">IF($B172="","",COUNTIFS(Datos_items!$B:$B,$B172,Datos_items!$AA:$AA,Y$4,Datos_items!$E:$E,Analisis_grupo!$C$4))</f>
        <v/>
      </c>
      <c r="Z172" s="2" t="str">
        <f aca="false">IF($B172="","",COUNTIFS(Datos_items!$B:$B,$B172,Datos_items!$AA:$AA,Z$4,Datos_items!$E:$E,Analisis_grupo!$C$4))</f>
        <v/>
      </c>
      <c r="AA172" s="2" t="str">
        <f aca="false">IF($B172="","",COUNTIFS(Datos_items!$B:$B,$B172,Datos_items!$AA:$AA,AA$4,Datos_items!$E:$E,Analisis_grupo!$C$4))</f>
        <v/>
      </c>
      <c r="AB172" s="2" t="str">
        <f aca="false">IF($B172="","",COUNTIFS(Datos_items!$B:$B,$B172,Datos_items!$AA:$AA,AB$4,Datos_items!$E:$E,Analisis_grupo!$C$4))</f>
        <v/>
      </c>
      <c r="AC172" s="2" t="str">
        <f aca="false">IF($B172="","",COUNTIFS(Datos_items!$B:$B,$B172,Datos_items!$AA:$AA,AC$4,Datos_items!$E:$E,Analisis_grupo!$C$4))</f>
        <v/>
      </c>
      <c r="AD172" s="2" t="str">
        <f aca="false">IF($B172="","",COUNTIFS(Datos_items!$B:$B,$B172,Datos_items!$AA:$AA,AD$4,Datos_items!$E:$E,Analisis_grupo!$C$4))</f>
        <v/>
      </c>
      <c r="AE172" s="2" t="str">
        <f aca="false">IF($B172="","",COUNTIFS(Datos_items!$B:$B,$B172,Datos_items!$AA:$AA,AE$4,Datos_items!$E:$E,Analisis_grupo!$C$4))</f>
        <v/>
      </c>
      <c r="AF172" s="2" t="str">
        <f aca="false">IF($B172="","",COUNTIFS(Datos_items!$B:$B,$B172,Datos_items!$AA:$AA,AF$4,Datos_items!$E:$E,Analisis_grupo!$C$4))</f>
        <v/>
      </c>
      <c r="AG172" s="2" t="str">
        <f aca="false">IF($B172="","",COUNTIFS(Datos_items!$B:$B,$B172,Datos_items!$AA:$AA,AG$4,Datos_items!$E:$E,Analisis_grupo!$C$4))</f>
        <v/>
      </c>
      <c r="AH172" s="2" t="str">
        <f aca="false">IF($B172="","",COUNTIFS(Datos_items!$B:$B,$B172,Datos_items!$AA:$AA,AH$4,Datos_items!$E:$E,Analisis_grupo!$C$4))</f>
        <v/>
      </c>
      <c r="AI172" s="2" t="str">
        <f aca="false">IF($B172="","",COUNTIFS(Datos_items!$B:$B,$B172,Datos_items!$AA:$AA,AI$4,Datos_items!$E:$E,Analisis_grupo!$C$4))</f>
        <v/>
      </c>
      <c r="AJ172" s="2" t="str">
        <f aca="false">IF($B172="","",COUNTIFS(Datos_items!$B:$B,$B172,Datos_items!$AA:$AA,AJ$4,Datos_items!$E:$E,Analisis_grupo!$C$4))</f>
        <v/>
      </c>
      <c r="AK172" s="2" t="str">
        <f aca="false">IF($B172="","",COUNTIFS(Datos_items!$B:$B,$B172,Datos_items!$AA:$AA,AK$4,Datos_items!$E:$E,Analisis_grupo!$C$4))</f>
        <v/>
      </c>
      <c r="AL172" s="2" t="str">
        <f aca="false">IF($B172="","",COUNTIFS(Datos_items!$B:$B,$B172,Datos_items!$AA:$AA,AL$4,Datos_items!$E:$E,Analisis_grupo!$C$4))</f>
        <v/>
      </c>
      <c r="AM172" s="2" t="str">
        <f aca="false">IF($B172="","",IF(MAX(Y172:AL172)=0,"",INDEX($Y$4:$AL$4,MATCH(MAX(Y172:AL172),Y172:AL172,0))))</f>
        <v/>
      </c>
      <c r="AN172" s="2" t="str">
        <f aca="false">IF($B172="","",COUNTIFS(Datos_problemas!$B:$B,$B172,Datos_problemas!$F:$F,"Práctica"))</f>
        <v/>
      </c>
      <c r="AO172" s="2" t="str">
        <f aca="false">IF($B172="","",SUMIFS(Datos_problemas!$AQ:$AQ,Datos_problemas!$B:$B,$B172,Datos_problemas!$F:$F,"Práctica"))</f>
        <v/>
      </c>
      <c r="AP172" s="2" t="str">
        <f aca="false">IF($B172="","",COUNTIFS(Datos_problemas!$B:$B,$B172,Datos_problemas!$F:$F,"Práctica",Datos_problemas!$AS:$AS,"Sí"))</f>
        <v/>
      </c>
    </row>
    <row r="173" customFormat="false" ht="15" hidden="false" customHeight="false" outlineLevel="0" collapsed="false">
      <c r="A173" s="2" t="n">
        <v>169</v>
      </c>
      <c r="B173" s="2" t="str">
        <f aca="false">IFERROR(INDEX(Datos_problemas!$B:$B,MATCH($A173,Datos_problemas!$AV:$AV,0)),"")</f>
        <v/>
      </c>
      <c r="C173" s="2" t="str">
        <f aca="false">IF($B173="","",INDEX(Datos_problemas!$C:$C,MATCH($A173,Datos_problemas!$AV:$AV,0)))</f>
        <v/>
      </c>
      <c r="D173" s="2" t="str">
        <f aca="false">IF($B173="","",INDEX(Datos_problemas!$D:$D,MATCH($A173,Datos_problemas!$AV:$AV,0)))</f>
        <v/>
      </c>
      <c r="E173" s="2" t="str">
        <f aca="false">IF($B173="","",COUNTIFS(Datos_problemas!$B:$B,$B173,Datos_problemas!$F:$F,"Evaluación"))</f>
        <v/>
      </c>
      <c r="F173" s="20" t="str">
        <f aca="false">IF($B173="","",IFERROR(AVERAGEIFS(Datos_problemas!$AE:$AE,Datos_problemas!$B:$B,$B173,Datos_problemas!$F:$F,"Evaluación"),""))</f>
        <v/>
      </c>
      <c r="G173" s="20" t="str">
        <f aca="false">IF($B173="","",IFERROR(AVERAGEIFS(Datos_problemas!$AE:$AE,Datos_problemas!$B:$B,$B173,Datos_problemas!$F:$F,"Evaluación",Datos_problemas!$E:$E,"Diagnóstico"),""))</f>
        <v/>
      </c>
      <c r="H173" s="20" t="str">
        <f aca="false">IF($B173="","",IFERROR(AVERAGEIFS(Datos_problemas!$AE:$AE,Datos_problemas!$B:$B,$B173,Datos_problemas!$F:$F,"Evaluación",Datos_problemas!$E:$E,"Final"),""))</f>
        <v/>
      </c>
      <c r="I173" s="21" t="str">
        <f aca="false">IF(OR(G173="",H173=""),"",IF(G173&gt;=10,"",(H173-G173)/(10-G173)))</f>
        <v/>
      </c>
      <c r="J173" s="18" t="str">
        <f aca="false">IF($B173="","",IFERROR(SUMIFS(Datos_items!$Z:$Z,Datos_items!$B:$B,$B173,Datos_items!$O:$O,J$4,Datos_items!$E:$E,Analisis_grupo!$C$4)/COUNTIFS(Datos_items!$B:$B,$B173,Datos_items!$O:$O,J$4,Datos_items!$E:$E,Analisis_grupo!$C$4),""))</f>
        <v/>
      </c>
      <c r="K173" s="18" t="str">
        <f aca="false">IF($B173="","",IFERROR(SUMIFS(Datos_items!$Z:$Z,Datos_items!$B:$B,$B173,Datos_items!$O:$O,K$4,Datos_items!$E:$E,Analisis_grupo!$C$4)/COUNTIFS(Datos_items!$B:$B,$B173,Datos_items!$O:$O,K$4,Datos_items!$E:$E,Analisis_grupo!$C$4),""))</f>
        <v/>
      </c>
      <c r="L173" s="18" t="str">
        <f aca="false">IF($B173="","",IFERROR(SUMIFS(Datos_items!$Z:$Z,Datos_items!$B:$B,$B173,Datos_items!$O:$O,L$4,Datos_items!$E:$E,Analisis_grupo!$C$4)/COUNTIFS(Datos_items!$B:$B,$B173,Datos_items!$O:$O,L$4,Datos_items!$E:$E,Analisis_grupo!$C$4),""))</f>
        <v/>
      </c>
      <c r="M173" s="18" t="str">
        <f aca="false">IF($B173="","",IFERROR(SUMIFS(Datos_items!$Z:$Z,Datos_items!$B:$B,$B173,Datos_items!$O:$O,M$4,Datos_items!$E:$E,Analisis_grupo!$C$4)/COUNTIFS(Datos_items!$B:$B,$B173,Datos_items!$O:$O,M$4,Datos_items!$E:$E,Analisis_grupo!$C$4),""))</f>
        <v/>
      </c>
      <c r="N173" s="18" t="str">
        <f aca="false">IF($B173="","",IFERROR(SUMIFS(Datos_items!$Z:$Z,Datos_items!$B:$B,$B173,Datos_items!$O:$O,N$4,Datos_items!$E:$E,Analisis_grupo!$C$4)/COUNTIFS(Datos_items!$B:$B,$B173,Datos_items!$O:$O,N$4,Datos_items!$E:$E,Analisis_grupo!$C$4),""))</f>
        <v/>
      </c>
      <c r="O173" s="18" t="str">
        <f aca="false">IF($B173="","",IFERROR(SUMIFS(Datos_items!$Z:$Z,Datos_items!$B:$B,$B173,Datos_items!$O:$O,O$4,Datos_items!$E:$E,Analisis_grupo!$C$4)/COUNTIFS(Datos_items!$B:$B,$B173,Datos_items!$O:$O,O$4,Datos_items!$E:$E,Analisis_grupo!$C$4),""))</f>
        <v/>
      </c>
      <c r="P173" s="18" t="str">
        <f aca="false">IF($B173="","",IFERROR(SUMIFS(Datos_items!$Z:$Z,Datos_items!$B:$B,$B173,Datos_items!$O:$O,P$4,Datos_items!$E:$E,Analisis_grupo!$C$4)/COUNTIFS(Datos_items!$B:$B,$B173,Datos_items!$O:$O,P$4,Datos_items!$E:$E,Analisis_grupo!$C$4),""))</f>
        <v/>
      </c>
      <c r="Q173" s="18" t="str">
        <f aca="false">IF($B173="","",IFERROR(SUMIFS(Datos_items!$Z:$Z,Datos_items!$B:$B,$B173,Datos_items!$O:$O,Q$4,Datos_items!$E:$E,Analisis_grupo!$C$4)/COUNTIFS(Datos_items!$B:$B,$B173,Datos_items!$O:$O,Q$4,Datos_items!$E:$E,Analisis_grupo!$C$4),""))</f>
        <v/>
      </c>
      <c r="R173" s="2" t="str">
        <f aca="false">IF(COUNT(J173:Q173)=0,"",IF(MIN(J173:Q173)&gt;=Analisis_grupo!$B$7,"(ninguna)",INDEX($J$4:$Q$4,MATCH(MIN(J173:Q173),J173:Q173,0))))</f>
        <v/>
      </c>
      <c r="S173" s="2" t="str">
        <f aca="false">IF($B173="","",COUNTIF(J173:Q173,"&lt;"&amp;Analisis_grupo!$B$7))</f>
        <v/>
      </c>
      <c r="T173" s="2" t="str">
        <f aca="false">IF($B173="","",COUNTIFS(Datos_items!$B:$B,$B173,Datos_items!$AA:$AA,T$4,Datos_items!$E:$E,Analisis_grupo!$C$4))</f>
        <v/>
      </c>
      <c r="U173" s="2" t="str">
        <f aca="false">IF($B173="","",COUNTIFS(Datos_items!$B:$B,$B173,Datos_items!$AA:$AA,U$4,Datos_items!$E:$E,Analisis_grupo!$C$4))</f>
        <v/>
      </c>
      <c r="V173" s="2" t="str">
        <f aca="false">IF($B173="","",COUNTIFS(Datos_items!$B:$B,$B173,Datos_items!$AA:$AA,V$4,Datos_items!$E:$E,Analisis_grupo!$C$4))</f>
        <v/>
      </c>
      <c r="W173" s="2" t="str">
        <f aca="false">IF($B173="","",COUNTIFS(Datos_items!$B:$B,$B173,Datos_items!$AA:$AA,W$4,Datos_items!$E:$E,Analisis_grupo!$C$4))</f>
        <v/>
      </c>
      <c r="X173" s="2" t="str">
        <f aca="false">IF($B173="","",COUNTIFS(Datos_items!$B:$B,$B173,Datos_items!$AA:$AA,X$4,Datos_items!$E:$E,Analisis_grupo!$C$4))</f>
        <v/>
      </c>
      <c r="Y173" s="2" t="str">
        <f aca="false">IF($B173="","",COUNTIFS(Datos_items!$B:$B,$B173,Datos_items!$AA:$AA,Y$4,Datos_items!$E:$E,Analisis_grupo!$C$4))</f>
        <v/>
      </c>
      <c r="Z173" s="2" t="str">
        <f aca="false">IF($B173="","",COUNTIFS(Datos_items!$B:$B,$B173,Datos_items!$AA:$AA,Z$4,Datos_items!$E:$E,Analisis_grupo!$C$4))</f>
        <v/>
      </c>
      <c r="AA173" s="2" t="str">
        <f aca="false">IF($B173="","",COUNTIFS(Datos_items!$B:$B,$B173,Datos_items!$AA:$AA,AA$4,Datos_items!$E:$E,Analisis_grupo!$C$4))</f>
        <v/>
      </c>
      <c r="AB173" s="2" t="str">
        <f aca="false">IF($B173="","",COUNTIFS(Datos_items!$B:$B,$B173,Datos_items!$AA:$AA,AB$4,Datos_items!$E:$E,Analisis_grupo!$C$4))</f>
        <v/>
      </c>
      <c r="AC173" s="2" t="str">
        <f aca="false">IF($B173="","",COUNTIFS(Datos_items!$B:$B,$B173,Datos_items!$AA:$AA,AC$4,Datos_items!$E:$E,Analisis_grupo!$C$4))</f>
        <v/>
      </c>
      <c r="AD173" s="2" t="str">
        <f aca="false">IF($B173="","",COUNTIFS(Datos_items!$B:$B,$B173,Datos_items!$AA:$AA,AD$4,Datos_items!$E:$E,Analisis_grupo!$C$4))</f>
        <v/>
      </c>
      <c r="AE173" s="2" t="str">
        <f aca="false">IF($B173="","",COUNTIFS(Datos_items!$B:$B,$B173,Datos_items!$AA:$AA,AE$4,Datos_items!$E:$E,Analisis_grupo!$C$4))</f>
        <v/>
      </c>
      <c r="AF173" s="2" t="str">
        <f aca="false">IF($B173="","",COUNTIFS(Datos_items!$B:$B,$B173,Datos_items!$AA:$AA,AF$4,Datos_items!$E:$E,Analisis_grupo!$C$4))</f>
        <v/>
      </c>
      <c r="AG173" s="2" t="str">
        <f aca="false">IF($B173="","",COUNTIFS(Datos_items!$B:$B,$B173,Datos_items!$AA:$AA,AG$4,Datos_items!$E:$E,Analisis_grupo!$C$4))</f>
        <v/>
      </c>
      <c r="AH173" s="2" t="str">
        <f aca="false">IF($B173="","",COUNTIFS(Datos_items!$B:$B,$B173,Datos_items!$AA:$AA,AH$4,Datos_items!$E:$E,Analisis_grupo!$C$4))</f>
        <v/>
      </c>
      <c r="AI173" s="2" t="str">
        <f aca="false">IF($B173="","",COUNTIFS(Datos_items!$B:$B,$B173,Datos_items!$AA:$AA,AI$4,Datos_items!$E:$E,Analisis_grupo!$C$4))</f>
        <v/>
      </c>
      <c r="AJ173" s="2" t="str">
        <f aca="false">IF($B173="","",COUNTIFS(Datos_items!$B:$B,$B173,Datos_items!$AA:$AA,AJ$4,Datos_items!$E:$E,Analisis_grupo!$C$4))</f>
        <v/>
      </c>
      <c r="AK173" s="2" t="str">
        <f aca="false">IF($B173="","",COUNTIFS(Datos_items!$B:$B,$B173,Datos_items!$AA:$AA,AK$4,Datos_items!$E:$E,Analisis_grupo!$C$4))</f>
        <v/>
      </c>
      <c r="AL173" s="2" t="str">
        <f aca="false">IF($B173="","",COUNTIFS(Datos_items!$B:$B,$B173,Datos_items!$AA:$AA,AL$4,Datos_items!$E:$E,Analisis_grupo!$C$4))</f>
        <v/>
      </c>
      <c r="AM173" s="2" t="str">
        <f aca="false">IF($B173="","",IF(MAX(Y173:AL173)=0,"",INDEX($Y$4:$AL$4,MATCH(MAX(Y173:AL173),Y173:AL173,0))))</f>
        <v/>
      </c>
      <c r="AN173" s="2" t="str">
        <f aca="false">IF($B173="","",COUNTIFS(Datos_problemas!$B:$B,$B173,Datos_problemas!$F:$F,"Práctica"))</f>
        <v/>
      </c>
      <c r="AO173" s="2" t="str">
        <f aca="false">IF($B173="","",SUMIFS(Datos_problemas!$AQ:$AQ,Datos_problemas!$B:$B,$B173,Datos_problemas!$F:$F,"Práctica"))</f>
        <v/>
      </c>
      <c r="AP173" s="2" t="str">
        <f aca="false">IF($B173="","",COUNTIFS(Datos_problemas!$B:$B,$B173,Datos_problemas!$F:$F,"Práctica",Datos_problemas!$AS:$AS,"Sí"))</f>
        <v/>
      </c>
    </row>
    <row r="174" customFormat="false" ht="15" hidden="false" customHeight="false" outlineLevel="0" collapsed="false">
      <c r="A174" s="2" t="n">
        <v>170</v>
      </c>
      <c r="B174" s="2" t="str">
        <f aca="false">IFERROR(INDEX(Datos_problemas!$B:$B,MATCH($A174,Datos_problemas!$AV:$AV,0)),"")</f>
        <v/>
      </c>
      <c r="C174" s="2" t="str">
        <f aca="false">IF($B174="","",INDEX(Datos_problemas!$C:$C,MATCH($A174,Datos_problemas!$AV:$AV,0)))</f>
        <v/>
      </c>
      <c r="D174" s="2" t="str">
        <f aca="false">IF($B174="","",INDEX(Datos_problemas!$D:$D,MATCH($A174,Datos_problemas!$AV:$AV,0)))</f>
        <v/>
      </c>
      <c r="E174" s="2" t="str">
        <f aca="false">IF($B174="","",COUNTIFS(Datos_problemas!$B:$B,$B174,Datos_problemas!$F:$F,"Evaluación"))</f>
        <v/>
      </c>
      <c r="F174" s="20" t="str">
        <f aca="false">IF($B174="","",IFERROR(AVERAGEIFS(Datos_problemas!$AE:$AE,Datos_problemas!$B:$B,$B174,Datos_problemas!$F:$F,"Evaluación"),""))</f>
        <v/>
      </c>
      <c r="G174" s="20" t="str">
        <f aca="false">IF($B174="","",IFERROR(AVERAGEIFS(Datos_problemas!$AE:$AE,Datos_problemas!$B:$B,$B174,Datos_problemas!$F:$F,"Evaluación",Datos_problemas!$E:$E,"Diagnóstico"),""))</f>
        <v/>
      </c>
      <c r="H174" s="20" t="str">
        <f aca="false">IF($B174="","",IFERROR(AVERAGEIFS(Datos_problemas!$AE:$AE,Datos_problemas!$B:$B,$B174,Datos_problemas!$F:$F,"Evaluación",Datos_problemas!$E:$E,"Final"),""))</f>
        <v/>
      </c>
      <c r="I174" s="21" t="str">
        <f aca="false">IF(OR(G174="",H174=""),"",IF(G174&gt;=10,"",(H174-G174)/(10-G174)))</f>
        <v/>
      </c>
      <c r="J174" s="18" t="str">
        <f aca="false">IF($B174="","",IFERROR(SUMIFS(Datos_items!$Z:$Z,Datos_items!$B:$B,$B174,Datos_items!$O:$O,J$4,Datos_items!$E:$E,Analisis_grupo!$C$4)/COUNTIFS(Datos_items!$B:$B,$B174,Datos_items!$O:$O,J$4,Datos_items!$E:$E,Analisis_grupo!$C$4),""))</f>
        <v/>
      </c>
      <c r="K174" s="18" t="str">
        <f aca="false">IF($B174="","",IFERROR(SUMIFS(Datos_items!$Z:$Z,Datos_items!$B:$B,$B174,Datos_items!$O:$O,K$4,Datos_items!$E:$E,Analisis_grupo!$C$4)/COUNTIFS(Datos_items!$B:$B,$B174,Datos_items!$O:$O,K$4,Datos_items!$E:$E,Analisis_grupo!$C$4),""))</f>
        <v/>
      </c>
      <c r="L174" s="18" t="str">
        <f aca="false">IF($B174="","",IFERROR(SUMIFS(Datos_items!$Z:$Z,Datos_items!$B:$B,$B174,Datos_items!$O:$O,L$4,Datos_items!$E:$E,Analisis_grupo!$C$4)/COUNTIFS(Datos_items!$B:$B,$B174,Datos_items!$O:$O,L$4,Datos_items!$E:$E,Analisis_grupo!$C$4),""))</f>
        <v/>
      </c>
      <c r="M174" s="18" t="str">
        <f aca="false">IF($B174="","",IFERROR(SUMIFS(Datos_items!$Z:$Z,Datos_items!$B:$B,$B174,Datos_items!$O:$O,M$4,Datos_items!$E:$E,Analisis_grupo!$C$4)/COUNTIFS(Datos_items!$B:$B,$B174,Datos_items!$O:$O,M$4,Datos_items!$E:$E,Analisis_grupo!$C$4),""))</f>
        <v/>
      </c>
      <c r="N174" s="18" t="str">
        <f aca="false">IF($B174="","",IFERROR(SUMIFS(Datos_items!$Z:$Z,Datos_items!$B:$B,$B174,Datos_items!$O:$O,N$4,Datos_items!$E:$E,Analisis_grupo!$C$4)/COUNTIFS(Datos_items!$B:$B,$B174,Datos_items!$O:$O,N$4,Datos_items!$E:$E,Analisis_grupo!$C$4),""))</f>
        <v/>
      </c>
      <c r="O174" s="18" t="str">
        <f aca="false">IF($B174="","",IFERROR(SUMIFS(Datos_items!$Z:$Z,Datos_items!$B:$B,$B174,Datos_items!$O:$O,O$4,Datos_items!$E:$E,Analisis_grupo!$C$4)/COUNTIFS(Datos_items!$B:$B,$B174,Datos_items!$O:$O,O$4,Datos_items!$E:$E,Analisis_grupo!$C$4),""))</f>
        <v/>
      </c>
      <c r="P174" s="18" t="str">
        <f aca="false">IF($B174="","",IFERROR(SUMIFS(Datos_items!$Z:$Z,Datos_items!$B:$B,$B174,Datos_items!$O:$O,P$4,Datos_items!$E:$E,Analisis_grupo!$C$4)/COUNTIFS(Datos_items!$B:$B,$B174,Datos_items!$O:$O,P$4,Datos_items!$E:$E,Analisis_grupo!$C$4),""))</f>
        <v/>
      </c>
      <c r="Q174" s="18" t="str">
        <f aca="false">IF($B174="","",IFERROR(SUMIFS(Datos_items!$Z:$Z,Datos_items!$B:$B,$B174,Datos_items!$O:$O,Q$4,Datos_items!$E:$E,Analisis_grupo!$C$4)/COUNTIFS(Datos_items!$B:$B,$B174,Datos_items!$O:$O,Q$4,Datos_items!$E:$E,Analisis_grupo!$C$4),""))</f>
        <v/>
      </c>
      <c r="R174" s="2" t="str">
        <f aca="false">IF(COUNT(J174:Q174)=0,"",IF(MIN(J174:Q174)&gt;=Analisis_grupo!$B$7,"(ninguna)",INDEX($J$4:$Q$4,MATCH(MIN(J174:Q174),J174:Q174,0))))</f>
        <v/>
      </c>
      <c r="S174" s="2" t="str">
        <f aca="false">IF($B174="","",COUNTIF(J174:Q174,"&lt;"&amp;Analisis_grupo!$B$7))</f>
        <v/>
      </c>
      <c r="T174" s="2" t="str">
        <f aca="false">IF($B174="","",COUNTIFS(Datos_items!$B:$B,$B174,Datos_items!$AA:$AA,T$4,Datos_items!$E:$E,Analisis_grupo!$C$4))</f>
        <v/>
      </c>
      <c r="U174" s="2" t="str">
        <f aca="false">IF($B174="","",COUNTIFS(Datos_items!$B:$B,$B174,Datos_items!$AA:$AA,U$4,Datos_items!$E:$E,Analisis_grupo!$C$4))</f>
        <v/>
      </c>
      <c r="V174" s="2" t="str">
        <f aca="false">IF($B174="","",COUNTIFS(Datos_items!$B:$B,$B174,Datos_items!$AA:$AA,V$4,Datos_items!$E:$E,Analisis_grupo!$C$4))</f>
        <v/>
      </c>
      <c r="W174" s="2" t="str">
        <f aca="false">IF($B174="","",COUNTIFS(Datos_items!$B:$B,$B174,Datos_items!$AA:$AA,W$4,Datos_items!$E:$E,Analisis_grupo!$C$4))</f>
        <v/>
      </c>
      <c r="X174" s="2" t="str">
        <f aca="false">IF($B174="","",COUNTIFS(Datos_items!$B:$B,$B174,Datos_items!$AA:$AA,X$4,Datos_items!$E:$E,Analisis_grupo!$C$4))</f>
        <v/>
      </c>
      <c r="Y174" s="2" t="str">
        <f aca="false">IF($B174="","",COUNTIFS(Datos_items!$B:$B,$B174,Datos_items!$AA:$AA,Y$4,Datos_items!$E:$E,Analisis_grupo!$C$4))</f>
        <v/>
      </c>
      <c r="Z174" s="2" t="str">
        <f aca="false">IF($B174="","",COUNTIFS(Datos_items!$B:$B,$B174,Datos_items!$AA:$AA,Z$4,Datos_items!$E:$E,Analisis_grupo!$C$4))</f>
        <v/>
      </c>
      <c r="AA174" s="2" t="str">
        <f aca="false">IF($B174="","",COUNTIFS(Datos_items!$B:$B,$B174,Datos_items!$AA:$AA,AA$4,Datos_items!$E:$E,Analisis_grupo!$C$4))</f>
        <v/>
      </c>
      <c r="AB174" s="2" t="str">
        <f aca="false">IF($B174="","",COUNTIFS(Datos_items!$B:$B,$B174,Datos_items!$AA:$AA,AB$4,Datos_items!$E:$E,Analisis_grupo!$C$4))</f>
        <v/>
      </c>
      <c r="AC174" s="2" t="str">
        <f aca="false">IF($B174="","",COUNTIFS(Datos_items!$B:$B,$B174,Datos_items!$AA:$AA,AC$4,Datos_items!$E:$E,Analisis_grupo!$C$4))</f>
        <v/>
      </c>
      <c r="AD174" s="2" t="str">
        <f aca="false">IF($B174="","",COUNTIFS(Datos_items!$B:$B,$B174,Datos_items!$AA:$AA,AD$4,Datos_items!$E:$E,Analisis_grupo!$C$4))</f>
        <v/>
      </c>
      <c r="AE174" s="2" t="str">
        <f aca="false">IF($B174="","",COUNTIFS(Datos_items!$B:$B,$B174,Datos_items!$AA:$AA,AE$4,Datos_items!$E:$E,Analisis_grupo!$C$4))</f>
        <v/>
      </c>
      <c r="AF174" s="2" t="str">
        <f aca="false">IF($B174="","",COUNTIFS(Datos_items!$B:$B,$B174,Datos_items!$AA:$AA,AF$4,Datos_items!$E:$E,Analisis_grupo!$C$4))</f>
        <v/>
      </c>
      <c r="AG174" s="2" t="str">
        <f aca="false">IF($B174="","",COUNTIFS(Datos_items!$B:$B,$B174,Datos_items!$AA:$AA,AG$4,Datos_items!$E:$E,Analisis_grupo!$C$4))</f>
        <v/>
      </c>
      <c r="AH174" s="2" t="str">
        <f aca="false">IF($B174="","",COUNTIFS(Datos_items!$B:$B,$B174,Datos_items!$AA:$AA,AH$4,Datos_items!$E:$E,Analisis_grupo!$C$4))</f>
        <v/>
      </c>
      <c r="AI174" s="2" t="str">
        <f aca="false">IF($B174="","",COUNTIFS(Datos_items!$B:$B,$B174,Datos_items!$AA:$AA,AI$4,Datos_items!$E:$E,Analisis_grupo!$C$4))</f>
        <v/>
      </c>
      <c r="AJ174" s="2" t="str">
        <f aca="false">IF($B174="","",COUNTIFS(Datos_items!$B:$B,$B174,Datos_items!$AA:$AA,AJ$4,Datos_items!$E:$E,Analisis_grupo!$C$4))</f>
        <v/>
      </c>
      <c r="AK174" s="2" t="str">
        <f aca="false">IF($B174="","",COUNTIFS(Datos_items!$B:$B,$B174,Datos_items!$AA:$AA,AK$4,Datos_items!$E:$E,Analisis_grupo!$C$4))</f>
        <v/>
      </c>
      <c r="AL174" s="2" t="str">
        <f aca="false">IF($B174="","",COUNTIFS(Datos_items!$B:$B,$B174,Datos_items!$AA:$AA,AL$4,Datos_items!$E:$E,Analisis_grupo!$C$4))</f>
        <v/>
      </c>
      <c r="AM174" s="2" t="str">
        <f aca="false">IF($B174="","",IF(MAX(Y174:AL174)=0,"",INDEX($Y$4:$AL$4,MATCH(MAX(Y174:AL174),Y174:AL174,0))))</f>
        <v/>
      </c>
      <c r="AN174" s="2" t="str">
        <f aca="false">IF($B174="","",COUNTIFS(Datos_problemas!$B:$B,$B174,Datos_problemas!$F:$F,"Práctica"))</f>
        <v/>
      </c>
      <c r="AO174" s="2" t="str">
        <f aca="false">IF($B174="","",SUMIFS(Datos_problemas!$AQ:$AQ,Datos_problemas!$B:$B,$B174,Datos_problemas!$F:$F,"Práctica"))</f>
        <v/>
      </c>
      <c r="AP174" s="2" t="str">
        <f aca="false">IF($B174="","",COUNTIFS(Datos_problemas!$B:$B,$B174,Datos_problemas!$F:$F,"Práctica",Datos_problemas!$AS:$AS,"Sí"))</f>
        <v/>
      </c>
    </row>
    <row r="175" customFormat="false" ht="15" hidden="false" customHeight="false" outlineLevel="0" collapsed="false">
      <c r="A175" s="2" t="n">
        <v>171</v>
      </c>
      <c r="B175" s="2" t="str">
        <f aca="false">IFERROR(INDEX(Datos_problemas!$B:$B,MATCH($A175,Datos_problemas!$AV:$AV,0)),"")</f>
        <v/>
      </c>
      <c r="C175" s="2" t="str">
        <f aca="false">IF($B175="","",INDEX(Datos_problemas!$C:$C,MATCH($A175,Datos_problemas!$AV:$AV,0)))</f>
        <v/>
      </c>
      <c r="D175" s="2" t="str">
        <f aca="false">IF($B175="","",INDEX(Datos_problemas!$D:$D,MATCH($A175,Datos_problemas!$AV:$AV,0)))</f>
        <v/>
      </c>
      <c r="E175" s="2" t="str">
        <f aca="false">IF($B175="","",COUNTIFS(Datos_problemas!$B:$B,$B175,Datos_problemas!$F:$F,"Evaluación"))</f>
        <v/>
      </c>
      <c r="F175" s="20" t="str">
        <f aca="false">IF($B175="","",IFERROR(AVERAGEIFS(Datos_problemas!$AE:$AE,Datos_problemas!$B:$B,$B175,Datos_problemas!$F:$F,"Evaluación"),""))</f>
        <v/>
      </c>
      <c r="G175" s="20" t="str">
        <f aca="false">IF($B175="","",IFERROR(AVERAGEIFS(Datos_problemas!$AE:$AE,Datos_problemas!$B:$B,$B175,Datos_problemas!$F:$F,"Evaluación",Datos_problemas!$E:$E,"Diagnóstico"),""))</f>
        <v/>
      </c>
      <c r="H175" s="20" t="str">
        <f aca="false">IF($B175="","",IFERROR(AVERAGEIFS(Datos_problemas!$AE:$AE,Datos_problemas!$B:$B,$B175,Datos_problemas!$F:$F,"Evaluación",Datos_problemas!$E:$E,"Final"),""))</f>
        <v/>
      </c>
      <c r="I175" s="21" t="str">
        <f aca="false">IF(OR(G175="",H175=""),"",IF(G175&gt;=10,"",(H175-G175)/(10-G175)))</f>
        <v/>
      </c>
      <c r="J175" s="18" t="str">
        <f aca="false">IF($B175="","",IFERROR(SUMIFS(Datos_items!$Z:$Z,Datos_items!$B:$B,$B175,Datos_items!$O:$O,J$4,Datos_items!$E:$E,Analisis_grupo!$C$4)/COUNTIFS(Datos_items!$B:$B,$B175,Datos_items!$O:$O,J$4,Datos_items!$E:$E,Analisis_grupo!$C$4),""))</f>
        <v/>
      </c>
      <c r="K175" s="18" t="str">
        <f aca="false">IF($B175="","",IFERROR(SUMIFS(Datos_items!$Z:$Z,Datos_items!$B:$B,$B175,Datos_items!$O:$O,K$4,Datos_items!$E:$E,Analisis_grupo!$C$4)/COUNTIFS(Datos_items!$B:$B,$B175,Datos_items!$O:$O,K$4,Datos_items!$E:$E,Analisis_grupo!$C$4),""))</f>
        <v/>
      </c>
      <c r="L175" s="18" t="str">
        <f aca="false">IF($B175="","",IFERROR(SUMIFS(Datos_items!$Z:$Z,Datos_items!$B:$B,$B175,Datos_items!$O:$O,L$4,Datos_items!$E:$E,Analisis_grupo!$C$4)/COUNTIFS(Datos_items!$B:$B,$B175,Datos_items!$O:$O,L$4,Datos_items!$E:$E,Analisis_grupo!$C$4),""))</f>
        <v/>
      </c>
      <c r="M175" s="18" t="str">
        <f aca="false">IF($B175="","",IFERROR(SUMIFS(Datos_items!$Z:$Z,Datos_items!$B:$B,$B175,Datos_items!$O:$O,M$4,Datos_items!$E:$E,Analisis_grupo!$C$4)/COUNTIFS(Datos_items!$B:$B,$B175,Datos_items!$O:$O,M$4,Datos_items!$E:$E,Analisis_grupo!$C$4),""))</f>
        <v/>
      </c>
      <c r="N175" s="18" t="str">
        <f aca="false">IF($B175="","",IFERROR(SUMIFS(Datos_items!$Z:$Z,Datos_items!$B:$B,$B175,Datos_items!$O:$O,N$4,Datos_items!$E:$E,Analisis_grupo!$C$4)/COUNTIFS(Datos_items!$B:$B,$B175,Datos_items!$O:$O,N$4,Datos_items!$E:$E,Analisis_grupo!$C$4),""))</f>
        <v/>
      </c>
      <c r="O175" s="18" t="str">
        <f aca="false">IF($B175="","",IFERROR(SUMIFS(Datos_items!$Z:$Z,Datos_items!$B:$B,$B175,Datos_items!$O:$O,O$4,Datos_items!$E:$E,Analisis_grupo!$C$4)/COUNTIFS(Datos_items!$B:$B,$B175,Datos_items!$O:$O,O$4,Datos_items!$E:$E,Analisis_grupo!$C$4),""))</f>
        <v/>
      </c>
      <c r="P175" s="18" t="str">
        <f aca="false">IF($B175="","",IFERROR(SUMIFS(Datos_items!$Z:$Z,Datos_items!$B:$B,$B175,Datos_items!$O:$O,P$4,Datos_items!$E:$E,Analisis_grupo!$C$4)/COUNTIFS(Datos_items!$B:$B,$B175,Datos_items!$O:$O,P$4,Datos_items!$E:$E,Analisis_grupo!$C$4),""))</f>
        <v/>
      </c>
      <c r="Q175" s="18" t="str">
        <f aca="false">IF($B175="","",IFERROR(SUMIFS(Datos_items!$Z:$Z,Datos_items!$B:$B,$B175,Datos_items!$O:$O,Q$4,Datos_items!$E:$E,Analisis_grupo!$C$4)/COUNTIFS(Datos_items!$B:$B,$B175,Datos_items!$O:$O,Q$4,Datos_items!$E:$E,Analisis_grupo!$C$4),""))</f>
        <v/>
      </c>
      <c r="R175" s="2" t="str">
        <f aca="false">IF(COUNT(J175:Q175)=0,"",IF(MIN(J175:Q175)&gt;=Analisis_grupo!$B$7,"(ninguna)",INDEX($J$4:$Q$4,MATCH(MIN(J175:Q175),J175:Q175,0))))</f>
        <v/>
      </c>
      <c r="S175" s="2" t="str">
        <f aca="false">IF($B175="","",COUNTIF(J175:Q175,"&lt;"&amp;Analisis_grupo!$B$7))</f>
        <v/>
      </c>
      <c r="T175" s="2" t="str">
        <f aca="false">IF($B175="","",COUNTIFS(Datos_items!$B:$B,$B175,Datos_items!$AA:$AA,T$4,Datos_items!$E:$E,Analisis_grupo!$C$4))</f>
        <v/>
      </c>
      <c r="U175" s="2" t="str">
        <f aca="false">IF($B175="","",COUNTIFS(Datos_items!$B:$B,$B175,Datos_items!$AA:$AA,U$4,Datos_items!$E:$E,Analisis_grupo!$C$4))</f>
        <v/>
      </c>
      <c r="V175" s="2" t="str">
        <f aca="false">IF($B175="","",COUNTIFS(Datos_items!$B:$B,$B175,Datos_items!$AA:$AA,V$4,Datos_items!$E:$E,Analisis_grupo!$C$4))</f>
        <v/>
      </c>
      <c r="W175" s="2" t="str">
        <f aca="false">IF($B175="","",COUNTIFS(Datos_items!$B:$B,$B175,Datos_items!$AA:$AA,W$4,Datos_items!$E:$E,Analisis_grupo!$C$4))</f>
        <v/>
      </c>
      <c r="X175" s="2" t="str">
        <f aca="false">IF($B175="","",COUNTIFS(Datos_items!$B:$B,$B175,Datos_items!$AA:$AA,X$4,Datos_items!$E:$E,Analisis_grupo!$C$4))</f>
        <v/>
      </c>
      <c r="Y175" s="2" t="str">
        <f aca="false">IF($B175="","",COUNTIFS(Datos_items!$B:$B,$B175,Datos_items!$AA:$AA,Y$4,Datos_items!$E:$E,Analisis_grupo!$C$4))</f>
        <v/>
      </c>
      <c r="Z175" s="2" t="str">
        <f aca="false">IF($B175="","",COUNTIFS(Datos_items!$B:$B,$B175,Datos_items!$AA:$AA,Z$4,Datos_items!$E:$E,Analisis_grupo!$C$4))</f>
        <v/>
      </c>
      <c r="AA175" s="2" t="str">
        <f aca="false">IF($B175="","",COUNTIFS(Datos_items!$B:$B,$B175,Datos_items!$AA:$AA,AA$4,Datos_items!$E:$E,Analisis_grupo!$C$4))</f>
        <v/>
      </c>
      <c r="AB175" s="2" t="str">
        <f aca="false">IF($B175="","",COUNTIFS(Datos_items!$B:$B,$B175,Datos_items!$AA:$AA,AB$4,Datos_items!$E:$E,Analisis_grupo!$C$4))</f>
        <v/>
      </c>
      <c r="AC175" s="2" t="str">
        <f aca="false">IF($B175="","",COUNTIFS(Datos_items!$B:$B,$B175,Datos_items!$AA:$AA,AC$4,Datos_items!$E:$E,Analisis_grupo!$C$4))</f>
        <v/>
      </c>
      <c r="AD175" s="2" t="str">
        <f aca="false">IF($B175="","",COUNTIFS(Datos_items!$B:$B,$B175,Datos_items!$AA:$AA,AD$4,Datos_items!$E:$E,Analisis_grupo!$C$4))</f>
        <v/>
      </c>
      <c r="AE175" s="2" t="str">
        <f aca="false">IF($B175="","",COUNTIFS(Datos_items!$B:$B,$B175,Datos_items!$AA:$AA,AE$4,Datos_items!$E:$E,Analisis_grupo!$C$4))</f>
        <v/>
      </c>
      <c r="AF175" s="2" t="str">
        <f aca="false">IF($B175="","",COUNTIFS(Datos_items!$B:$B,$B175,Datos_items!$AA:$AA,AF$4,Datos_items!$E:$E,Analisis_grupo!$C$4))</f>
        <v/>
      </c>
      <c r="AG175" s="2" t="str">
        <f aca="false">IF($B175="","",COUNTIFS(Datos_items!$B:$B,$B175,Datos_items!$AA:$AA,AG$4,Datos_items!$E:$E,Analisis_grupo!$C$4))</f>
        <v/>
      </c>
      <c r="AH175" s="2" t="str">
        <f aca="false">IF($B175="","",COUNTIFS(Datos_items!$B:$B,$B175,Datos_items!$AA:$AA,AH$4,Datos_items!$E:$E,Analisis_grupo!$C$4))</f>
        <v/>
      </c>
      <c r="AI175" s="2" t="str">
        <f aca="false">IF($B175="","",COUNTIFS(Datos_items!$B:$B,$B175,Datos_items!$AA:$AA,AI$4,Datos_items!$E:$E,Analisis_grupo!$C$4))</f>
        <v/>
      </c>
      <c r="AJ175" s="2" t="str">
        <f aca="false">IF($B175="","",COUNTIFS(Datos_items!$B:$B,$B175,Datos_items!$AA:$AA,AJ$4,Datos_items!$E:$E,Analisis_grupo!$C$4))</f>
        <v/>
      </c>
      <c r="AK175" s="2" t="str">
        <f aca="false">IF($B175="","",COUNTIFS(Datos_items!$B:$B,$B175,Datos_items!$AA:$AA,AK$4,Datos_items!$E:$E,Analisis_grupo!$C$4))</f>
        <v/>
      </c>
      <c r="AL175" s="2" t="str">
        <f aca="false">IF($B175="","",COUNTIFS(Datos_items!$B:$B,$B175,Datos_items!$AA:$AA,AL$4,Datos_items!$E:$E,Analisis_grupo!$C$4))</f>
        <v/>
      </c>
      <c r="AM175" s="2" t="str">
        <f aca="false">IF($B175="","",IF(MAX(Y175:AL175)=0,"",INDEX($Y$4:$AL$4,MATCH(MAX(Y175:AL175),Y175:AL175,0))))</f>
        <v/>
      </c>
      <c r="AN175" s="2" t="str">
        <f aca="false">IF($B175="","",COUNTIFS(Datos_problemas!$B:$B,$B175,Datos_problemas!$F:$F,"Práctica"))</f>
        <v/>
      </c>
      <c r="AO175" s="2" t="str">
        <f aca="false">IF($B175="","",SUMIFS(Datos_problemas!$AQ:$AQ,Datos_problemas!$B:$B,$B175,Datos_problemas!$F:$F,"Práctica"))</f>
        <v/>
      </c>
      <c r="AP175" s="2" t="str">
        <f aca="false">IF($B175="","",COUNTIFS(Datos_problemas!$B:$B,$B175,Datos_problemas!$F:$F,"Práctica",Datos_problemas!$AS:$AS,"Sí"))</f>
        <v/>
      </c>
    </row>
    <row r="176" customFormat="false" ht="15" hidden="false" customHeight="false" outlineLevel="0" collapsed="false">
      <c r="A176" s="2" t="n">
        <v>172</v>
      </c>
      <c r="B176" s="2" t="str">
        <f aca="false">IFERROR(INDEX(Datos_problemas!$B:$B,MATCH($A176,Datos_problemas!$AV:$AV,0)),"")</f>
        <v/>
      </c>
      <c r="C176" s="2" t="str">
        <f aca="false">IF($B176="","",INDEX(Datos_problemas!$C:$C,MATCH($A176,Datos_problemas!$AV:$AV,0)))</f>
        <v/>
      </c>
      <c r="D176" s="2" t="str">
        <f aca="false">IF($B176="","",INDEX(Datos_problemas!$D:$D,MATCH($A176,Datos_problemas!$AV:$AV,0)))</f>
        <v/>
      </c>
      <c r="E176" s="2" t="str">
        <f aca="false">IF($B176="","",COUNTIFS(Datos_problemas!$B:$B,$B176,Datos_problemas!$F:$F,"Evaluación"))</f>
        <v/>
      </c>
      <c r="F176" s="20" t="str">
        <f aca="false">IF($B176="","",IFERROR(AVERAGEIFS(Datos_problemas!$AE:$AE,Datos_problemas!$B:$B,$B176,Datos_problemas!$F:$F,"Evaluación"),""))</f>
        <v/>
      </c>
      <c r="G176" s="20" t="str">
        <f aca="false">IF($B176="","",IFERROR(AVERAGEIFS(Datos_problemas!$AE:$AE,Datos_problemas!$B:$B,$B176,Datos_problemas!$F:$F,"Evaluación",Datos_problemas!$E:$E,"Diagnóstico"),""))</f>
        <v/>
      </c>
      <c r="H176" s="20" t="str">
        <f aca="false">IF($B176="","",IFERROR(AVERAGEIFS(Datos_problemas!$AE:$AE,Datos_problemas!$B:$B,$B176,Datos_problemas!$F:$F,"Evaluación",Datos_problemas!$E:$E,"Final"),""))</f>
        <v/>
      </c>
      <c r="I176" s="21" t="str">
        <f aca="false">IF(OR(G176="",H176=""),"",IF(G176&gt;=10,"",(H176-G176)/(10-G176)))</f>
        <v/>
      </c>
      <c r="J176" s="18" t="str">
        <f aca="false">IF($B176="","",IFERROR(SUMIFS(Datos_items!$Z:$Z,Datos_items!$B:$B,$B176,Datos_items!$O:$O,J$4,Datos_items!$E:$E,Analisis_grupo!$C$4)/COUNTIFS(Datos_items!$B:$B,$B176,Datos_items!$O:$O,J$4,Datos_items!$E:$E,Analisis_grupo!$C$4),""))</f>
        <v/>
      </c>
      <c r="K176" s="18" t="str">
        <f aca="false">IF($B176="","",IFERROR(SUMIFS(Datos_items!$Z:$Z,Datos_items!$B:$B,$B176,Datos_items!$O:$O,K$4,Datos_items!$E:$E,Analisis_grupo!$C$4)/COUNTIFS(Datos_items!$B:$B,$B176,Datos_items!$O:$O,K$4,Datos_items!$E:$E,Analisis_grupo!$C$4),""))</f>
        <v/>
      </c>
      <c r="L176" s="18" t="str">
        <f aca="false">IF($B176="","",IFERROR(SUMIFS(Datos_items!$Z:$Z,Datos_items!$B:$B,$B176,Datos_items!$O:$O,L$4,Datos_items!$E:$E,Analisis_grupo!$C$4)/COUNTIFS(Datos_items!$B:$B,$B176,Datos_items!$O:$O,L$4,Datos_items!$E:$E,Analisis_grupo!$C$4),""))</f>
        <v/>
      </c>
      <c r="M176" s="18" t="str">
        <f aca="false">IF($B176="","",IFERROR(SUMIFS(Datos_items!$Z:$Z,Datos_items!$B:$B,$B176,Datos_items!$O:$O,M$4,Datos_items!$E:$E,Analisis_grupo!$C$4)/COUNTIFS(Datos_items!$B:$B,$B176,Datos_items!$O:$O,M$4,Datos_items!$E:$E,Analisis_grupo!$C$4),""))</f>
        <v/>
      </c>
      <c r="N176" s="18" t="str">
        <f aca="false">IF($B176="","",IFERROR(SUMIFS(Datos_items!$Z:$Z,Datos_items!$B:$B,$B176,Datos_items!$O:$O,N$4,Datos_items!$E:$E,Analisis_grupo!$C$4)/COUNTIFS(Datos_items!$B:$B,$B176,Datos_items!$O:$O,N$4,Datos_items!$E:$E,Analisis_grupo!$C$4),""))</f>
        <v/>
      </c>
      <c r="O176" s="18" t="str">
        <f aca="false">IF($B176="","",IFERROR(SUMIFS(Datos_items!$Z:$Z,Datos_items!$B:$B,$B176,Datos_items!$O:$O,O$4,Datos_items!$E:$E,Analisis_grupo!$C$4)/COUNTIFS(Datos_items!$B:$B,$B176,Datos_items!$O:$O,O$4,Datos_items!$E:$E,Analisis_grupo!$C$4),""))</f>
        <v/>
      </c>
      <c r="P176" s="18" t="str">
        <f aca="false">IF($B176="","",IFERROR(SUMIFS(Datos_items!$Z:$Z,Datos_items!$B:$B,$B176,Datos_items!$O:$O,P$4,Datos_items!$E:$E,Analisis_grupo!$C$4)/COUNTIFS(Datos_items!$B:$B,$B176,Datos_items!$O:$O,P$4,Datos_items!$E:$E,Analisis_grupo!$C$4),""))</f>
        <v/>
      </c>
      <c r="Q176" s="18" t="str">
        <f aca="false">IF($B176="","",IFERROR(SUMIFS(Datos_items!$Z:$Z,Datos_items!$B:$B,$B176,Datos_items!$O:$O,Q$4,Datos_items!$E:$E,Analisis_grupo!$C$4)/COUNTIFS(Datos_items!$B:$B,$B176,Datos_items!$O:$O,Q$4,Datos_items!$E:$E,Analisis_grupo!$C$4),""))</f>
        <v/>
      </c>
      <c r="R176" s="2" t="str">
        <f aca="false">IF(COUNT(J176:Q176)=0,"",IF(MIN(J176:Q176)&gt;=Analisis_grupo!$B$7,"(ninguna)",INDEX($J$4:$Q$4,MATCH(MIN(J176:Q176),J176:Q176,0))))</f>
        <v/>
      </c>
      <c r="S176" s="2" t="str">
        <f aca="false">IF($B176="","",COUNTIF(J176:Q176,"&lt;"&amp;Analisis_grupo!$B$7))</f>
        <v/>
      </c>
      <c r="T176" s="2" t="str">
        <f aca="false">IF($B176="","",COUNTIFS(Datos_items!$B:$B,$B176,Datos_items!$AA:$AA,T$4,Datos_items!$E:$E,Analisis_grupo!$C$4))</f>
        <v/>
      </c>
      <c r="U176" s="2" t="str">
        <f aca="false">IF($B176="","",COUNTIFS(Datos_items!$B:$B,$B176,Datos_items!$AA:$AA,U$4,Datos_items!$E:$E,Analisis_grupo!$C$4))</f>
        <v/>
      </c>
      <c r="V176" s="2" t="str">
        <f aca="false">IF($B176="","",COUNTIFS(Datos_items!$B:$B,$B176,Datos_items!$AA:$AA,V$4,Datos_items!$E:$E,Analisis_grupo!$C$4))</f>
        <v/>
      </c>
      <c r="W176" s="2" t="str">
        <f aca="false">IF($B176="","",COUNTIFS(Datos_items!$B:$B,$B176,Datos_items!$AA:$AA,W$4,Datos_items!$E:$E,Analisis_grupo!$C$4))</f>
        <v/>
      </c>
      <c r="X176" s="2" t="str">
        <f aca="false">IF($B176="","",COUNTIFS(Datos_items!$B:$B,$B176,Datos_items!$AA:$AA,X$4,Datos_items!$E:$E,Analisis_grupo!$C$4))</f>
        <v/>
      </c>
      <c r="Y176" s="2" t="str">
        <f aca="false">IF($B176="","",COUNTIFS(Datos_items!$B:$B,$B176,Datos_items!$AA:$AA,Y$4,Datos_items!$E:$E,Analisis_grupo!$C$4))</f>
        <v/>
      </c>
      <c r="Z176" s="2" t="str">
        <f aca="false">IF($B176="","",COUNTIFS(Datos_items!$B:$B,$B176,Datos_items!$AA:$AA,Z$4,Datos_items!$E:$E,Analisis_grupo!$C$4))</f>
        <v/>
      </c>
      <c r="AA176" s="2" t="str">
        <f aca="false">IF($B176="","",COUNTIFS(Datos_items!$B:$B,$B176,Datos_items!$AA:$AA,AA$4,Datos_items!$E:$E,Analisis_grupo!$C$4))</f>
        <v/>
      </c>
      <c r="AB176" s="2" t="str">
        <f aca="false">IF($B176="","",COUNTIFS(Datos_items!$B:$B,$B176,Datos_items!$AA:$AA,AB$4,Datos_items!$E:$E,Analisis_grupo!$C$4))</f>
        <v/>
      </c>
      <c r="AC176" s="2" t="str">
        <f aca="false">IF($B176="","",COUNTIFS(Datos_items!$B:$B,$B176,Datos_items!$AA:$AA,AC$4,Datos_items!$E:$E,Analisis_grupo!$C$4))</f>
        <v/>
      </c>
      <c r="AD176" s="2" t="str">
        <f aca="false">IF($B176="","",COUNTIFS(Datos_items!$B:$B,$B176,Datos_items!$AA:$AA,AD$4,Datos_items!$E:$E,Analisis_grupo!$C$4))</f>
        <v/>
      </c>
      <c r="AE176" s="2" t="str">
        <f aca="false">IF($B176="","",COUNTIFS(Datos_items!$B:$B,$B176,Datos_items!$AA:$AA,AE$4,Datos_items!$E:$E,Analisis_grupo!$C$4))</f>
        <v/>
      </c>
      <c r="AF176" s="2" t="str">
        <f aca="false">IF($B176="","",COUNTIFS(Datos_items!$B:$B,$B176,Datos_items!$AA:$AA,AF$4,Datos_items!$E:$E,Analisis_grupo!$C$4))</f>
        <v/>
      </c>
      <c r="AG176" s="2" t="str">
        <f aca="false">IF($B176="","",COUNTIFS(Datos_items!$B:$B,$B176,Datos_items!$AA:$AA,AG$4,Datos_items!$E:$E,Analisis_grupo!$C$4))</f>
        <v/>
      </c>
      <c r="AH176" s="2" t="str">
        <f aca="false">IF($B176="","",COUNTIFS(Datos_items!$B:$B,$B176,Datos_items!$AA:$AA,AH$4,Datos_items!$E:$E,Analisis_grupo!$C$4))</f>
        <v/>
      </c>
      <c r="AI176" s="2" t="str">
        <f aca="false">IF($B176="","",COUNTIFS(Datos_items!$B:$B,$B176,Datos_items!$AA:$AA,AI$4,Datos_items!$E:$E,Analisis_grupo!$C$4))</f>
        <v/>
      </c>
      <c r="AJ176" s="2" t="str">
        <f aca="false">IF($B176="","",COUNTIFS(Datos_items!$B:$B,$B176,Datos_items!$AA:$AA,AJ$4,Datos_items!$E:$E,Analisis_grupo!$C$4))</f>
        <v/>
      </c>
      <c r="AK176" s="2" t="str">
        <f aca="false">IF($B176="","",COUNTIFS(Datos_items!$B:$B,$B176,Datos_items!$AA:$AA,AK$4,Datos_items!$E:$E,Analisis_grupo!$C$4))</f>
        <v/>
      </c>
      <c r="AL176" s="2" t="str">
        <f aca="false">IF($B176="","",COUNTIFS(Datos_items!$B:$B,$B176,Datos_items!$AA:$AA,AL$4,Datos_items!$E:$E,Analisis_grupo!$C$4))</f>
        <v/>
      </c>
      <c r="AM176" s="2" t="str">
        <f aca="false">IF($B176="","",IF(MAX(Y176:AL176)=0,"",INDEX($Y$4:$AL$4,MATCH(MAX(Y176:AL176),Y176:AL176,0))))</f>
        <v/>
      </c>
      <c r="AN176" s="2" t="str">
        <f aca="false">IF($B176="","",COUNTIFS(Datos_problemas!$B:$B,$B176,Datos_problemas!$F:$F,"Práctica"))</f>
        <v/>
      </c>
      <c r="AO176" s="2" t="str">
        <f aca="false">IF($B176="","",SUMIFS(Datos_problemas!$AQ:$AQ,Datos_problemas!$B:$B,$B176,Datos_problemas!$F:$F,"Práctica"))</f>
        <v/>
      </c>
      <c r="AP176" s="2" t="str">
        <f aca="false">IF($B176="","",COUNTIFS(Datos_problemas!$B:$B,$B176,Datos_problemas!$F:$F,"Práctica",Datos_problemas!$AS:$AS,"Sí"))</f>
        <v/>
      </c>
    </row>
    <row r="177" customFormat="false" ht="15" hidden="false" customHeight="false" outlineLevel="0" collapsed="false">
      <c r="A177" s="2" t="n">
        <v>173</v>
      </c>
      <c r="B177" s="2" t="str">
        <f aca="false">IFERROR(INDEX(Datos_problemas!$B:$B,MATCH($A177,Datos_problemas!$AV:$AV,0)),"")</f>
        <v/>
      </c>
      <c r="C177" s="2" t="str">
        <f aca="false">IF($B177="","",INDEX(Datos_problemas!$C:$C,MATCH($A177,Datos_problemas!$AV:$AV,0)))</f>
        <v/>
      </c>
      <c r="D177" s="2" t="str">
        <f aca="false">IF($B177="","",INDEX(Datos_problemas!$D:$D,MATCH($A177,Datos_problemas!$AV:$AV,0)))</f>
        <v/>
      </c>
      <c r="E177" s="2" t="str">
        <f aca="false">IF($B177="","",COUNTIFS(Datos_problemas!$B:$B,$B177,Datos_problemas!$F:$F,"Evaluación"))</f>
        <v/>
      </c>
      <c r="F177" s="20" t="str">
        <f aca="false">IF($B177="","",IFERROR(AVERAGEIFS(Datos_problemas!$AE:$AE,Datos_problemas!$B:$B,$B177,Datos_problemas!$F:$F,"Evaluación"),""))</f>
        <v/>
      </c>
      <c r="G177" s="20" t="str">
        <f aca="false">IF($B177="","",IFERROR(AVERAGEIFS(Datos_problemas!$AE:$AE,Datos_problemas!$B:$B,$B177,Datos_problemas!$F:$F,"Evaluación",Datos_problemas!$E:$E,"Diagnóstico"),""))</f>
        <v/>
      </c>
      <c r="H177" s="20" t="str">
        <f aca="false">IF($B177="","",IFERROR(AVERAGEIFS(Datos_problemas!$AE:$AE,Datos_problemas!$B:$B,$B177,Datos_problemas!$F:$F,"Evaluación",Datos_problemas!$E:$E,"Final"),""))</f>
        <v/>
      </c>
      <c r="I177" s="21" t="str">
        <f aca="false">IF(OR(G177="",H177=""),"",IF(G177&gt;=10,"",(H177-G177)/(10-G177)))</f>
        <v/>
      </c>
      <c r="J177" s="18" t="str">
        <f aca="false">IF($B177="","",IFERROR(SUMIFS(Datos_items!$Z:$Z,Datos_items!$B:$B,$B177,Datos_items!$O:$O,J$4,Datos_items!$E:$E,Analisis_grupo!$C$4)/COUNTIFS(Datos_items!$B:$B,$B177,Datos_items!$O:$O,J$4,Datos_items!$E:$E,Analisis_grupo!$C$4),""))</f>
        <v/>
      </c>
      <c r="K177" s="18" t="str">
        <f aca="false">IF($B177="","",IFERROR(SUMIFS(Datos_items!$Z:$Z,Datos_items!$B:$B,$B177,Datos_items!$O:$O,K$4,Datos_items!$E:$E,Analisis_grupo!$C$4)/COUNTIFS(Datos_items!$B:$B,$B177,Datos_items!$O:$O,K$4,Datos_items!$E:$E,Analisis_grupo!$C$4),""))</f>
        <v/>
      </c>
      <c r="L177" s="18" t="str">
        <f aca="false">IF($B177="","",IFERROR(SUMIFS(Datos_items!$Z:$Z,Datos_items!$B:$B,$B177,Datos_items!$O:$O,L$4,Datos_items!$E:$E,Analisis_grupo!$C$4)/COUNTIFS(Datos_items!$B:$B,$B177,Datos_items!$O:$O,L$4,Datos_items!$E:$E,Analisis_grupo!$C$4),""))</f>
        <v/>
      </c>
      <c r="M177" s="18" t="str">
        <f aca="false">IF($B177="","",IFERROR(SUMIFS(Datos_items!$Z:$Z,Datos_items!$B:$B,$B177,Datos_items!$O:$O,M$4,Datos_items!$E:$E,Analisis_grupo!$C$4)/COUNTIFS(Datos_items!$B:$B,$B177,Datos_items!$O:$O,M$4,Datos_items!$E:$E,Analisis_grupo!$C$4),""))</f>
        <v/>
      </c>
      <c r="N177" s="18" t="str">
        <f aca="false">IF($B177="","",IFERROR(SUMIFS(Datos_items!$Z:$Z,Datos_items!$B:$B,$B177,Datos_items!$O:$O,N$4,Datos_items!$E:$E,Analisis_grupo!$C$4)/COUNTIFS(Datos_items!$B:$B,$B177,Datos_items!$O:$O,N$4,Datos_items!$E:$E,Analisis_grupo!$C$4),""))</f>
        <v/>
      </c>
      <c r="O177" s="18" t="str">
        <f aca="false">IF($B177="","",IFERROR(SUMIFS(Datos_items!$Z:$Z,Datos_items!$B:$B,$B177,Datos_items!$O:$O,O$4,Datos_items!$E:$E,Analisis_grupo!$C$4)/COUNTIFS(Datos_items!$B:$B,$B177,Datos_items!$O:$O,O$4,Datos_items!$E:$E,Analisis_grupo!$C$4),""))</f>
        <v/>
      </c>
      <c r="P177" s="18" t="str">
        <f aca="false">IF($B177="","",IFERROR(SUMIFS(Datos_items!$Z:$Z,Datos_items!$B:$B,$B177,Datos_items!$O:$O,P$4,Datos_items!$E:$E,Analisis_grupo!$C$4)/COUNTIFS(Datos_items!$B:$B,$B177,Datos_items!$O:$O,P$4,Datos_items!$E:$E,Analisis_grupo!$C$4),""))</f>
        <v/>
      </c>
      <c r="Q177" s="18" t="str">
        <f aca="false">IF($B177="","",IFERROR(SUMIFS(Datos_items!$Z:$Z,Datos_items!$B:$B,$B177,Datos_items!$O:$O,Q$4,Datos_items!$E:$E,Analisis_grupo!$C$4)/COUNTIFS(Datos_items!$B:$B,$B177,Datos_items!$O:$O,Q$4,Datos_items!$E:$E,Analisis_grupo!$C$4),""))</f>
        <v/>
      </c>
      <c r="R177" s="2" t="str">
        <f aca="false">IF(COUNT(J177:Q177)=0,"",IF(MIN(J177:Q177)&gt;=Analisis_grupo!$B$7,"(ninguna)",INDEX($J$4:$Q$4,MATCH(MIN(J177:Q177),J177:Q177,0))))</f>
        <v/>
      </c>
      <c r="S177" s="2" t="str">
        <f aca="false">IF($B177="","",COUNTIF(J177:Q177,"&lt;"&amp;Analisis_grupo!$B$7))</f>
        <v/>
      </c>
      <c r="T177" s="2" t="str">
        <f aca="false">IF($B177="","",COUNTIFS(Datos_items!$B:$B,$B177,Datos_items!$AA:$AA,T$4,Datos_items!$E:$E,Analisis_grupo!$C$4))</f>
        <v/>
      </c>
      <c r="U177" s="2" t="str">
        <f aca="false">IF($B177="","",COUNTIFS(Datos_items!$B:$B,$B177,Datos_items!$AA:$AA,U$4,Datos_items!$E:$E,Analisis_grupo!$C$4))</f>
        <v/>
      </c>
      <c r="V177" s="2" t="str">
        <f aca="false">IF($B177="","",COUNTIFS(Datos_items!$B:$B,$B177,Datos_items!$AA:$AA,V$4,Datos_items!$E:$E,Analisis_grupo!$C$4))</f>
        <v/>
      </c>
      <c r="W177" s="2" t="str">
        <f aca="false">IF($B177="","",COUNTIFS(Datos_items!$B:$B,$B177,Datos_items!$AA:$AA,W$4,Datos_items!$E:$E,Analisis_grupo!$C$4))</f>
        <v/>
      </c>
      <c r="X177" s="2" t="str">
        <f aca="false">IF($B177="","",COUNTIFS(Datos_items!$B:$B,$B177,Datos_items!$AA:$AA,X$4,Datos_items!$E:$E,Analisis_grupo!$C$4))</f>
        <v/>
      </c>
      <c r="Y177" s="2" t="str">
        <f aca="false">IF($B177="","",COUNTIFS(Datos_items!$B:$B,$B177,Datos_items!$AA:$AA,Y$4,Datos_items!$E:$E,Analisis_grupo!$C$4))</f>
        <v/>
      </c>
      <c r="Z177" s="2" t="str">
        <f aca="false">IF($B177="","",COUNTIFS(Datos_items!$B:$B,$B177,Datos_items!$AA:$AA,Z$4,Datos_items!$E:$E,Analisis_grupo!$C$4))</f>
        <v/>
      </c>
      <c r="AA177" s="2" t="str">
        <f aca="false">IF($B177="","",COUNTIFS(Datos_items!$B:$B,$B177,Datos_items!$AA:$AA,AA$4,Datos_items!$E:$E,Analisis_grupo!$C$4))</f>
        <v/>
      </c>
      <c r="AB177" s="2" t="str">
        <f aca="false">IF($B177="","",COUNTIFS(Datos_items!$B:$B,$B177,Datos_items!$AA:$AA,AB$4,Datos_items!$E:$E,Analisis_grupo!$C$4))</f>
        <v/>
      </c>
      <c r="AC177" s="2" t="str">
        <f aca="false">IF($B177="","",COUNTIFS(Datos_items!$B:$B,$B177,Datos_items!$AA:$AA,AC$4,Datos_items!$E:$E,Analisis_grupo!$C$4))</f>
        <v/>
      </c>
      <c r="AD177" s="2" t="str">
        <f aca="false">IF($B177="","",COUNTIFS(Datos_items!$B:$B,$B177,Datos_items!$AA:$AA,AD$4,Datos_items!$E:$E,Analisis_grupo!$C$4))</f>
        <v/>
      </c>
      <c r="AE177" s="2" t="str">
        <f aca="false">IF($B177="","",COUNTIFS(Datos_items!$B:$B,$B177,Datos_items!$AA:$AA,AE$4,Datos_items!$E:$E,Analisis_grupo!$C$4))</f>
        <v/>
      </c>
      <c r="AF177" s="2" t="str">
        <f aca="false">IF($B177="","",COUNTIFS(Datos_items!$B:$B,$B177,Datos_items!$AA:$AA,AF$4,Datos_items!$E:$E,Analisis_grupo!$C$4))</f>
        <v/>
      </c>
      <c r="AG177" s="2" t="str">
        <f aca="false">IF($B177="","",COUNTIFS(Datos_items!$B:$B,$B177,Datos_items!$AA:$AA,AG$4,Datos_items!$E:$E,Analisis_grupo!$C$4))</f>
        <v/>
      </c>
      <c r="AH177" s="2" t="str">
        <f aca="false">IF($B177="","",COUNTIFS(Datos_items!$B:$B,$B177,Datos_items!$AA:$AA,AH$4,Datos_items!$E:$E,Analisis_grupo!$C$4))</f>
        <v/>
      </c>
      <c r="AI177" s="2" t="str">
        <f aca="false">IF($B177="","",COUNTIFS(Datos_items!$B:$B,$B177,Datos_items!$AA:$AA,AI$4,Datos_items!$E:$E,Analisis_grupo!$C$4))</f>
        <v/>
      </c>
      <c r="AJ177" s="2" t="str">
        <f aca="false">IF($B177="","",COUNTIFS(Datos_items!$B:$B,$B177,Datos_items!$AA:$AA,AJ$4,Datos_items!$E:$E,Analisis_grupo!$C$4))</f>
        <v/>
      </c>
      <c r="AK177" s="2" t="str">
        <f aca="false">IF($B177="","",COUNTIFS(Datos_items!$B:$B,$B177,Datos_items!$AA:$AA,AK$4,Datos_items!$E:$E,Analisis_grupo!$C$4))</f>
        <v/>
      </c>
      <c r="AL177" s="2" t="str">
        <f aca="false">IF($B177="","",COUNTIFS(Datos_items!$B:$B,$B177,Datos_items!$AA:$AA,AL$4,Datos_items!$E:$E,Analisis_grupo!$C$4))</f>
        <v/>
      </c>
      <c r="AM177" s="2" t="str">
        <f aca="false">IF($B177="","",IF(MAX(Y177:AL177)=0,"",INDEX($Y$4:$AL$4,MATCH(MAX(Y177:AL177),Y177:AL177,0))))</f>
        <v/>
      </c>
      <c r="AN177" s="2" t="str">
        <f aca="false">IF($B177="","",COUNTIFS(Datos_problemas!$B:$B,$B177,Datos_problemas!$F:$F,"Práctica"))</f>
        <v/>
      </c>
      <c r="AO177" s="2" t="str">
        <f aca="false">IF($B177="","",SUMIFS(Datos_problemas!$AQ:$AQ,Datos_problemas!$B:$B,$B177,Datos_problemas!$F:$F,"Práctica"))</f>
        <v/>
      </c>
      <c r="AP177" s="2" t="str">
        <f aca="false">IF($B177="","",COUNTIFS(Datos_problemas!$B:$B,$B177,Datos_problemas!$F:$F,"Práctica",Datos_problemas!$AS:$AS,"Sí"))</f>
        <v/>
      </c>
    </row>
    <row r="178" customFormat="false" ht="15" hidden="false" customHeight="false" outlineLevel="0" collapsed="false">
      <c r="A178" s="2" t="n">
        <v>174</v>
      </c>
      <c r="B178" s="2" t="str">
        <f aca="false">IFERROR(INDEX(Datos_problemas!$B:$B,MATCH($A178,Datos_problemas!$AV:$AV,0)),"")</f>
        <v/>
      </c>
      <c r="C178" s="2" t="str">
        <f aca="false">IF($B178="","",INDEX(Datos_problemas!$C:$C,MATCH($A178,Datos_problemas!$AV:$AV,0)))</f>
        <v/>
      </c>
      <c r="D178" s="2" t="str">
        <f aca="false">IF($B178="","",INDEX(Datos_problemas!$D:$D,MATCH($A178,Datos_problemas!$AV:$AV,0)))</f>
        <v/>
      </c>
      <c r="E178" s="2" t="str">
        <f aca="false">IF($B178="","",COUNTIFS(Datos_problemas!$B:$B,$B178,Datos_problemas!$F:$F,"Evaluación"))</f>
        <v/>
      </c>
      <c r="F178" s="20" t="str">
        <f aca="false">IF($B178="","",IFERROR(AVERAGEIFS(Datos_problemas!$AE:$AE,Datos_problemas!$B:$B,$B178,Datos_problemas!$F:$F,"Evaluación"),""))</f>
        <v/>
      </c>
      <c r="G178" s="20" t="str">
        <f aca="false">IF($B178="","",IFERROR(AVERAGEIFS(Datos_problemas!$AE:$AE,Datos_problemas!$B:$B,$B178,Datos_problemas!$F:$F,"Evaluación",Datos_problemas!$E:$E,"Diagnóstico"),""))</f>
        <v/>
      </c>
      <c r="H178" s="20" t="str">
        <f aca="false">IF($B178="","",IFERROR(AVERAGEIFS(Datos_problemas!$AE:$AE,Datos_problemas!$B:$B,$B178,Datos_problemas!$F:$F,"Evaluación",Datos_problemas!$E:$E,"Final"),""))</f>
        <v/>
      </c>
      <c r="I178" s="21" t="str">
        <f aca="false">IF(OR(G178="",H178=""),"",IF(G178&gt;=10,"",(H178-G178)/(10-G178)))</f>
        <v/>
      </c>
      <c r="J178" s="18" t="str">
        <f aca="false">IF($B178="","",IFERROR(SUMIFS(Datos_items!$Z:$Z,Datos_items!$B:$B,$B178,Datos_items!$O:$O,J$4,Datos_items!$E:$E,Analisis_grupo!$C$4)/COUNTIFS(Datos_items!$B:$B,$B178,Datos_items!$O:$O,J$4,Datos_items!$E:$E,Analisis_grupo!$C$4),""))</f>
        <v/>
      </c>
      <c r="K178" s="18" t="str">
        <f aca="false">IF($B178="","",IFERROR(SUMIFS(Datos_items!$Z:$Z,Datos_items!$B:$B,$B178,Datos_items!$O:$O,K$4,Datos_items!$E:$E,Analisis_grupo!$C$4)/COUNTIFS(Datos_items!$B:$B,$B178,Datos_items!$O:$O,K$4,Datos_items!$E:$E,Analisis_grupo!$C$4),""))</f>
        <v/>
      </c>
      <c r="L178" s="18" t="str">
        <f aca="false">IF($B178="","",IFERROR(SUMIFS(Datos_items!$Z:$Z,Datos_items!$B:$B,$B178,Datos_items!$O:$O,L$4,Datos_items!$E:$E,Analisis_grupo!$C$4)/COUNTIFS(Datos_items!$B:$B,$B178,Datos_items!$O:$O,L$4,Datos_items!$E:$E,Analisis_grupo!$C$4),""))</f>
        <v/>
      </c>
      <c r="M178" s="18" t="str">
        <f aca="false">IF($B178="","",IFERROR(SUMIFS(Datos_items!$Z:$Z,Datos_items!$B:$B,$B178,Datos_items!$O:$O,M$4,Datos_items!$E:$E,Analisis_grupo!$C$4)/COUNTIFS(Datos_items!$B:$B,$B178,Datos_items!$O:$O,M$4,Datos_items!$E:$E,Analisis_grupo!$C$4),""))</f>
        <v/>
      </c>
      <c r="N178" s="18" t="str">
        <f aca="false">IF($B178="","",IFERROR(SUMIFS(Datos_items!$Z:$Z,Datos_items!$B:$B,$B178,Datos_items!$O:$O,N$4,Datos_items!$E:$E,Analisis_grupo!$C$4)/COUNTIFS(Datos_items!$B:$B,$B178,Datos_items!$O:$O,N$4,Datos_items!$E:$E,Analisis_grupo!$C$4),""))</f>
        <v/>
      </c>
      <c r="O178" s="18" t="str">
        <f aca="false">IF($B178="","",IFERROR(SUMIFS(Datos_items!$Z:$Z,Datos_items!$B:$B,$B178,Datos_items!$O:$O,O$4,Datos_items!$E:$E,Analisis_grupo!$C$4)/COUNTIFS(Datos_items!$B:$B,$B178,Datos_items!$O:$O,O$4,Datos_items!$E:$E,Analisis_grupo!$C$4),""))</f>
        <v/>
      </c>
      <c r="P178" s="18" t="str">
        <f aca="false">IF($B178="","",IFERROR(SUMIFS(Datos_items!$Z:$Z,Datos_items!$B:$B,$B178,Datos_items!$O:$O,P$4,Datos_items!$E:$E,Analisis_grupo!$C$4)/COUNTIFS(Datos_items!$B:$B,$B178,Datos_items!$O:$O,P$4,Datos_items!$E:$E,Analisis_grupo!$C$4),""))</f>
        <v/>
      </c>
      <c r="Q178" s="18" t="str">
        <f aca="false">IF($B178="","",IFERROR(SUMIFS(Datos_items!$Z:$Z,Datos_items!$B:$B,$B178,Datos_items!$O:$O,Q$4,Datos_items!$E:$E,Analisis_grupo!$C$4)/COUNTIFS(Datos_items!$B:$B,$B178,Datos_items!$O:$O,Q$4,Datos_items!$E:$E,Analisis_grupo!$C$4),""))</f>
        <v/>
      </c>
      <c r="R178" s="2" t="str">
        <f aca="false">IF(COUNT(J178:Q178)=0,"",IF(MIN(J178:Q178)&gt;=Analisis_grupo!$B$7,"(ninguna)",INDEX($J$4:$Q$4,MATCH(MIN(J178:Q178),J178:Q178,0))))</f>
        <v/>
      </c>
      <c r="S178" s="2" t="str">
        <f aca="false">IF($B178="","",COUNTIF(J178:Q178,"&lt;"&amp;Analisis_grupo!$B$7))</f>
        <v/>
      </c>
      <c r="T178" s="2" t="str">
        <f aca="false">IF($B178="","",COUNTIFS(Datos_items!$B:$B,$B178,Datos_items!$AA:$AA,T$4,Datos_items!$E:$E,Analisis_grupo!$C$4))</f>
        <v/>
      </c>
      <c r="U178" s="2" t="str">
        <f aca="false">IF($B178="","",COUNTIFS(Datos_items!$B:$B,$B178,Datos_items!$AA:$AA,U$4,Datos_items!$E:$E,Analisis_grupo!$C$4))</f>
        <v/>
      </c>
      <c r="V178" s="2" t="str">
        <f aca="false">IF($B178="","",COUNTIFS(Datos_items!$B:$B,$B178,Datos_items!$AA:$AA,V$4,Datos_items!$E:$E,Analisis_grupo!$C$4))</f>
        <v/>
      </c>
      <c r="W178" s="2" t="str">
        <f aca="false">IF($B178="","",COUNTIFS(Datos_items!$B:$B,$B178,Datos_items!$AA:$AA,W$4,Datos_items!$E:$E,Analisis_grupo!$C$4))</f>
        <v/>
      </c>
      <c r="X178" s="2" t="str">
        <f aca="false">IF($B178="","",COUNTIFS(Datos_items!$B:$B,$B178,Datos_items!$AA:$AA,X$4,Datos_items!$E:$E,Analisis_grupo!$C$4))</f>
        <v/>
      </c>
      <c r="Y178" s="2" t="str">
        <f aca="false">IF($B178="","",COUNTIFS(Datos_items!$B:$B,$B178,Datos_items!$AA:$AA,Y$4,Datos_items!$E:$E,Analisis_grupo!$C$4))</f>
        <v/>
      </c>
      <c r="Z178" s="2" t="str">
        <f aca="false">IF($B178="","",COUNTIFS(Datos_items!$B:$B,$B178,Datos_items!$AA:$AA,Z$4,Datos_items!$E:$E,Analisis_grupo!$C$4))</f>
        <v/>
      </c>
      <c r="AA178" s="2" t="str">
        <f aca="false">IF($B178="","",COUNTIFS(Datos_items!$B:$B,$B178,Datos_items!$AA:$AA,AA$4,Datos_items!$E:$E,Analisis_grupo!$C$4))</f>
        <v/>
      </c>
      <c r="AB178" s="2" t="str">
        <f aca="false">IF($B178="","",COUNTIFS(Datos_items!$B:$B,$B178,Datos_items!$AA:$AA,AB$4,Datos_items!$E:$E,Analisis_grupo!$C$4))</f>
        <v/>
      </c>
      <c r="AC178" s="2" t="str">
        <f aca="false">IF($B178="","",COUNTIFS(Datos_items!$B:$B,$B178,Datos_items!$AA:$AA,AC$4,Datos_items!$E:$E,Analisis_grupo!$C$4))</f>
        <v/>
      </c>
      <c r="AD178" s="2" t="str">
        <f aca="false">IF($B178="","",COUNTIFS(Datos_items!$B:$B,$B178,Datos_items!$AA:$AA,AD$4,Datos_items!$E:$E,Analisis_grupo!$C$4))</f>
        <v/>
      </c>
      <c r="AE178" s="2" t="str">
        <f aca="false">IF($B178="","",COUNTIFS(Datos_items!$B:$B,$B178,Datos_items!$AA:$AA,AE$4,Datos_items!$E:$E,Analisis_grupo!$C$4))</f>
        <v/>
      </c>
      <c r="AF178" s="2" t="str">
        <f aca="false">IF($B178="","",COUNTIFS(Datos_items!$B:$B,$B178,Datos_items!$AA:$AA,AF$4,Datos_items!$E:$E,Analisis_grupo!$C$4))</f>
        <v/>
      </c>
      <c r="AG178" s="2" t="str">
        <f aca="false">IF($B178="","",COUNTIFS(Datos_items!$B:$B,$B178,Datos_items!$AA:$AA,AG$4,Datos_items!$E:$E,Analisis_grupo!$C$4))</f>
        <v/>
      </c>
      <c r="AH178" s="2" t="str">
        <f aca="false">IF($B178="","",COUNTIFS(Datos_items!$B:$B,$B178,Datos_items!$AA:$AA,AH$4,Datos_items!$E:$E,Analisis_grupo!$C$4))</f>
        <v/>
      </c>
      <c r="AI178" s="2" t="str">
        <f aca="false">IF($B178="","",COUNTIFS(Datos_items!$B:$B,$B178,Datos_items!$AA:$AA,AI$4,Datos_items!$E:$E,Analisis_grupo!$C$4))</f>
        <v/>
      </c>
      <c r="AJ178" s="2" t="str">
        <f aca="false">IF($B178="","",COUNTIFS(Datos_items!$B:$B,$B178,Datos_items!$AA:$AA,AJ$4,Datos_items!$E:$E,Analisis_grupo!$C$4))</f>
        <v/>
      </c>
      <c r="AK178" s="2" t="str">
        <f aca="false">IF($B178="","",COUNTIFS(Datos_items!$B:$B,$B178,Datos_items!$AA:$AA,AK$4,Datos_items!$E:$E,Analisis_grupo!$C$4))</f>
        <v/>
      </c>
      <c r="AL178" s="2" t="str">
        <f aca="false">IF($B178="","",COUNTIFS(Datos_items!$B:$B,$B178,Datos_items!$AA:$AA,AL$4,Datos_items!$E:$E,Analisis_grupo!$C$4))</f>
        <v/>
      </c>
      <c r="AM178" s="2" t="str">
        <f aca="false">IF($B178="","",IF(MAX(Y178:AL178)=0,"",INDEX($Y$4:$AL$4,MATCH(MAX(Y178:AL178),Y178:AL178,0))))</f>
        <v/>
      </c>
      <c r="AN178" s="2" t="str">
        <f aca="false">IF($B178="","",COUNTIFS(Datos_problemas!$B:$B,$B178,Datos_problemas!$F:$F,"Práctica"))</f>
        <v/>
      </c>
      <c r="AO178" s="2" t="str">
        <f aca="false">IF($B178="","",SUMIFS(Datos_problemas!$AQ:$AQ,Datos_problemas!$B:$B,$B178,Datos_problemas!$F:$F,"Práctica"))</f>
        <v/>
      </c>
      <c r="AP178" s="2" t="str">
        <f aca="false">IF($B178="","",COUNTIFS(Datos_problemas!$B:$B,$B178,Datos_problemas!$F:$F,"Práctica",Datos_problemas!$AS:$AS,"Sí"))</f>
        <v/>
      </c>
    </row>
    <row r="179" customFormat="false" ht="15" hidden="false" customHeight="false" outlineLevel="0" collapsed="false">
      <c r="A179" s="2" t="n">
        <v>175</v>
      </c>
      <c r="B179" s="2" t="str">
        <f aca="false">IFERROR(INDEX(Datos_problemas!$B:$B,MATCH($A179,Datos_problemas!$AV:$AV,0)),"")</f>
        <v/>
      </c>
      <c r="C179" s="2" t="str">
        <f aca="false">IF($B179="","",INDEX(Datos_problemas!$C:$C,MATCH($A179,Datos_problemas!$AV:$AV,0)))</f>
        <v/>
      </c>
      <c r="D179" s="2" t="str">
        <f aca="false">IF($B179="","",INDEX(Datos_problemas!$D:$D,MATCH($A179,Datos_problemas!$AV:$AV,0)))</f>
        <v/>
      </c>
      <c r="E179" s="2" t="str">
        <f aca="false">IF($B179="","",COUNTIFS(Datos_problemas!$B:$B,$B179,Datos_problemas!$F:$F,"Evaluación"))</f>
        <v/>
      </c>
      <c r="F179" s="20" t="str">
        <f aca="false">IF($B179="","",IFERROR(AVERAGEIFS(Datos_problemas!$AE:$AE,Datos_problemas!$B:$B,$B179,Datos_problemas!$F:$F,"Evaluación"),""))</f>
        <v/>
      </c>
      <c r="G179" s="20" t="str">
        <f aca="false">IF($B179="","",IFERROR(AVERAGEIFS(Datos_problemas!$AE:$AE,Datos_problemas!$B:$B,$B179,Datos_problemas!$F:$F,"Evaluación",Datos_problemas!$E:$E,"Diagnóstico"),""))</f>
        <v/>
      </c>
      <c r="H179" s="20" t="str">
        <f aca="false">IF($B179="","",IFERROR(AVERAGEIFS(Datos_problemas!$AE:$AE,Datos_problemas!$B:$B,$B179,Datos_problemas!$F:$F,"Evaluación",Datos_problemas!$E:$E,"Final"),""))</f>
        <v/>
      </c>
      <c r="I179" s="21" t="str">
        <f aca="false">IF(OR(G179="",H179=""),"",IF(G179&gt;=10,"",(H179-G179)/(10-G179)))</f>
        <v/>
      </c>
      <c r="J179" s="18" t="str">
        <f aca="false">IF($B179="","",IFERROR(SUMIFS(Datos_items!$Z:$Z,Datos_items!$B:$B,$B179,Datos_items!$O:$O,J$4,Datos_items!$E:$E,Analisis_grupo!$C$4)/COUNTIFS(Datos_items!$B:$B,$B179,Datos_items!$O:$O,J$4,Datos_items!$E:$E,Analisis_grupo!$C$4),""))</f>
        <v/>
      </c>
      <c r="K179" s="18" t="str">
        <f aca="false">IF($B179="","",IFERROR(SUMIFS(Datos_items!$Z:$Z,Datos_items!$B:$B,$B179,Datos_items!$O:$O,K$4,Datos_items!$E:$E,Analisis_grupo!$C$4)/COUNTIFS(Datos_items!$B:$B,$B179,Datos_items!$O:$O,K$4,Datos_items!$E:$E,Analisis_grupo!$C$4),""))</f>
        <v/>
      </c>
      <c r="L179" s="18" t="str">
        <f aca="false">IF($B179="","",IFERROR(SUMIFS(Datos_items!$Z:$Z,Datos_items!$B:$B,$B179,Datos_items!$O:$O,L$4,Datos_items!$E:$E,Analisis_grupo!$C$4)/COUNTIFS(Datos_items!$B:$B,$B179,Datos_items!$O:$O,L$4,Datos_items!$E:$E,Analisis_grupo!$C$4),""))</f>
        <v/>
      </c>
      <c r="M179" s="18" t="str">
        <f aca="false">IF($B179="","",IFERROR(SUMIFS(Datos_items!$Z:$Z,Datos_items!$B:$B,$B179,Datos_items!$O:$O,M$4,Datos_items!$E:$E,Analisis_grupo!$C$4)/COUNTIFS(Datos_items!$B:$B,$B179,Datos_items!$O:$O,M$4,Datos_items!$E:$E,Analisis_grupo!$C$4),""))</f>
        <v/>
      </c>
      <c r="N179" s="18" t="str">
        <f aca="false">IF($B179="","",IFERROR(SUMIFS(Datos_items!$Z:$Z,Datos_items!$B:$B,$B179,Datos_items!$O:$O,N$4,Datos_items!$E:$E,Analisis_grupo!$C$4)/COUNTIFS(Datos_items!$B:$B,$B179,Datos_items!$O:$O,N$4,Datos_items!$E:$E,Analisis_grupo!$C$4),""))</f>
        <v/>
      </c>
      <c r="O179" s="18" t="str">
        <f aca="false">IF($B179="","",IFERROR(SUMIFS(Datos_items!$Z:$Z,Datos_items!$B:$B,$B179,Datos_items!$O:$O,O$4,Datos_items!$E:$E,Analisis_grupo!$C$4)/COUNTIFS(Datos_items!$B:$B,$B179,Datos_items!$O:$O,O$4,Datos_items!$E:$E,Analisis_grupo!$C$4),""))</f>
        <v/>
      </c>
      <c r="P179" s="18" t="str">
        <f aca="false">IF($B179="","",IFERROR(SUMIFS(Datos_items!$Z:$Z,Datos_items!$B:$B,$B179,Datos_items!$O:$O,P$4,Datos_items!$E:$E,Analisis_grupo!$C$4)/COUNTIFS(Datos_items!$B:$B,$B179,Datos_items!$O:$O,P$4,Datos_items!$E:$E,Analisis_grupo!$C$4),""))</f>
        <v/>
      </c>
      <c r="Q179" s="18" t="str">
        <f aca="false">IF($B179="","",IFERROR(SUMIFS(Datos_items!$Z:$Z,Datos_items!$B:$B,$B179,Datos_items!$O:$O,Q$4,Datos_items!$E:$E,Analisis_grupo!$C$4)/COUNTIFS(Datos_items!$B:$B,$B179,Datos_items!$O:$O,Q$4,Datos_items!$E:$E,Analisis_grupo!$C$4),""))</f>
        <v/>
      </c>
      <c r="R179" s="2" t="str">
        <f aca="false">IF(COUNT(J179:Q179)=0,"",IF(MIN(J179:Q179)&gt;=Analisis_grupo!$B$7,"(ninguna)",INDEX($J$4:$Q$4,MATCH(MIN(J179:Q179),J179:Q179,0))))</f>
        <v/>
      </c>
      <c r="S179" s="2" t="str">
        <f aca="false">IF($B179="","",COUNTIF(J179:Q179,"&lt;"&amp;Analisis_grupo!$B$7))</f>
        <v/>
      </c>
      <c r="T179" s="2" t="str">
        <f aca="false">IF($B179="","",COUNTIFS(Datos_items!$B:$B,$B179,Datos_items!$AA:$AA,T$4,Datos_items!$E:$E,Analisis_grupo!$C$4))</f>
        <v/>
      </c>
      <c r="U179" s="2" t="str">
        <f aca="false">IF($B179="","",COUNTIFS(Datos_items!$B:$B,$B179,Datos_items!$AA:$AA,U$4,Datos_items!$E:$E,Analisis_grupo!$C$4))</f>
        <v/>
      </c>
      <c r="V179" s="2" t="str">
        <f aca="false">IF($B179="","",COUNTIFS(Datos_items!$B:$B,$B179,Datos_items!$AA:$AA,V$4,Datos_items!$E:$E,Analisis_grupo!$C$4))</f>
        <v/>
      </c>
      <c r="W179" s="2" t="str">
        <f aca="false">IF($B179="","",COUNTIFS(Datos_items!$B:$B,$B179,Datos_items!$AA:$AA,W$4,Datos_items!$E:$E,Analisis_grupo!$C$4))</f>
        <v/>
      </c>
      <c r="X179" s="2" t="str">
        <f aca="false">IF($B179="","",COUNTIFS(Datos_items!$B:$B,$B179,Datos_items!$AA:$AA,X$4,Datos_items!$E:$E,Analisis_grupo!$C$4))</f>
        <v/>
      </c>
      <c r="Y179" s="2" t="str">
        <f aca="false">IF($B179="","",COUNTIFS(Datos_items!$B:$B,$B179,Datos_items!$AA:$AA,Y$4,Datos_items!$E:$E,Analisis_grupo!$C$4))</f>
        <v/>
      </c>
      <c r="Z179" s="2" t="str">
        <f aca="false">IF($B179="","",COUNTIFS(Datos_items!$B:$B,$B179,Datos_items!$AA:$AA,Z$4,Datos_items!$E:$E,Analisis_grupo!$C$4))</f>
        <v/>
      </c>
      <c r="AA179" s="2" t="str">
        <f aca="false">IF($B179="","",COUNTIFS(Datos_items!$B:$B,$B179,Datos_items!$AA:$AA,AA$4,Datos_items!$E:$E,Analisis_grupo!$C$4))</f>
        <v/>
      </c>
      <c r="AB179" s="2" t="str">
        <f aca="false">IF($B179="","",COUNTIFS(Datos_items!$B:$B,$B179,Datos_items!$AA:$AA,AB$4,Datos_items!$E:$E,Analisis_grupo!$C$4))</f>
        <v/>
      </c>
      <c r="AC179" s="2" t="str">
        <f aca="false">IF($B179="","",COUNTIFS(Datos_items!$B:$B,$B179,Datos_items!$AA:$AA,AC$4,Datos_items!$E:$E,Analisis_grupo!$C$4))</f>
        <v/>
      </c>
      <c r="AD179" s="2" t="str">
        <f aca="false">IF($B179="","",COUNTIFS(Datos_items!$B:$B,$B179,Datos_items!$AA:$AA,AD$4,Datos_items!$E:$E,Analisis_grupo!$C$4))</f>
        <v/>
      </c>
      <c r="AE179" s="2" t="str">
        <f aca="false">IF($B179="","",COUNTIFS(Datos_items!$B:$B,$B179,Datos_items!$AA:$AA,AE$4,Datos_items!$E:$E,Analisis_grupo!$C$4))</f>
        <v/>
      </c>
      <c r="AF179" s="2" t="str">
        <f aca="false">IF($B179="","",COUNTIFS(Datos_items!$B:$B,$B179,Datos_items!$AA:$AA,AF$4,Datos_items!$E:$E,Analisis_grupo!$C$4))</f>
        <v/>
      </c>
      <c r="AG179" s="2" t="str">
        <f aca="false">IF($B179="","",COUNTIFS(Datos_items!$B:$B,$B179,Datos_items!$AA:$AA,AG$4,Datos_items!$E:$E,Analisis_grupo!$C$4))</f>
        <v/>
      </c>
      <c r="AH179" s="2" t="str">
        <f aca="false">IF($B179="","",COUNTIFS(Datos_items!$B:$B,$B179,Datos_items!$AA:$AA,AH$4,Datos_items!$E:$E,Analisis_grupo!$C$4))</f>
        <v/>
      </c>
      <c r="AI179" s="2" t="str">
        <f aca="false">IF($B179="","",COUNTIFS(Datos_items!$B:$B,$B179,Datos_items!$AA:$AA,AI$4,Datos_items!$E:$E,Analisis_grupo!$C$4))</f>
        <v/>
      </c>
      <c r="AJ179" s="2" t="str">
        <f aca="false">IF($B179="","",COUNTIFS(Datos_items!$B:$B,$B179,Datos_items!$AA:$AA,AJ$4,Datos_items!$E:$E,Analisis_grupo!$C$4))</f>
        <v/>
      </c>
      <c r="AK179" s="2" t="str">
        <f aca="false">IF($B179="","",COUNTIFS(Datos_items!$B:$B,$B179,Datos_items!$AA:$AA,AK$4,Datos_items!$E:$E,Analisis_grupo!$C$4))</f>
        <v/>
      </c>
      <c r="AL179" s="2" t="str">
        <f aca="false">IF($B179="","",COUNTIFS(Datos_items!$B:$B,$B179,Datos_items!$AA:$AA,AL$4,Datos_items!$E:$E,Analisis_grupo!$C$4))</f>
        <v/>
      </c>
      <c r="AM179" s="2" t="str">
        <f aca="false">IF($B179="","",IF(MAX(Y179:AL179)=0,"",INDEX($Y$4:$AL$4,MATCH(MAX(Y179:AL179),Y179:AL179,0))))</f>
        <v/>
      </c>
      <c r="AN179" s="2" t="str">
        <f aca="false">IF($B179="","",COUNTIFS(Datos_problemas!$B:$B,$B179,Datos_problemas!$F:$F,"Práctica"))</f>
        <v/>
      </c>
      <c r="AO179" s="2" t="str">
        <f aca="false">IF($B179="","",SUMIFS(Datos_problemas!$AQ:$AQ,Datos_problemas!$B:$B,$B179,Datos_problemas!$F:$F,"Práctica"))</f>
        <v/>
      </c>
      <c r="AP179" s="2" t="str">
        <f aca="false">IF($B179="","",COUNTIFS(Datos_problemas!$B:$B,$B179,Datos_problemas!$F:$F,"Práctica",Datos_problemas!$AS:$AS,"Sí"))</f>
        <v/>
      </c>
    </row>
    <row r="180" customFormat="false" ht="15" hidden="false" customHeight="false" outlineLevel="0" collapsed="false">
      <c r="A180" s="2" t="n">
        <v>176</v>
      </c>
      <c r="B180" s="2" t="str">
        <f aca="false">IFERROR(INDEX(Datos_problemas!$B:$B,MATCH($A180,Datos_problemas!$AV:$AV,0)),"")</f>
        <v/>
      </c>
      <c r="C180" s="2" t="str">
        <f aca="false">IF($B180="","",INDEX(Datos_problemas!$C:$C,MATCH($A180,Datos_problemas!$AV:$AV,0)))</f>
        <v/>
      </c>
      <c r="D180" s="2" t="str">
        <f aca="false">IF($B180="","",INDEX(Datos_problemas!$D:$D,MATCH($A180,Datos_problemas!$AV:$AV,0)))</f>
        <v/>
      </c>
      <c r="E180" s="2" t="str">
        <f aca="false">IF($B180="","",COUNTIFS(Datos_problemas!$B:$B,$B180,Datos_problemas!$F:$F,"Evaluación"))</f>
        <v/>
      </c>
      <c r="F180" s="20" t="str">
        <f aca="false">IF($B180="","",IFERROR(AVERAGEIFS(Datos_problemas!$AE:$AE,Datos_problemas!$B:$B,$B180,Datos_problemas!$F:$F,"Evaluación"),""))</f>
        <v/>
      </c>
      <c r="G180" s="20" t="str">
        <f aca="false">IF($B180="","",IFERROR(AVERAGEIFS(Datos_problemas!$AE:$AE,Datos_problemas!$B:$B,$B180,Datos_problemas!$F:$F,"Evaluación",Datos_problemas!$E:$E,"Diagnóstico"),""))</f>
        <v/>
      </c>
      <c r="H180" s="20" t="str">
        <f aca="false">IF($B180="","",IFERROR(AVERAGEIFS(Datos_problemas!$AE:$AE,Datos_problemas!$B:$B,$B180,Datos_problemas!$F:$F,"Evaluación",Datos_problemas!$E:$E,"Final"),""))</f>
        <v/>
      </c>
      <c r="I180" s="21" t="str">
        <f aca="false">IF(OR(G180="",H180=""),"",IF(G180&gt;=10,"",(H180-G180)/(10-G180)))</f>
        <v/>
      </c>
      <c r="J180" s="18" t="str">
        <f aca="false">IF($B180="","",IFERROR(SUMIFS(Datos_items!$Z:$Z,Datos_items!$B:$B,$B180,Datos_items!$O:$O,J$4,Datos_items!$E:$E,Analisis_grupo!$C$4)/COUNTIFS(Datos_items!$B:$B,$B180,Datos_items!$O:$O,J$4,Datos_items!$E:$E,Analisis_grupo!$C$4),""))</f>
        <v/>
      </c>
      <c r="K180" s="18" t="str">
        <f aca="false">IF($B180="","",IFERROR(SUMIFS(Datos_items!$Z:$Z,Datos_items!$B:$B,$B180,Datos_items!$O:$O,K$4,Datos_items!$E:$E,Analisis_grupo!$C$4)/COUNTIFS(Datos_items!$B:$B,$B180,Datos_items!$O:$O,K$4,Datos_items!$E:$E,Analisis_grupo!$C$4),""))</f>
        <v/>
      </c>
      <c r="L180" s="18" t="str">
        <f aca="false">IF($B180="","",IFERROR(SUMIFS(Datos_items!$Z:$Z,Datos_items!$B:$B,$B180,Datos_items!$O:$O,L$4,Datos_items!$E:$E,Analisis_grupo!$C$4)/COUNTIFS(Datos_items!$B:$B,$B180,Datos_items!$O:$O,L$4,Datos_items!$E:$E,Analisis_grupo!$C$4),""))</f>
        <v/>
      </c>
      <c r="M180" s="18" t="str">
        <f aca="false">IF($B180="","",IFERROR(SUMIFS(Datos_items!$Z:$Z,Datos_items!$B:$B,$B180,Datos_items!$O:$O,M$4,Datos_items!$E:$E,Analisis_grupo!$C$4)/COUNTIFS(Datos_items!$B:$B,$B180,Datos_items!$O:$O,M$4,Datos_items!$E:$E,Analisis_grupo!$C$4),""))</f>
        <v/>
      </c>
      <c r="N180" s="18" t="str">
        <f aca="false">IF($B180="","",IFERROR(SUMIFS(Datos_items!$Z:$Z,Datos_items!$B:$B,$B180,Datos_items!$O:$O,N$4,Datos_items!$E:$E,Analisis_grupo!$C$4)/COUNTIFS(Datos_items!$B:$B,$B180,Datos_items!$O:$O,N$4,Datos_items!$E:$E,Analisis_grupo!$C$4),""))</f>
        <v/>
      </c>
      <c r="O180" s="18" t="str">
        <f aca="false">IF($B180="","",IFERROR(SUMIFS(Datos_items!$Z:$Z,Datos_items!$B:$B,$B180,Datos_items!$O:$O,O$4,Datos_items!$E:$E,Analisis_grupo!$C$4)/COUNTIFS(Datos_items!$B:$B,$B180,Datos_items!$O:$O,O$4,Datos_items!$E:$E,Analisis_grupo!$C$4),""))</f>
        <v/>
      </c>
      <c r="P180" s="18" t="str">
        <f aca="false">IF($B180="","",IFERROR(SUMIFS(Datos_items!$Z:$Z,Datos_items!$B:$B,$B180,Datos_items!$O:$O,P$4,Datos_items!$E:$E,Analisis_grupo!$C$4)/COUNTIFS(Datos_items!$B:$B,$B180,Datos_items!$O:$O,P$4,Datos_items!$E:$E,Analisis_grupo!$C$4),""))</f>
        <v/>
      </c>
      <c r="Q180" s="18" t="str">
        <f aca="false">IF($B180="","",IFERROR(SUMIFS(Datos_items!$Z:$Z,Datos_items!$B:$B,$B180,Datos_items!$O:$O,Q$4,Datos_items!$E:$E,Analisis_grupo!$C$4)/COUNTIFS(Datos_items!$B:$B,$B180,Datos_items!$O:$O,Q$4,Datos_items!$E:$E,Analisis_grupo!$C$4),""))</f>
        <v/>
      </c>
      <c r="R180" s="2" t="str">
        <f aca="false">IF(COUNT(J180:Q180)=0,"",IF(MIN(J180:Q180)&gt;=Analisis_grupo!$B$7,"(ninguna)",INDEX($J$4:$Q$4,MATCH(MIN(J180:Q180),J180:Q180,0))))</f>
        <v/>
      </c>
      <c r="S180" s="2" t="str">
        <f aca="false">IF($B180="","",COUNTIF(J180:Q180,"&lt;"&amp;Analisis_grupo!$B$7))</f>
        <v/>
      </c>
      <c r="T180" s="2" t="str">
        <f aca="false">IF($B180="","",COUNTIFS(Datos_items!$B:$B,$B180,Datos_items!$AA:$AA,T$4,Datos_items!$E:$E,Analisis_grupo!$C$4))</f>
        <v/>
      </c>
      <c r="U180" s="2" t="str">
        <f aca="false">IF($B180="","",COUNTIFS(Datos_items!$B:$B,$B180,Datos_items!$AA:$AA,U$4,Datos_items!$E:$E,Analisis_grupo!$C$4))</f>
        <v/>
      </c>
      <c r="V180" s="2" t="str">
        <f aca="false">IF($B180="","",COUNTIFS(Datos_items!$B:$B,$B180,Datos_items!$AA:$AA,V$4,Datos_items!$E:$E,Analisis_grupo!$C$4))</f>
        <v/>
      </c>
      <c r="W180" s="2" t="str">
        <f aca="false">IF($B180="","",COUNTIFS(Datos_items!$B:$B,$B180,Datos_items!$AA:$AA,W$4,Datos_items!$E:$E,Analisis_grupo!$C$4))</f>
        <v/>
      </c>
      <c r="X180" s="2" t="str">
        <f aca="false">IF($B180="","",COUNTIFS(Datos_items!$B:$B,$B180,Datos_items!$AA:$AA,X$4,Datos_items!$E:$E,Analisis_grupo!$C$4))</f>
        <v/>
      </c>
      <c r="Y180" s="2" t="str">
        <f aca="false">IF($B180="","",COUNTIFS(Datos_items!$B:$B,$B180,Datos_items!$AA:$AA,Y$4,Datos_items!$E:$E,Analisis_grupo!$C$4))</f>
        <v/>
      </c>
      <c r="Z180" s="2" t="str">
        <f aca="false">IF($B180="","",COUNTIFS(Datos_items!$B:$B,$B180,Datos_items!$AA:$AA,Z$4,Datos_items!$E:$E,Analisis_grupo!$C$4))</f>
        <v/>
      </c>
      <c r="AA180" s="2" t="str">
        <f aca="false">IF($B180="","",COUNTIFS(Datos_items!$B:$B,$B180,Datos_items!$AA:$AA,AA$4,Datos_items!$E:$E,Analisis_grupo!$C$4))</f>
        <v/>
      </c>
      <c r="AB180" s="2" t="str">
        <f aca="false">IF($B180="","",COUNTIFS(Datos_items!$B:$B,$B180,Datos_items!$AA:$AA,AB$4,Datos_items!$E:$E,Analisis_grupo!$C$4))</f>
        <v/>
      </c>
      <c r="AC180" s="2" t="str">
        <f aca="false">IF($B180="","",COUNTIFS(Datos_items!$B:$B,$B180,Datos_items!$AA:$AA,AC$4,Datos_items!$E:$E,Analisis_grupo!$C$4))</f>
        <v/>
      </c>
      <c r="AD180" s="2" t="str">
        <f aca="false">IF($B180="","",COUNTIFS(Datos_items!$B:$B,$B180,Datos_items!$AA:$AA,AD$4,Datos_items!$E:$E,Analisis_grupo!$C$4))</f>
        <v/>
      </c>
      <c r="AE180" s="2" t="str">
        <f aca="false">IF($B180="","",COUNTIFS(Datos_items!$B:$B,$B180,Datos_items!$AA:$AA,AE$4,Datos_items!$E:$E,Analisis_grupo!$C$4))</f>
        <v/>
      </c>
      <c r="AF180" s="2" t="str">
        <f aca="false">IF($B180="","",COUNTIFS(Datos_items!$B:$B,$B180,Datos_items!$AA:$AA,AF$4,Datos_items!$E:$E,Analisis_grupo!$C$4))</f>
        <v/>
      </c>
      <c r="AG180" s="2" t="str">
        <f aca="false">IF($B180="","",COUNTIFS(Datos_items!$B:$B,$B180,Datos_items!$AA:$AA,AG$4,Datos_items!$E:$E,Analisis_grupo!$C$4))</f>
        <v/>
      </c>
      <c r="AH180" s="2" t="str">
        <f aca="false">IF($B180="","",COUNTIFS(Datos_items!$B:$B,$B180,Datos_items!$AA:$AA,AH$4,Datos_items!$E:$E,Analisis_grupo!$C$4))</f>
        <v/>
      </c>
      <c r="AI180" s="2" t="str">
        <f aca="false">IF($B180="","",COUNTIFS(Datos_items!$B:$B,$B180,Datos_items!$AA:$AA,AI$4,Datos_items!$E:$E,Analisis_grupo!$C$4))</f>
        <v/>
      </c>
      <c r="AJ180" s="2" t="str">
        <f aca="false">IF($B180="","",COUNTIFS(Datos_items!$B:$B,$B180,Datos_items!$AA:$AA,AJ$4,Datos_items!$E:$E,Analisis_grupo!$C$4))</f>
        <v/>
      </c>
      <c r="AK180" s="2" t="str">
        <f aca="false">IF($B180="","",COUNTIFS(Datos_items!$B:$B,$B180,Datos_items!$AA:$AA,AK$4,Datos_items!$E:$E,Analisis_grupo!$C$4))</f>
        <v/>
      </c>
      <c r="AL180" s="2" t="str">
        <f aca="false">IF($B180="","",COUNTIFS(Datos_items!$B:$B,$B180,Datos_items!$AA:$AA,AL$4,Datos_items!$E:$E,Analisis_grupo!$C$4))</f>
        <v/>
      </c>
      <c r="AM180" s="2" t="str">
        <f aca="false">IF($B180="","",IF(MAX(Y180:AL180)=0,"",INDEX($Y$4:$AL$4,MATCH(MAX(Y180:AL180),Y180:AL180,0))))</f>
        <v/>
      </c>
      <c r="AN180" s="2" t="str">
        <f aca="false">IF($B180="","",COUNTIFS(Datos_problemas!$B:$B,$B180,Datos_problemas!$F:$F,"Práctica"))</f>
        <v/>
      </c>
      <c r="AO180" s="2" t="str">
        <f aca="false">IF($B180="","",SUMIFS(Datos_problemas!$AQ:$AQ,Datos_problemas!$B:$B,$B180,Datos_problemas!$F:$F,"Práctica"))</f>
        <v/>
      </c>
      <c r="AP180" s="2" t="str">
        <f aca="false">IF($B180="","",COUNTIFS(Datos_problemas!$B:$B,$B180,Datos_problemas!$F:$F,"Práctica",Datos_problemas!$AS:$AS,"Sí"))</f>
        <v/>
      </c>
    </row>
    <row r="181" customFormat="false" ht="15" hidden="false" customHeight="false" outlineLevel="0" collapsed="false">
      <c r="A181" s="2" t="n">
        <v>177</v>
      </c>
      <c r="B181" s="2" t="str">
        <f aca="false">IFERROR(INDEX(Datos_problemas!$B:$B,MATCH($A181,Datos_problemas!$AV:$AV,0)),"")</f>
        <v/>
      </c>
      <c r="C181" s="2" t="str">
        <f aca="false">IF($B181="","",INDEX(Datos_problemas!$C:$C,MATCH($A181,Datos_problemas!$AV:$AV,0)))</f>
        <v/>
      </c>
      <c r="D181" s="2" t="str">
        <f aca="false">IF($B181="","",INDEX(Datos_problemas!$D:$D,MATCH($A181,Datos_problemas!$AV:$AV,0)))</f>
        <v/>
      </c>
      <c r="E181" s="2" t="str">
        <f aca="false">IF($B181="","",COUNTIFS(Datos_problemas!$B:$B,$B181,Datos_problemas!$F:$F,"Evaluación"))</f>
        <v/>
      </c>
      <c r="F181" s="20" t="str">
        <f aca="false">IF($B181="","",IFERROR(AVERAGEIFS(Datos_problemas!$AE:$AE,Datos_problemas!$B:$B,$B181,Datos_problemas!$F:$F,"Evaluación"),""))</f>
        <v/>
      </c>
      <c r="G181" s="20" t="str">
        <f aca="false">IF($B181="","",IFERROR(AVERAGEIFS(Datos_problemas!$AE:$AE,Datos_problemas!$B:$B,$B181,Datos_problemas!$F:$F,"Evaluación",Datos_problemas!$E:$E,"Diagnóstico"),""))</f>
        <v/>
      </c>
      <c r="H181" s="20" t="str">
        <f aca="false">IF($B181="","",IFERROR(AVERAGEIFS(Datos_problemas!$AE:$AE,Datos_problemas!$B:$B,$B181,Datos_problemas!$F:$F,"Evaluación",Datos_problemas!$E:$E,"Final"),""))</f>
        <v/>
      </c>
      <c r="I181" s="21" t="str">
        <f aca="false">IF(OR(G181="",H181=""),"",IF(G181&gt;=10,"",(H181-G181)/(10-G181)))</f>
        <v/>
      </c>
      <c r="J181" s="18" t="str">
        <f aca="false">IF($B181="","",IFERROR(SUMIFS(Datos_items!$Z:$Z,Datos_items!$B:$B,$B181,Datos_items!$O:$O,J$4,Datos_items!$E:$E,Analisis_grupo!$C$4)/COUNTIFS(Datos_items!$B:$B,$B181,Datos_items!$O:$O,J$4,Datos_items!$E:$E,Analisis_grupo!$C$4),""))</f>
        <v/>
      </c>
      <c r="K181" s="18" t="str">
        <f aca="false">IF($B181="","",IFERROR(SUMIFS(Datos_items!$Z:$Z,Datos_items!$B:$B,$B181,Datos_items!$O:$O,K$4,Datos_items!$E:$E,Analisis_grupo!$C$4)/COUNTIFS(Datos_items!$B:$B,$B181,Datos_items!$O:$O,K$4,Datos_items!$E:$E,Analisis_grupo!$C$4),""))</f>
        <v/>
      </c>
      <c r="L181" s="18" t="str">
        <f aca="false">IF($B181="","",IFERROR(SUMIFS(Datos_items!$Z:$Z,Datos_items!$B:$B,$B181,Datos_items!$O:$O,L$4,Datos_items!$E:$E,Analisis_grupo!$C$4)/COUNTIFS(Datos_items!$B:$B,$B181,Datos_items!$O:$O,L$4,Datos_items!$E:$E,Analisis_grupo!$C$4),""))</f>
        <v/>
      </c>
      <c r="M181" s="18" t="str">
        <f aca="false">IF($B181="","",IFERROR(SUMIFS(Datos_items!$Z:$Z,Datos_items!$B:$B,$B181,Datos_items!$O:$O,M$4,Datos_items!$E:$E,Analisis_grupo!$C$4)/COUNTIFS(Datos_items!$B:$B,$B181,Datos_items!$O:$O,M$4,Datos_items!$E:$E,Analisis_grupo!$C$4),""))</f>
        <v/>
      </c>
      <c r="N181" s="18" t="str">
        <f aca="false">IF($B181="","",IFERROR(SUMIFS(Datos_items!$Z:$Z,Datos_items!$B:$B,$B181,Datos_items!$O:$O,N$4,Datos_items!$E:$E,Analisis_grupo!$C$4)/COUNTIFS(Datos_items!$B:$B,$B181,Datos_items!$O:$O,N$4,Datos_items!$E:$E,Analisis_grupo!$C$4),""))</f>
        <v/>
      </c>
      <c r="O181" s="18" t="str">
        <f aca="false">IF($B181="","",IFERROR(SUMIFS(Datos_items!$Z:$Z,Datos_items!$B:$B,$B181,Datos_items!$O:$O,O$4,Datos_items!$E:$E,Analisis_grupo!$C$4)/COUNTIFS(Datos_items!$B:$B,$B181,Datos_items!$O:$O,O$4,Datos_items!$E:$E,Analisis_grupo!$C$4),""))</f>
        <v/>
      </c>
      <c r="P181" s="18" t="str">
        <f aca="false">IF($B181="","",IFERROR(SUMIFS(Datos_items!$Z:$Z,Datos_items!$B:$B,$B181,Datos_items!$O:$O,P$4,Datos_items!$E:$E,Analisis_grupo!$C$4)/COUNTIFS(Datos_items!$B:$B,$B181,Datos_items!$O:$O,P$4,Datos_items!$E:$E,Analisis_grupo!$C$4),""))</f>
        <v/>
      </c>
      <c r="Q181" s="18" t="str">
        <f aca="false">IF($B181="","",IFERROR(SUMIFS(Datos_items!$Z:$Z,Datos_items!$B:$B,$B181,Datos_items!$O:$O,Q$4,Datos_items!$E:$E,Analisis_grupo!$C$4)/COUNTIFS(Datos_items!$B:$B,$B181,Datos_items!$O:$O,Q$4,Datos_items!$E:$E,Analisis_grupo!$C$4),""))</f>
        <v/>
      </c>
      <c r="R181" s="2" t="str">
        <f aca="false">IF(COUNT(J181:Q181)=0,"",IF(MIN(J181:Q181)&gt;=Analisis_grupo!$B$7,"(ninguna)",INDEX($J$4:$Q$4,MATCH(MIN(J181:Q181),J181:Q181,0))))</f>
        <v/>
      </c>
      <c r="S181" s="2" t="str">
        <f aca="false">IF($B181="","",COUNTIF(J181:Q181,"&lt;"&amp;Analisis_grupo!$B$7))</f>
        <v/>
      </c>
      <c r="T181" s="2" t="str">
        <f aca="false">IF($B181="","",COUNTIFS(Datos_items!$B:$B,$B181,Datos_items!$AA:$AA,T$4,Datos_items!$E:$E,Analisis_grupo!$C$4))</f>
        <v/>
      </c>
      <c r="U181" s="2" t="str">
        <f aca="false">IF($B181="","",COUNTIFS(Datos_items!$B:$B,$B181,Datos_items!$AA:$AA,U$4,Datos_items!$E:$E,Analisis_grupo!$C$4))</f>
        <v/>
      </c>
      <c r="V181" s="2" t="str">
        <f aca="false">IF($B181="","",COUNTIFS(Datos_items!$B:$B,$B181,Datos_items!$AA:$AA,V$4,Datos_items!$E:$E,Analisis_grupo!$C$4))</f>
        <v/>
      </c>
      <c r="W181" s="2" t="str">
        <f aca="false">IF($B181="","",COUNTIFS(Datos_items!$B:$B,$B181,Datos_items!$AA:$AA,W$4,Datos_items!$E:$E,Analisis_grupo!$C$4))</f>
        <v/>
      </c>
      <c r="X181" s="2" t="str">
        <f aca="false">IF($B181="","",COUNTIFS(Datos_items!$B:$B,$B181,Datos_items!$AA:$AA,X$4,Datos_items!$E:$E,Analisis_grupo!$C$4))</f>
        <v/>
      </c>
      <c r="Y181" s="2" t="str">
        <f aca="false">IF($B181="","",COUNTIFS(Datos_items!$B:$B,$B181,Datos_items!$AA:$AA,Y$4,Datos_items!$E:$E,Analisis_grupo!$C$4))</f>
        <v/>
      </c>
      <c r="Z181" s="2" t="str">
        <f aca="false">IF($B181="","",COUNTIFS(Datos_items!$B:$B,$B181,Datos_items!$AA:$AA,Z$4,Datos_items!$E:$E,Analisis_grupo!$C$4))</f>
        <v/>
      </c>
      <c r="AA181" s="2" t="str">
        <f aca="false">IF($B181="","",COUNTIFS(Datos_items!$B:$B,$B181,Datos_items!$AA:$AA,AA$4,Datos_items!$E:$E,Analisis_grupo!$C$4))</f>
        <v/>
      </c>
      <c r="AB181" s="2" t="str">
        <f aca="false">IF($B181="","",COUNTIFS(Datos_items!$B:$B,$B181,Datos_items!$AA:$AA,AB$4,Datos_items!$E:$E,Analisis_grupo!$C$4))</f>
        <v/>
      </c>
      <c r="AC181" s="2" t="str">
        <f aca="false">IF($B181="","",COUNTIFS(Datos_items!$B:$B,$B181,Datos_items!$AA:$AA,AC$4,Datos_items!$E:$E,Analisis_grupo!$C$4))</f>
        <v/>
      </c>
      <c r="AD181" s="2" t="str">
        <f aca="false">IF($B181="","",COUNTIFS(Datos_items!$B:$B,$B181,Datos_items!$AA:$AA,AD$4,Datos_items!$E:$E,Analisis_grupo!$C$4))</f>
        <v/>
      </c>
      <c r="AE181" s="2" t="str">
        <f aca="false">IF($B181="","",COUNTIFS(Datos_items!$B:$B,$B181,Datos_items!$AA:$AA,AE$4,Datos_items!$E:$E,Analisis_grupo!$C$4))</f>
        <v/>
      </c>
      <c r="AF181" s="2" t="str">
        <f aca="false">IF($B181="","",COUNTIFS(Datos_items!$B:$B,$B181,Datos_items!$AA:$AA,AF$4,Datos_items!$E:$E,Analisis_grupo!$C$4))</f>
        <v/>
      </c>
      <c r="AG181" s="2" t="str">
        <f aca="false">IF($B181="","",COUNTIFS(Datos_items!$B:$B,$B181,Datos_items!$AA:$AA,AG$4,Datos_items!$E:$E,Analisis_grupo!$C$4))</f>
        <v/>
      </c>
      <c r="AH181" s="2" t="str">
        <f aca="false">IF($B181="","",COUNTIFS(Datos_items!$B:$B,$B181,Datos_items!$AA:$AA,AH$4,Datos_items!$E:$E,Analisis_grupo!$C$4))</f>
        <v/>
      </c>
      <c r="AI181" s="2" t="str">
        <f aca="false">IF($B181="","",COUNTIFS(Datos_items!$B:$B,$B181,Datos_items!$AA:$AA,AI$4,Datos_items!$E:$E,Analisis_grupo!$C$4))</f>
        <v/>
      </c>
      <c r="AJ181" s="2" t="str">
        <f aca="false">IF($B181="","",COUNTIFS(Datos_items!$B:$B,$B181,Datos_items!$AA:$AA,AJ$4,Datos_items!$E:$E,Analisis_grupo!$C$4))</f>
        <v/>
      </c>
      <c r="AK181" s="2" t="str">
        <f aca="false">IF($B181="","",COUNTIFS(Datos_items!$B:$B,$B181,Datos_items!$AA:$AA,AK$4,Datos_items!$E:$E,Analisis_grupo!$C$4))</f>
        <v/>
      </c>
      <c r="AL181" s="2" t="str">
        <f aca="false">IF($B181="","",COUNTIFS(Datos_items!$B:$B,$B181,Datos_items!$AA:$AA,AL$4,Datos_items!$E:$E,Analisis_grupo!$C$4))</f>
        <v/>
      </c>
      <c r="AM181" s="2" t="str">
        <f aca="false">IF($B181="","",IF(MAX(Y181:AL181)=0,"",INDEX($Y$4:$AL$4,MATCH(MAX(Y181:AL181),Y181:AL181,0))))</f>
        <v/>
      </c>
      <c r="AN181" s="2" t="str">
        <f aca="false">IF($B181="","",COUNTIFS(Datos_problemas!$B:$B,$B181,Datos_problemas!$F:$F,"Práctica"))</f>
        <v/>
      </c>
      <c r="AO181" s="2" t="str">
        <f aca="false">IF($B181="","",SUMIFS(Datos_problemas!$AQ:$AQ,Datos_problemas!$B:$B,$B181,Datos_problemas!$F:$F,"Práctica"))</f>
        <v/>
      </c>
      <c r="AP181" s="2" t="str">
        <f aca="false">IF($B181="","",COUNTIFS(Datos_problemas!$B:$B,$B181,Datos_problemas!$F:$F,"Práctica",Datos_problemas!$AS:$AS,"Sí"))</f>
        <v/>
      </c>
    </row>
    <row r="182" customFormat="false" ht="15" hidden="false" customHeight="false" outlineLevel="0" collapsed="false">
      <c r="A182" s="2" t="n">
        <v>178</v>
      </c>
      <c r="B182" s="2" t="str">
        <f aca="false">IFERROR(INDEX(Datos_problemas!$B:$B,MATCH($A182,Datos_problemas!$AV:$AV,0)),"")</f>
        <v/>
      </c>
      <c r="C182" s="2" t="str">
        <f aca="false">IF($B182="","",INDEX(Datos_problemas!$C:$C,MATCH($A182,Datos_problemas!$AV:$AV,0)))</f>
        <v/>
      </c>
      <c r="D182" s="2" t="str">
        <f aca="false">IF($B182="","",INDEX(Datos_problemas!$D:$D,MATCH($A182,Datos_problemas!$AV:$AV,0)))</f>
        <v/>
      </c>
      <c r="E182" s="2" t="str">
        <f aca="false">IF($B182="","",COUNTIFS(Datos_problemas!$B:$B,$B182,Datos_problemas!$F:$F,"Evaluación"))</f>
        <v/>
      </c>
      <c r="F182" s="20" t="str">
        <f aca="false">IF($B182="","",IFERROR(AVERAGEIFS(Datos_problemas!$AE:$AE,Datos_problemas!$B:$B,$B182,Datos_problemas!$F:$F,"Evaluación"),""))</f>
        <v/>
      </c>
      <c r="G182" s="20" t="str">
        <f aca="false">IF($B182="","",IFERROR(AVERAGEIFS(Datos_problemas!$AE:$AE,Datos_problemas!$B:$B,$B182,Datos_problemas!$F:$F,"Evaluación",Datos_problemas!$E:$E,"Diagnóstico"),""))</f>
        <v/>
      </c>
      <c r="H182" s="20" t="str">
        <f aca="false">IF($B182="","",IFERROR(AVERAGEIFS(Datos_problemas!$AE:$AE,Datos_problemas!$B:$B,$B182,Datos_problemas!$F:$F,"Evaluación",Datos_problemas!$E:$E,"Final"),""))</f>
        <v/>
      </c>
      <c r="I182" s="21" t="str">
        <f aca="false">IF(OR(G182="",H182=""),"",IF(G182&gt;=10,"",(H182-G182)/(10-G182)))</f>
        <v/>
      </c>
      <c r="J182" s="18" t="str">
        <f aca="false">IF($B182="","",IFERROR(SUMIFS(Datos_items!$Z:$Z,Datos_items!$B:$B,$B182,Datos_items!$O:$O,J$4,Datos_items!$E:$E,Analisis_grupo!$C$4)/COUNTIFS(Datos_items!$B:$B,$B182,Datos_items!$O:$O,J$4,Datos_items!$E:$E,Analisis_grupo!$C$4),""))</f>
        <v/>
      </c>
      <c r="K182" s="18" t="str">
        <f aca="false">IF($B182="","",IFERROR(SUMIFS(Datos_items!$Z:$Z,Datos_items!$B:$B,$B182,Datos_items!$O:$O,K$4,Datos_items!$E:$E,Analisis_grupo!$C$4)/COUNTIFS(Datos_items!$B:$B,$B182,Datos_items!$O:$O,K$4,Datos_items!$E:$E,Analisis_grupo!$C$4),""))</f>
        <v/>
      </c>
      <c r="L182" s="18" t="str">
        <f aca="false">IF($B182="","",IFERROR(SUMIFS(Datos_items!$Z:$Z,Datos_items!$B:$B,$B182,Datos_items!$O:$O,L$4,Datos_items!$E:$E,Analisis_grupo!$C$4)/COUNTIFS(Datos_items!$B:$B,$B182,Datos_items!$O:$O,L$4,Datos_items!$E:$E,Analisis_grupo!$C$4),""))</f>
        <v/>
      </c>
      <c r="M182" s="18" t="str">
        <f aca="false">IF($B182="","",IFERROR(SUMIFS(Datos_items!$Z:$Z,Datos_items!$B:$B,$B182,Datos_items!$O:$O,M$4,Datos_items!$E:$E,Analisis_grupo!$C$4)/COUNTIFS(Datos_items!$B:$B,$B182,Datos_items!$O:$O,M$4,Datos_items!$E:$E,Analisis_grupo!$C$4),""))</f>
        <v/>
      </c>
      <c r="N182" s="18" t="str">
        <f aca="false">IF($B182="","",IFERROR(SUMIFS(Datos_items!$Z:$Z,Datos_items!$B:$B,$B182,Datos_items!$O:$O,N$4,Datos_items!$E:$E,Analisis_grupo!$C$4)/COUNTIFS(Datos_items!$B:$B,$B182,Datos_items!$O:$O,N$4,Datos_items!$E:$E,Analisis_grupo!$C$4),""))</f>
        <v/>
      </c>
      <c r="O182" s="18" t="str">
        <f aca="false">IF($B182="","",IFERROR(SUMIFS(Datos_items!$Z:$Z,Datos_items!$B:$B,$B182,Datos_items!$O:$O,O$4,Datos_items!$E:$E,Analisis_grupo!$C$4)/COUNTIFS(Datos_items!$B:$B,$B182,Datos_items!$O:$O,O$4,Datos_items!$E:$E,Analisis_grupo!$C$4),""))</f>
        <v/>
      </c>
      <c r="P182" s="18" t="str">
        <f aca="false">IF($B182="","",IFERROR(SUMIFS(Datos_items!$Z:$Z,Datos_items!$B:$B,$B182,Datos_items!$O:$O,P$4,Datos_items!$E:$E,Analisis_grupo!$C$4)/COUNTIFS(Datos_items!$B:$B,$B182,Datos_items!$O:$O,P$4,Datos_items!$E:$E,Analisis_grupo!$C$4),""))</f>
        <v/>
      </c>
      <c r="Q182" s="18" t="str">
        <f aca="false">IF($B182="","",IFERROR(SUMIFS(Datos_items!$Z:$Z,Datos_items!$B:$B,$B182,Datos_items!$O:$O,Q$4,Datos_items!$E:$E,Analisis_grupo!$C$4)/COUNTIFS(Datos_items!$B:$B,$B182,Datos_items!$O:$O,Q$4,Datos_items!$E:$E,Analisis_grupo!$C$4),""))</f>
        <v/>
      </c>
      <c r="R182" s="2" t="str">
        <f aca="false">IF(COUNT(J182:Q182)=0,"",IF(MIN(J182:Q182)&gt;=Analisis_grupo!$B$7,"(ninguna)",INDEX($J$4:$Q$4,MATCH(MIN(J182:Q182),J182:Q182,0))))</f>
        <v/>
      </c>
      <c r="S182" s="2" t="str">
        <f aca="false">IF($B182="","",COUNTIF(J182:Q182,"&lt;"&amp;Analisis_grupo!$B$7))</f>
        <v/>
      </c>
      <c r="T182" s="2" t="str">
        <f aca="false">IF($B182="","",COUNTIFS(Datos_items!$B:$B,$B182,Datos_items!$AA:$AA,T$4,Datos_items!$E:$E,Analisis_grupo!$C$4))</f>
        <v/>
      </c>
      <c r="U182" s="2" t="str">
        <f aca="false">IF($B182="","",COUNTIFS(Datos_items!$B:$B,$B182,Datos_items!$AA:$AA,U$4,Datos_items!$E:$E,Analisis_grupo!$C$4))</f>
        <v/>
      </c>
      <c r="V182" s="2" t="str">
        <f aca="false">IF($B182="","",COUNTIFS(Datos_items!$B:$B,$B182,Datos_items!$AA:$AA,V$4,Datos_items!$E:$E,Analisis_grupo!$C$4))</f>
        <v/>
      </c>
      <c r="W182" s="2" t="str">
        <f aca="false">IF($B182="","",COUNTIFS(Datos_items!$B:$B,$B182,Datos_items!$AA:$AA,W$4,Datos_items!$E:$E,Analisis_grupo!$C$4))</f>
        <v/>
      </c>
      <c r="X182" s="2" t="str">
        <f aca="false">IF($B182="","",COUNTIFS(Datos_items!$B:$B,$B182,Datos_items!$AA:$AA,X$4,Datos_items!$E:$E,Analisis_grupo!$C$4))</f>
        <v/>
      </c>
      <c r="Y182" s="2" t="str">
        <f aca="false">IF($B182="","",COUNTIFS(Datos_items!$B:$B,$B182,Datos_items!$AA:$AA,Y$4,Datos_items!$E:$E,Analisis_grupo!$C$4))</f>
        <v/>
      </c>
      <c r="Z182" s="2" t="str">
        <f aca="false">IF($B182="","",COUNTIFS(Datos_items!$B:$B,$B182,Datos_items!$AA:$AA,Z$4,Datos_items!$E:$E,Analisis_grupo!$C$4))</f>
        <v/>
      </c>
      <c r="AA182" s="2" t="str">
        <f aca="false">IF($B182="","",COUNTIFS(Datos_items!$B:$B,$B182,Datos_items!$AA:$AA,AA$4,Datos_items!$E:$E,Analisis_grupo!$C$4))</f>
        <v/>
      </c>
      <c r="AB182" s="2" t="str">
        <f aca="false">IF($B182="","",COUNTIFS(Datos_items!$B:$B,$B182,Datos_items!$AA:$AA,AB$4,Datos_items!$E:$E,Analisis_grupo!$C$4))</f>
        <v/>
      </c>
      <c r="AC182" s="2" t="str">
        <f aca="false">IF($B182="","",COUNTIFS(Datos_items!$B:$B,$B182,Datos_items!$AA:$AA,AC$4,Datos_items!$E:$E,Analisis_grupo!$C$4))</f>
        <v/>
      </c>
      <c r="AD182" s="2" t="str">
        <f aca="false">IF($B182="","",COUNTIFS(Datos_items!$B:$B,$B182,Datos_items!$AA:$AA,AD$4,Datos_items!$E:$E,Analisis_grupo!$C$4))</f>
        <v/>
      </c>
      <c r="AE182" s="2" t="str">
        <f aca="false">IF($B182="","",COUNTIFS(Datos_items!$B:$B,$B182,Datos_items!$AA:$AA,AE$4,Datos_items!$E:$E,Analisis_grupo!$C$4))</f>
        <v/>
      </c>
      <c r="AF182" s="2" t="str">
        <f aca="false">IF($B182="","",COUNTIFS(Datos_items!$B:$B,$B182,Datos_items!$AA:$AA,AF$4,Datos_items!$E:$E,Analisis_grupo!$C$4))</f>
        <v/>
      </c>
      <c r="AG182" s="2" t="str">
        <f aca="false">IF($B182="","",COUNTIFS(Datos_items!$B:$B,$B182,Datos_items!$AA:$AA,AG$4,Datos_items!$E:$E,Analisis_grupo!$C$4))</f>
        <v/>
      </c>
      <c r="AH182" s="2" t="str">
        <f aca="false">IF($B182="","",COUNTIFS(Datos_items!$B:$B,$B182,Datos_items!$AA:$AA,AH$4,Datos_items!$E:$E,Analisis_grupo!$C$4))</f>
        <v/>
      </c>
      <c r="AI182" s="2" t="str">
        <f aca="false">IF($B182="","",COUNTIFS(Datos_items!$B:$B,$B182,Datos_items!$AA:$AA,AI$4,Datos_items!$E:$E,Analisis_grupo!$C$4))</f>
        <v/>
      </c>
      <c r="AJ182" s="2" t="str">
        <f aca="false">IF($B182="","",COUNTIFS(Datos_items!$B:$B,$B182,Datos_items!$AA:$AA,AJ$4,Datos_items!$E:$E,Analisis_grupo!$C$4))</f>
        <v/>
      </c>
      <c r="AK182" s="2" t="str">
        <f aca="false">IF($B182="","",COUNTIFS(Datos_items!$B:$B,$B182,Datos_items!$AA:$AA,AK$4,Datos_items!$E:$E,Analisis_grupo!$C$4))</f>
        <v/>
      </c>
      <c r="AL182" s="2" t="str">
        <f aca="false">IF($B182="","",COUNTIFS(Datos_items!$B:$B,$B182,Datos_items!$AA:$AA,AL$4,Datos_items!$E:$E,Analisis_grupo!$C$4))</f>
        <v/>
      </c>
      <c r="AM182" s="2" t="str">
        <f aca="false">IF($B182="","",IF(MAX(Y182:AL182)=0,"",INDEX($Y$4:$AL$4,MATCH(MAX(Y182:AL182),Y182:AL182,0))))</f>
        <v/>
      </c>
      <c r="AN182" s="2" t="str">
        <f aca="false">IF($B182="","",COUNTIFS(Datos_problemas!$B:$B,$B182,Datos_problemas!$F:$F,"Práctica"))</f>
        <v/>
      </c>
      <c r="AO182" s="2" t="str">
        <f aca="false">IF($B182="","",SUMIFS(Datos_problemas!$AQ:$AQ,Datos_problemas!$B:$B,$B182,Datos_problemas!$F:$F,"Práctica"))</f>
        <v/>
      </c>
      <c r="AP182" s="2" t="str">
        <f aca="false">IF($B182="","",COUNTIFS(Datos_problemas!$B:$B,$B182,Datos_problemas!$F:$F,"Práctica",Datos_problemas!$AS:$AS,"Sí"))</f>
        <v/>
      </c>
    </row>
    <row r="183" customFormat="false" ht="15" hidden="false" customHeight="false" outlineLevel="0" collapsed="false">
      <c r="A183" s="2" t="n">
        <v>179</v>
      </c>
      <c r="B183" s="2" t="str">
        <f aca="false">IFERROR(INDEX(Datos_problemas!$B:$B,MATCH($A183,Datos_problemas!$AV:$AV,0)),"")</f>
        <v/>
      </c>
      <c r="C183" s="2" t="str">
        <f aca="false">IF($B183="","",INDEX(Datos_problemas!$C:$C,MATCH($A183,Datos_problemas!$AV:$AV,0)))</f>
        <v/>
      </c>
      <c r="D183" s="2" t="str">
        <f aca="false">IF($B183="","",INDEX(Datos_problemas!$D:$D,MATCH($A183,Datos_problemas!$AV:$AV,0)))</f>
        <v/>
      </c>
      <c r="E183" s="2" t="str">
        <f aca="false">IF($B183="","",COUNTIFS(Datos_problemas!$B:$B,$B183,Datos_problemas!$F:$F,"Evaluación"))</f>
        <v/>
      </c>
      <c r="F183" s="20" t="str">
        <f aca="false">IF($B183="","",IFERROR(AVERAGEIFS(Datos_problemas!$AE:$AE,Datos_problemas!$B:$B,$B183,Datos_problemas!$F:$F,"Evaluación"),""))</f>
        <v/>
      </c>
      <c r="G183" s="20" t="str">
        <f aca="false">IF($B183="","",IFERROR(AVERAGEIFS(Datos_problemas!$AE:$AE,Datos_problemas!$B:$B,$B183,Datos_problemas!$F:$F,"Evaluación",Datos_problemas!$E:$E,"Diagnóstico"),""))</f>
        <v/>
      </c>
      <c r="H183" s="20" t="str">
        <f aca="false">IF($B183="","",IFERROR(AVERAGEIFS(Datos_problemas!$AE:$AE,Datos_problemas!$B:$B,$B183,Datos_problemas!$F:$F,"Evaluación",Datos_problemas!$E:$E,"Final"),""))</f>
        <v/>
      </c>
      <c r="I183" s="21" t="str">
        <f aca="false">IF(OR(G183="",H183=""),"",IF(G183&gt;=10,"",(H183-G183)/(10-G183)))</f>
        <v/>
      </c>
      <c r="J183" s="18" t="str">
        <f aca="false">IF($B183="","",IFERROR(SUMIFS(Datos_items!$Z:$Z,Datos_items!$B:$B,$B183,Datos_items!$O:$O,J$4,Datos_items!$E:$E,Analisis_grupo!$C$4)/COUNTIFS(Datos_items!$B:$B,$B183,Datos_items!$O:$O,J$4,Datos_items!$E:$E,Analisis_grupo!$C$4),""))</f>
        <v/>
      </c>
      <c r="K183" s="18" t="str">
        <f aca="false">IF($B183="","",IFERROR(SUMIFS(Datos_items!$Z:$Z,Datos_items!$B:$B,$B183,Datos_items!$O:$O,K$4,Datos_items!$E:$E,Analisis_grupo!$C$4)/COUNTIFS(Datos_items!$B:$B,$B183,Datos_items!$O:$O,K$4,Datos_items!$E:$E,Analisis_grupo!$C$4),""))</f>
        <v/>
      </c>
      <c r="L183" s="18" t="str">
        <f aca="false">IF($B183="","",IFERROR(SUMIFS(Datos_items!$Z:$Z,Datos_items!$B:$B,$B183,Datos_items!$O:$O,L$4,Datos_items!$E:$E,Analisis_grupo!$C$4)/COUNTIFS(Datos_items!$B:$B,$B183,Datos_items!$O:$O,L$4,Datos_items!$E:$E,Analisis_grupo!$C$4),""))</f>
        <v/>
      </c>
      <c r="M183" s="18" t="str">
        <f aca="false">IF($B183="","",IFERROR(SUMIFS(Datos_items!$Z:$Z,Datos_items!$B:$B,$B183,Datos_items!$O:$O,M$4,Datos_items!$E:$E,Analisis_grupo!$C$4)/COUNTIFS(Datos_items!$B:$B,$B183,Datos_items!$O:$O,M$4,Datos_items!$E:$E,Analisis_grupo!$C$4),""))</f>
        <v/>
      </c>
      <c r="N183" s="18" t="str">
        <f aca="false">IF($B183="","",IFERROR(SUMIFS(Datos_items!$Z:$Z,Datos_items!$B:$B,$B183,Datos_items!$O:$O,N$4,Datos_items!$E:$E,Analisis_grupo!$C$4)/COUNTIFS(Datos_items!$B:$B,$B183,Datos_items!$O:$O,N$4,Datos_items!$E:$E,Analisis_grupo!$C$4),""))</f>
        <v/>
      </c>
      <c r="O183" s="18" t="str">
        <f aca="false">IF($B183="","",IFERROR(SUMIFS(Datos_items!$Z:$Z,Datos_items!$B:$B,$B183,Datos_items!$O:$O,O$4,Datos_items!$E:$E,Analisis_grupo!$C$4)/COUNTIFS(Datos_items!$B:$B,$B183,Datos_items!$O:$O,O$4,Datos_items!$E:$E,Analisis_grupo!$C$4),""))</f>
        <v/>
      </c>
      <c r="P183" s="18" t="str">
        <f aca="false">IF($B183="","",IFERROR(SUMIFS(Datos_items!$Z:$Z,Datos_items!$B:$B,$B183,Datos_items!$O:$O,P$4,Datos_items!$E:$E,Analisis_grupo!$C$4)/COUNTIFS(Datos_items!$B:$B,$B183,Datos_items!$O:$O,P$4,Datos_items!$E:$E,Analisis_grupo!$C$4),""))</f>
        <v/>
      </c>
      <c r="Q183" s="18" t="str">
        <f aca="false">IF($B183="","",IFERROR(SUMIFS(Datos_items!$Z:$Z,Datos_items!$B:$B,$B183,Datos_items!$O:$O,Q$4,Datos_items!$E:$E,Analisis_grupo!$C$4)/COUNTIFS(Datos_items!$B:$B,$B183,Datos_items!$O:$O,Q$4,Datos_items!$E:$E,Analisis_grupo!$C$4),""))</f>
        <v/>
      </c>
      <c r="R183" s="2" t="str">
        <f aca="false">IF(COUNT(J183:Q183)=0,"",IF(MIN(J183:Q183)&gt;=Analisis_grupo!$B$7,"(ninguna)",INDEX($J$4:$Q$4,MATCH(MIN(J183:Q183),J183:Q183,0))))</f>
        <v/>
      </c>
      <c r="S183" s="2" t="str">
        <f aca="false">IF($B183="","",COUNTIF(J183:Q183,"&lt;"&amp;Analisis_grupo!$B$7))</f>
        <v/>
      </c>
      <c r="T183" s="2" t="str">
        <f aca="false">IF($B183="","",COUNTIFS(Datos_items!$B:$B,$B183,Datos_items!$AA:$AA,T$4,Datos_items!$E:$E,Analisis_grupo!$C$4))</f>
        <v/>
      </c>
      <c r="U183" s="2" t="str">
        <f aca="false">IF($B183="","",COUNTIFS(Datos_items!$B:$B,$B183,Datos_items!$AA:$AA,U$4,Datos_items!$E:$E,Analisis_grupo!$C$4))</f>
        <v/>
      </c>
      <c r="V183" s="2" t="str">
        <f aca="false">IF($B183="","",COUNTIFS(Datos_items!$B:$B,$B183,Datos_items!$AA:$AA,V$4,Datos_items!$E:$E,Analisis_grupo!$C$4))</f>
        <v/>
      </c>
      <c r="W183" s="2" t="str">
        <f aca="false">IF($B183="","",COUNTIFS(Datos_items!$B:$B,$B183,Datos_items!$AA:$AA,W$4,Datos_items!$E:$E,Analisis_grupo!$C$4))</f>
        <v/>
      </c>
      <c r="X183" s="2" t="str">
        <f aca="false">IF($B183="","",COUNTIFS(Datos_items!$B:$B,$B183,Datos_items!$AA:$AA,X$4,Datos_items!$E:$E,Analisis_grupo!$C$4))</f>
        <v/>
      </c>
      <c r="Y183" s="2" t="str">
        <f aca="false">IF($B183="","",COUNTIFS(Datos_items!$B:$B,$B183,Datos_items!$AA:$AA,Y$4,Datos_items!$E:$E,Analisis_grupo!$C$4))</f>
        <v/>
      </c>
      <c r="Z183" s="2" t="str">
        <f aca="false">IF($B183="","",COUNTIFS(Datos_items!$B:$B,$B183,Datos_items!$AA:$AA,Z$4,Datos_items!$E:$E,Analisis_grupo!$C$4))</f>
        <v/>
      </c>
      <c r="AA183" s="2" t="str">
        <f aca="false">IF($B183="","",COUNTIFS(Datos_items!$B:$B,$B183,Datos_items!$AA:$AA,AA$4,Datos_items!$E:$E,Analisis_grupo!$C$4))</f>
        <v/>
      </c>
      <c r="AB183" s="2" t="str">
        <f aca="false">IF($B183="","",COUNTIFS(Datos_items!$B:$B,$B183,Datos_items!$AA:$AA,AB$4,Datos_items!$E:$E,Analisis_grupo!$C$4))</f>
        <v/>
      </c>
      <c r="AC183" s="2" t="str">
        <f aca="false">IF($B183="","",COUNTIFS(Datos_items!$B:$B,$B183,Datos_items!$AA:$AA,AC$4,Datos_items!$E:$E,Analisis_grupo!$C$4))</f>
        <v/>
      </c>
      <c r="AD183" s="2" t="str">
        <f aca="false">IF($B183="","",COUNTIFS(Datos_items!$B:$B,$B183,Datos_items!$AA:$AA,AD$4,Datos_items!$E:$E,Analisis_grupo!$C$4))</f>
        <v/>
      </c>
      <c r="AE183" s="2" t="str">
        <f aca="false">IF($B183="","",COUNTIFS(Datos_items!$B:$B,$B183,Datos_items!$AA:$AA,AE$4,Datos_items!$E:$E,Analisis_grupo!$C$4))</f>
        <v/>
      </c>
      <c r="AF183" s="2" t="str">
        <f aca="false">IF($B183="","",COUNTIFS(Datos_items!$B:$B,$B183,Datos_items!$AA:$AA,AF$4,Datos_items!$E:$E,Analisis_grupo!$C$4))</f>
        <v/>
      </c>
      <c r="AG183" s="2" t="str">
        <f aca="false">IF($B183="","",COUNTIFS(Datos_items!$B:$B,$B183,Datos_items!$AA:$AA,AG$4,Datos_items!$E:$E,Analisis_grupo!$C$4))</f>
        <v/>
      </c>
      <c r="AH183" s="2" t="str">
        <f aca="false">IF($B183="","",COUNTIFS(Datos_items!$B:$B,$B183,Datos_items!$AA:$AA,AH$4,Datos_items!$E:$E,Analisis_grupo!$C$4))</f>
        <v/>
      </c>
      <c r="AI183" s="2" t="str">
        <f aca="false">IF($B183="","",COUNTIFS(Datos_items!$B:$B,$B183,Datos_items!$AA:$AA,AI$4,Datos_items!$E:$E,Analisis_grupo!$C$4))</f>
        <v/>
      </c>
      <c r="AJ183" s="2" t="str">
        <f aca="false">IF($B183="","",COUNTIFS(Datos_items!$B:$B,$B183,Datos_items!$AA:$AA,AJ$4,Datos_items!$E:$E,Analisis_grupo!$C$4))</f>
        <v/>
      </c>
      <c r="AK183" s="2" t="str">
        <f aca="false">IF($B183="","",COUNTIFS(Datos_items!$B:$B,$B183,Datos_items!$AA:$AA,AK$4,Datos_items!$E:$E,Analisis_grupo!$C$4))</f>
        <v/>
      </c>
      <c r="AL183" s="2" t="str">
        <f aca="false">IF($B183="","",COUNTIFS(Datos_items!$B:$B,$B183,Datos_items!$AA:$AA,AL$4,Datos_items!$E:$E,Analisis_grupo!$C$4))</f>
        <v/>
      </c>
      <c r="AM183" s="2" t="str">
        <f aca="false">IF($B183="","",IF(MAX(Y183:AL183)=0,"",INDEX($Y$4:$AL$4,MATCH(MAX(Y183:AL183),Y183:AL183,0))))</f>
        <v/>
      </c>
      <c r="AN183" s="2" t="str">
        <f aca="false">IF($B183="","",COUNTIFS(Datos_problemas!$B:$B,$B183,Datos_problemas!$F:$F,"Práctica"))</f>
        <v/>
      </c>
      <c r="AO183" s="2" t="str">
        <f aca="false">IF($B183="","",SUMIFS(Datos_problemas!$AQ:$AQ,Datos_problemas!$B:$B,$B183,Datos_problemas!$F:$F,"Práctica"))</f>
        <v/>
      </c>
      <c r="AP183" s="2" t="str">
        <f aca="false">IF($B183="","",COUNTIFS(Datos_problemas!$B:$B,$B183,Datos_problemas!$F:$F,"Práctica",Datos_problemas!$AS:$AS,"Sí"))</f>
        <v/>
      </c>
    </row>
    <row r="184" customFormat="false" ht="15" hidden="false" customHeight="false" outlineLevel="0" collapsed="false">
      <c r="A184" s="2" t="n">
        <v>180</v>
      </c>
      <c r="B184" s="2" t="str">
        <f aca="false">IFERROR(INDEX(Datos_problemas!$B:$B,MATCH($A184,Datos_problemas!$AV:$AV,0)),"")</f>
        <v/>
      </c>
      <c r="C184" s="2" t="str">
        <f aca="false">IF($B184="","",INDEX(Datos_problemas!$C:$C,MATCH($A184,Datos_problemas!$AV:$AV,0)))</f>
        <v/>
      </c>
      <c r="D184" s="2" t="str">
        <f aca="false">IF($B184="","",INDEX(Datos_problemas!$D:$D,MATCH($A184,Datos_problemas!$AV:$AV,0)))</f>
        <v/>
      </c>
      <c r="E184" s="2" t="str">
        <f aca="false">IF($B184="","",COUNTIFS(Datos_problemas!$B:$B,$B184,Datos_problemas!$F:$F,"Evaluación"))</f>
        <v/>
      </c>
      <c r="F184" s="20" t="str">
        <f aca="false">IF($B184="","",IFERROR(AVERAGEIFS(Datos_problemas!$AE:$AE,Datos_problemas!$B:$B,$B184,Datos_problemas!$F:$F,"Evaluación"),""))</f>
        <v/>
      </c>
      <c r="G184" s="20" t="str">
        <f aca="false">IF($B184="","",IFERROR(AVERAGEIFS(Datos_problemas!$AE:$AE,Datos_problemas!$B:$B,$B184,Datos_problemas!$F:$F,"Evaluación",Datos_problemas!$E:$E,"Diagnóstico"),""))</f>
        <v/>
      </c>
      <c r="H184" s="20" t="str">
        <f aca="false">IF($B184="","",IFERROR(AVERAGEIFS(Datos_problemas!$AE:$AE,Datos_problemas!$B:$B,$B184,Datos_problemas!$F:$F,"Evaluación",Datos_problemas!$E:$E,"Final"),""))</f>
        <v/>
      </c>
      <c r="I184" s="21" t="str">
        <f aca="false">IF(OR(G184="",H184=""),"",IF(G184&gt;=10,"",(H184-G184)/(10-G184)))</f>
        <v/>
      </c>
      <c r="J184" s="18" t="str">
        <f aca="false">IF($B184="","",IFERROR(SUMIFS(Datos_items!$Z:$Z,Datos_items!$B:$B,$B184,Datos_items!$O:$O,J$4,Datos_items!$E:$E,Analisis_grupo!$C$4)/COUNTIFS(Datos_items!$B:$B,$B184,Datos_items!$O:$O,J$4,Datos_items!$E:$E,Analisis_grupo!$C$4),""))</f>
        <v/>
      </c>
      <c r="K184" s="18" t="str">
        <f aca="false">IF($B184="","",IFERROR(SUMIFS(Datos_items!$Z:$Z,Datos_items!$B:$B,$B184,Datos_items!$O:$O,K$4,Datos_items!$E:$E,Analisis_grupo!$C$4)/COUNTIFS(Datos_items!$B:$B,$B184,Datos_items!$O:$O,K$4,Datos_items!$E:$E,Analisis_grupo!$C$4),""))</f>
        <v/>
      </c>
      <c r="L184" s="18" t="str">
        <f aca="false">IF($B184="","",IFERROR(SUMIFS(Datos_items!$Z:$Z,Datos_items!$B:$B,$B184,Datos_items!$O:$O,L$4,Datos_items!$E:$E,Analisis_grupo!$C$4)/COUNTIFS(Datos_items!$B:$B,$B184,Datos_items!$O:$O,L$4,Datos_items!$E:$E,Analisis_grupo!$C$4),""))</f>
        <v/>
      </c>
      <c r="M184" s="18" t="str">
        <f aca="false">IF($B184="","",IFERROR(SUMIFS(Datos_items!$Z:$Z,Datos_items!$B:$B,$B184,Datos_items!$O:$O,M$4,Datos_items!$E:$E,Analisis_grupo!$C$4)/COUNTIFS(Datos_items!$B:$B,$B184,Datos_items!$O:$O,M$4,Datos_items!$E:$E,Analisis_grupo!$C$4),""))</f>
        <v/>
      </c>
      <c r="N184" s="18" t="str">
        <f aca="false">IF($B184="","",IFERROR(SUMIFS(Datos_items!$Z:$Z,Datos_items!$B:$B,$B184,Datos_items!$O:$O,N$4,Datos_items!$E:$E,Analisis_grupo!$C$4)/COUNTIFS(Datos_items!$B:$B,$B184,Datos_items!$O:$O,N$4,Datos_items!$E:$E,Analisis_grupo!$C$4),""))</f>
        <v/>
      </c>
      <c r="O184" s="18" t="str">
        <f aca="false">IF($B184="","",IFERROR(SUMIFS(Datos_items!$Z:$Z,Datos_items!$B:$B,$B184,Datos_items!$O:$O,O$4,Datos_items!$E:$E,Analisis_grupo!$C$4)/COUNTIFS(Datos_items!$B:$B,$B184,Datos_items!$O:$O,O$4,Datos_items!$E:$E,Analisis_grupo!$C$4),""))</f>
        <v/>
      </c>
      <c r="P184" s="18" t="str">
        <f aca="false">IF($B184="","",IFERROR(SUMIFS(Datos_items!$Z:$Z,Datos_items!$B:$B,$B184,Datos_items!$O:$O,P$4,Datos_items!$E:$E,Analisis_grupo!$C$4)/COUNTIFS(Datos_items!$B:$B,$B184,Datos_items!$O:$O,P$4,Datos_items!$E:$E,Analisis_grupo!$C$4),""))</f>
        <v/>
      </c>
      <c r="Q184" s="18" t="str">
        <f aca="false">IF($B184="","",IFERROR(SUMIFS(Datos_items!$Z:$Z,Datos_items!$B:$B,$B184,Datos_items!$O:$O,Q$4,Datos_items!$E:$E,Analisis_grupo!$C$4)/COUNTIFS(Datos_items!$B:$B,$B184,Datos_items!$O:$O,Q$4,Datos_items!$E:$E,Analisis_grupo!$C$4),""))</f>
        <v/>
      </c>
      <c r="R184" s="2" t="str">
        <f aca="false">IF(COUNT(J184:Q184)=0,"",IF(MIN(J184:Q184)&gt;=Analisis_grupo!$B$7,"(ninguna)",INDEX($J$4:$Q$4,MATCH(MIN(J184:Q184),J184:Q184,0))))</f>
        <v/>
      </c>
      <c r="S184" s="2" t="str">
        <f aca="false">IF($B184="","",COUNTIF(J184:Q184,"&lt;"&amp;Analisis_grupo!$B$7))</f>
        <v/>
      </c>
      <c r="T184" s="2" t="str">
        <f aca="false">IF($B184="","",COUNTIFS(Datos_items!$B:$B,$B184,Datos_items!$AA:$AA,T$4,Datos_items!$E:$E,Analisis_grupo!$C$4))</f>
        <v/>
      </c>
      <c r="U184" s="2" t="str">
        <f aca="false">IF($B184="","",COUNTIFS(Datos_items!$B:$B,$B184,Datos_items!$AA:$AA,U$4,Datos_items!$E:$E,Analisis_grupo!$C$4))</f>
        <v/>
      </c>
      <c r="V184" s="2" t="str">
        <f aca="false">IF($B184="","",COUNTIFS(Datos_items!$B:$B,$B184,Datos_items!$AA:$AA,V$4,Datos_items!$E:$E,Analisis_grupo!$C$4))</f>
        <v/>
      </c>
      <c r="W184" s="2" t="str">
        <f aca="false">IF($B184="","",COUNTIFS(Datos_items!$B:$B,$B184,Datos_items!$AA:$AA,W$4,Datos_items!$E:$E,Analisis_grupo!$C$4))</f>
        <v/>
      </c>
      <c r="X184" s="2" t="str">
        <f aca="false">IF($B184="","",COUNTIFS(Datos_items!$B:$B,$B184,Datos_items!$AA:$AA,X$4,Datos_items!$E:$E,Analisis_grupo!$C$4))</f>
        <v/>
      </c>
      <c r="Y184" s="2" t="str">
        <f aca="false">IF($B184="","",COUNTIFS(Datos_items!$B:$B,$B184,Datos_items!$AA:$AA,Y$4,Datos_items!$E:$E,Analisis_grupo!$C$4))</f>
        <v/>
      </c>
      <c r="Z184" s="2" t="str">
        <f aca="false">IF($B184="","",COUNTIFS(Datos_items!$B:$B,$B184,Datos_items!$AA:$AA,Z$4,Datos_items!$E:$E,Analisis_grupo!$C$4))</f>
        <v/>
      </c>
      <c r="AA184" s="2" t="str">
        <f aca="false">IF($B184="","",COUNTIFS(Datos_items!$B:$B,$B184,Datos_items!$AA:$AA,AA$4,Datos_items!$E:$E,Analisis_grupo!$C$4))</f>
        <v/>
      </c>
      <c r="AB184" s="2" t="str">
        <f aca="false">IF($B184="","",COUNTIFS(Datos_items!$B:$B,$B184,Datos_items!$AA:$AA,AB$4,Datos_items!$E:$E,Analisis_grupo!$C$4))</f>
        <v/>
      </c>
      <c r="AC184" s="2" t="str">
        <f aca="false">IF($B184="","",COUNTIFS(Datos_items!$B:$B,$B184,Datos_items!$AA:$AA,AC$4,Datos_items!$E:$E,Analisis_grupo!$C$4))</f>
        <v/>
      </c>
      <c r="AD184" s="2" t="str">
        <f aca="false">IF($B184="","",COUNTIFS(Datos_items!$B:$B,$B184,Datos_items!$AA:$AA,AD$4,Datos_items!$E:$E,Analisis_grupo!$C$4))</f>
        <v/>
      </c>
      <c r="AE184" s="2" t="str">
        <f aca="false">IF($B184="","",COUNTIFS(Datos_items!$B:$B,$B184,Datos_items!$AA:$AA,AE$4,Datos_items!$E:$E,Analisis_grupo!$C$4))</f>
        <v/>
      </c>
      <c r="AF184" s="2" t="str">
        <f aca="false">IF($B184="","",COUNTIFS(Datos_items!$B:$B,$B184,Datos_items!$AA:$AA,AF$4,Datos_items!$E:$E,Analisis_grupo!$C$4))</f>
        <v/>
      </c>
      <c r="AG184" s="2" t="str">
        <f aca="false">IF($B184="","",COUNTIFS(Datos_items!$B:$B,$B184,Datos_items!$AA:$AA,AG$4,Datos_items!$E:$E,Analisis_grupo!$C$4))</f>
        <v/>
      </c>
      <c r="AH184" s="2" t="str">
        <f aca="false">IF($B184="","",COUNTIFS(Datos_items!$B:$B,$B184,Datos_items!$AA:$AA,AH$4,Datos_items!$E:$E,Analisis_grupo!$C$4))</f>
        <v/>
      </c>
      <c r="AI184" s="2" t="str">
        <f aca="false">IF($B184="","",COUNTIFS(Datos_items!$B:$B,$B184,Datos_items!$AA:$AA,AI$4,Datos_items!$E:$E,Analisis_grupo!$C$4))</f>
        <v/>
      </c>
      <c r="AJ184" s="2" t="str">
        <f aca="false">IF($B184="","",COUNTIFS(Datos_items!$B:$B,$B184,Datos_items!$AA:$AA,AJ$4,Datos_items!$E:$E,Analisis_grupo!$C$4))</f>
        <v/>
      </c>
      <c r="AK184" s="2" t="str">
        <f aca="false">IF($B184="","",COUNTIFS(Datos_items!$B:$B,$B184,Datos_items!$AA:$AA,AK$4,Datos_items!$E:$E,Analisis_grupo!$C$4))</f>
        <v/>
      </c>
      <c r="AL184" s="2" t="str">
        <f aca="false">IF($B184="","",COUNTIFS(Datos_items!$B:$B,$B184,Datos_items!$AA:$AA,AL$4,Datos_items!$E:$E,Analisis_grupo!$C$4))</f>
        <v/>
      </c>
      <c r="AM184" s="2" t="str">
        <f aca="false">IF($B184="","",IF(MAX(Y184:AL184)=0,"",INDEX($Y$4:$AL$4,MATCH(MAX(Y184:AL184),Y184:AL184,0))))</f>
        <v/>
      </c>
      <c r="AN184" s="2" t="str">
        <f aca="false">IF($B184="","",COUNTIFS(Datos_problemas!$B:$B,$B184,Datos_problemas!$F:$F,"Práctica"))</f>
        <v/>
      </c>
      <c r="AO184" s="2" t="str">
        <f aca="false">IF($B184="","",SUMIFS(Datos_problemas!$AQ:$AQ,Datos_problemas!$B:$B,$B184,Datos_problemas!$F:$F,"Práctica"))</f>
        <v/>
      </c>
      <c r="AP184" s="2" t="str">
        <f aca="false">IF($B184="","",COUNTIFS(Datos_problemas!$B:$B,$B184,Datos_problemas!$F:$F,"Práctica",Datos_problemas!$AS:$AS,"Sí"))</f>
        <v/>
      </c>
    </row>
    <row r="185" customFormat="false" ht="15" hidden="false" customHeight="false" outlineLevel="0" collapsed="false">
      <c r="A185" s="2" t="n">
        <v>181</v>
      </c>
      <c r="B185" s="2" t="str">
        <f aca="false">IFERROR(INDEX(Datos_problemas!$B:$B,MATCH($A185,Datos_problemas!$AV:$AV,0)),"")</f>
        <v/>
      </c>
      <c r="C185" s="2" t="str">
        <f aca="false">IF($B185="","",INDEX(Datos_problemas!$C:$C,MATCH($A185,Datos_problemas!$AV:$AV,0)))</f>
        <v/>
      </c>
      <c r="D185" s="2" t="str">
        <f aca="false">IF($B185="","",INDEX(Datos_problemas!$D:$D,MATCH($A185,Datos_problemas!$AV:$AV,0)))</f>
        <v/>
      </c>
      <c r="E185" s="2" t="str">
        <f aca="false">IF($B185="","",COUNTIFS(Datos_problemas!$B:$B,$B185,Datos_problemas!$F:$F,"Evaluación"))</f>
        <v/>
      </c>
      <c r="F185" s="20" t="str">
        <f aca="false">IF($B185="","",IFERROR(AVERAGEIFS(Datos_problemas!$AE:$AE,Datos_problemas!$B:$B,$B185,Datos_problemas!$F:$F,"Evaluación"),""))</f>
        <v/>
      </c>
      <c r="G185" s="20" t="str">
        <f aca="false">IF($B185="","",IFERROR(AVERAGEIFS(Datos_problemas!$AE:$AE,Datos_problemas!$B:$B,$B185,Datos_problemas!$F:$F,"Evaluación",Datos_problemas!$E:$E,"Diagnóstico"),""))</f>
        <v/>
      </c>
      <c r="H185" s="20" t="str">
        <f aca="false">IF($B185="","",IFERROR(AVERAGEIFS(Datos_problemas!$AE:$AE,Datos_problemas!$B:$B,$B185,Datos_problemas!$F:$F,"Evaluación",Datos_problemas!$E:$E,"Final"),""))</f>
        <v/>
      </c>
      <c r="I185" s="21" t="str">
        <f aca="false">IF(OR(G185="",H185=""),"",IF(G185&gt;=10,"",(H185-G185)/(10-G185)))</f>
        <v/>
      </c>
      <c r="J185" s="18" t="str">
        <f aca="false">IF($B185="","",IFERROR(SUMIFS(Datos_items!$Z:$Z,Datos_items!$B:$B,$B185,Datos_items!$O:$O,J$4,Datos_items!$E:$E,Analisis_grupo!$C$4)/COUNTIFS(Datos_items!$B:$B,$B185,Datos_items!$O:$O,J$4,Datos_items!$E:$E,Analisis_grupo!$C$4),""))</f>
        <v/>
      </c>
      <c r="K185" s="18" t="str">
        <f aca="false">IF($B185="","",IFERROR(SUMIFS(Datos_items!$Z:$Z,Datos_items!$B:$B,$B185,Datos_items!$O:$O,K$4,Datos_items!$E:$E,Analisis_grupo!$C$4)/COUNTIFS(Datos_items!$B:$B,$B185,Datos_items!$O:$O,K$4,Datos_items!$E:$E,Analisis_grupo!$C$4),""))</f>
        <v/>
      </c>
      <c r="L185" s="18" t="str">
        <f aca="false">IF($B185="","",IFERROR(SUMIFS(Datos_items!$Z:$Z,Datos_items!$B:$B,$B185,Datos_items!$O:$O,L$4,Datos_items!$E:$E,Analisis_grupo!$C$4)/COUNTIFS(Datos_items!$B:$B,$B185,Datos_items!$O:$O,L$4,Datos_items!$E:$E,Analisis_grupo!$C$4),""))</f>
        <v/>
      </c>
      <c r="M185" s="18" t="str">
        <f aca="false">IF($B185="","",IFERROR(SUMIFS(Datos_items!$Z:$Z,Datos_items!$B:$B,$B185,Datos_items!$O:$O,M$4,Datos_items!$E:$E,Analisis_grupo!$C$4)/COUNTIFS(Datos_items!$B:$B,$B185,Datos_items!$O:$O,M$4,Datos_items!$E:$E,Analisis_grupo!$C$4),""))</f>
        <v/>
      </c>
      <c r="N185" s="18" t="str">
        <f aca="false">IF($B185="","",IFERROR(SUMIFS(Datos_items!$Z:$Z,Datos_items!$B:$B,$B185,Datos_items!$O:$O,N$4,Datos_items!$E:$E,Analisis_grupo!$C$4)/COUNTIFS(Datos_items!$B:$B,$B185,Datos_items!$O:$O,N$4,Datos_items!$E:$E,Analisis_grupo!$C$4),""))</f>
        <v/>
      </c>
      <c r="O185" s="18" t="str">
        <f aca="false">IF($B185="","",IFERROR(SUMIFS(Datos_items!$Z:$Z,Datos_items!$B:$B,$B185,Datos_items!$O:$O,O$4,Datos_items!$E:$E,Analisis_grupo!$C$4)/COUNTIFS(Datos_items!$B:$B,$B185,Datos_items!$O:$O,O$4,Datos_items!$E:$E,Analisis_grupo!$C$4),""))</f>
        <v/>
      </c>
      <c r="P185" s="18" t="str">
        <f aca="false">IF($B185="","",IFERROR(SUMIFS(Datos_items!$Z:$Z,Datos_items!$B:$B,$B185,Datos_items!$O:$O,P$4,Datos_items!$E:$E,Analisis_grupo!$C$4)/COUNTIFS(Datos_items!$B:$B,$B185,Datos_items!$O:$O,P$4,Datos_items!$E:$E,Analisis_grupo!$C$4),""))</f>
        <v/>
      </c>
      <c r="Q185" s="18" t="str">
        <f aca="false">IF($B185="","",IFERROR(SUMIFS(Datos_items!$Z:$Z,Datos_items!$B:$B,$B185,Datos_items!$O:$O,Q$4,Datos_items!$E:$E,Analisis_grupo!$C$4)/COUNTIFS(Datos_items!$B:$B,$B185,Datos_items!$O:$O,Q$4,Datos_items!$E:$E,Analisis_grupo!$C$4),""))</f>
        <v/>
      </c>
      <c r="R185" s="2" t="str">
        <f aca="false">IF(COUNT(J185:Q185)=0,"",IF(MIN(J185:Q185)&gt;=Analisis_grupo!$B$7,"(ninguna)",INDEX($J$4:$Q$4,MATCH(MIN(J185:Q185),J185:Q185,0))))</f>
        <v/>
      </c>
      <c r="S185" s="2" t="str">
        <f aca="false">IF($B185="","",COUNTIF(J185:Q185,"&lt;"&amp;Analisis_grupo!$B$7))</f>
        <v/>
      </c>
      <c r="T185" s="2" t="str">
        <f aca="false">IF($B185="","",COUNTIFS(Datos_items!$B:$B,$B185,Datos_items!$AA:$AA,T$4,Datos_items!$E:$E,Analisis_grupo!$C$4))</f>
        <v/>
      </c>
      <c r="U185" s="2" t="str">
        <f aca="false">IF($B185="","",COUNTIFS(Datos_items!$B:$B,$B185,Datos_items!$AA:$AA,U$4,Datos_items!$E:$E,Analisis_grupo!$C$4))</f>
        <v/>
      </c>
      <c r="V185" s="2" t="str">
        <f aca="false">IF($B185="","",COUNTIFS(Datos_items!$B:$B,$B185,Datos_items!$AA:$AA,V$4,Datos_items!$E:$E,Analisis_grupo!$C$4))</f>
        <v/>
      </c>
      <c r="W185" s="2" t="str">
        <f aca="false">IF($B185="","",COUNTIFS(Datos_items!$B:$B,$B185,Datos_items!$AA:$AA,W$4,Datos_items!$E:$E,Analisis_grupo!$C$4))</f>
        <v/>
      </c>
      <c r="X185" s="2" t="str">
        <f aca="false">IF($B185="","",COUNTIFS(Datos_items!$B:$B,$B185,Datos_items!$AA:$AA,X$4,Datos_items!$E:$E,Analisis_grupo!$C$4))</f>
        <v/>
      </c>
      <c r="Y185" s="2" t="str">
        <f aca="false">IF($B185="","",COUNTIFS(Datos_items!$B:$B,$B185,Datos_items!$AA:$AA,Y$4,Datos_items!$E:$E,Analisis_grupo!$C$4))</f>
        <v/>
      </c>
      <c r="Z185" s="2" t="str">
        <f aca="false">IF($B185="","",COUNTIFS(Datos_items!$B:$B,$B185,Datos_items!$AA:$AA,Z$4,Datos_items!$E:$E,Analisis_grupo!$C$4))</f>
        <v/>
      </c>
      <c r="AA185" s="2" t="str">
        <f aca="false">IF($B185="","",COUNTIFS(Datos_items!$B:$B,$B185,Datos_items!$AA:$AA,AA$4,Datos_items!$E:$E,Analisis_grupo!$C$4))</f>
        <v/>
      </c>
      <c r="AB185" s="2" t="str">
        <f aca="false">IF($B185="","",COUNTIFS(Datos_items!$B:$B,$B185,Datos_items!$AA:$AA,AB$4,Datos_items!$E:$E,Analisis_grupo!$C$4))</f>
        <v/>
      </c>
      <c r="AC185" s="2" t="str">
        <f aca="false">IF($B185="","",COUNTIFS(Datos_items!$B:$B,$B185,Datos_items!$AA:$AA,AC$4,Datos_items!$E:$E,Analisis_grupo!$C$4))</f>
        <v/>
      </c>
      <c r="AD185" s="2" t="str">
        <f aca="false">IF($B185="","",COUNTIFS(Datos_items!$B:$B,$B185,Datos_items!$AA:$AA,AD$4,Datos_items!$E:$E,Analisis_grupo!$C$4))</f>
        <v/>
      </c>
      <c r="AE185" s="2" t="str">
        <f aca="false">IF($B185="","",COUNTIFS(Datos_items!$B:$B,$B185,Datos_items!$AA:$AA,AE$4,Datos_items!$E:$E,Analisis_grupo!$C$4))</f>
        <v/>
      </c>
      <c r="AF185" s="2" t="str">
        <f aca="false">IF($B185="","",COUNTIFS(Datos_items!$B:$B,$B185,Datos_items!$AA:$AA,AF$4,Datos_items!$E:$E,Analisis_grupo!$C$4))</f>
        <v/>
      </c>
      <c r="AG185" s="2" t="str">
        <f aca="false">IF($B185="","",COUNTIFS(Datos_items!$B:$B,$B185,Datos_items!$AA:$AA,AG$4,Datos_items!$E:$E,Analisis_grupo!$C$4))</f>
        <v/>
      </c>
      <c r="AH185" s="2" t="str">
        <f aca="false">IF($B185="","",COUNTIFS(Datos_items!$B:$B,$B185,Datos_items!$AA:$AA,AH$4,Datos_items!$E:$E,Analisis_grupo!$C$4))</f>
        <v/>
      </c>
      <c r="AI185" s="2" t="str">
        <f aca="false">IF($B185="","",COUNTIFS(Datos_items!$B:$B,$B185,Datos_items!$AA:$AA,AI$4,Datos_items!$E:$E,Analisis_grupo!$C$4))</f>
        <v/>
      </c>
      <c r="AJ185" s="2" t="str">
        <f aca="false">IF($B185="","",COUNTIFS(Datos_items!$B:$B,$B185,Datos_items!$AA:$AA,AJ$4,Datos_items!$E:$E,Analisis_grupo!$C$4))</f>
        <v/>
      </c>
      <c r="AK185" s="2" t="str">
        <f aca="false">IF($B185="","",COUNTIFS(Datos_items!$B:$B,$B185,Datos_items!$AA:$AA,AK$4,Datos_items!$E:$E,Analisis_grupo!$C$4))</f>
        <v/>
      </c>
      <c r="AL185" s="2" t="str">
        <f aca="false">IF($B185="","",COUNTIFS(Datos_items!$B:$B,$B185,Datos_items!$AA:$AA,AL$4,Datos_items!$E:$E,Analisis_grupo!$C$4))</f>
        <v/>
      </c>
      <c r="AM185" s="2" t="str">
        <f aca="false">IF($B185="","",IF(MAX(Y185:AL185)=0,"",INDEX($Y$4:$AL$4,MATCH(MAX(Y185:AL185),Y185:AL185,0))))</f>
        <v/>
      </c>
      <c r="AN185" s="2" t="str">
        <f aca="false">IF($B185="","",COUNTIFS(Datos_problemas!$B:$B,$B185,Datos_problemas!$F:$F,"Práctica"))</f>
        <v/>
      </c>
      <c r="AO185" s="2" t="str">
        <f aca="false">IF($B185="","",SUMIFS(Datos_problemas!$AQ:$AQ,Datos_problemas!$B:$B,$B185,Datos_problemas!$F:$F,"Práctica"))</f>
        <v/>
      </c>
      <c r="AP185" s="2" t="str">
        <f aca="false">IF($B185="","",COUNTIFS(Datos_problemas!$B:$B,$B185,Datos_problemas!$F:$F,"Práctica",Datos_problemas!$AS:$AS,"Sí"))</f>
        <v/>
      </c>
    </row>
    <row r="186" customFormat="false" ht="15" hidden="false" customHeight="false" outlineLevel="0" collapsed="false">
      <c r="A186" s="2" t="n">
        <v>182</v>
      </c>
      <c r="B186" s="2" t="str">
        <f aca="false">IFERROR(INDEX(Datos_problemas!$B:$B,MATCH($A186,Datos_problemas!$AV:$AV,0)),"")</f>
        <v/>
      </c>
      <c r="C186" s="2" t="str">
        <f aca="false">IF($B186="","",INDEX(Datos_problemas!$C:$C,MATCH($A186,Datos_problemas!$AV:$AV,0)))</f>
        <v/>
      </c>
      <c r="D186" s="2" t="str">
        <f aca="false">IF($B186="","",INDEX(Datos_problemas!$D:$D,MATCH($A186,Datos_problemas!$AV:$AV,0)))</f>
        <v/>
      </c>
      <c r="E186" s="2" t="str">
        <f aca="false">IF($B186="","",COUNTIFS(Datos_problemas!$B:$B,$B186,Datos_problemas!$F:$F,"Evaluación"))</f>
        <v/>
      </c>
      <c r="F186" s="20" t="str">
        <f aca="false">IF($B186="","",IFERROR(AVERAGEIFS(Datos_problemas!$AE:$AE,Datos_problemas!$B:$B,$B186,Datos_problemas!$F:$F,"Evaluación"),""))</f>
        <v/>
      </c>
      <c r="G186" s="20" t="str">
        <f aca="false">IF($B186="","",IFERROR(AVERAGEIFS(Datos_problemas!$AE:$AE,Datos_problemas!$B:$B,$B186,Datos_problemas!$F:$F,"Evaluación",Datos_problemas!$E:$E,"Diagnóstico"),""))</f>
        <v/>
      </c>
      <c r="H186" s="20" t="str">
        <f aca="false">IF($B186="","",IFERROR(AVERAGEIFS(Datos_problemas!$AE:$AE,Datos_problemas!$B:$B,$B186,Datos_problemas!$F:$F,"Evaluación",Datos_problemas!$E:$E,"Final"),""))</f>
        <v/>
      </c>
      <c r="I186" s="21" t="str">
        <f aca="false">IF(OR(G186="",H186=""),"",IF(G186&gt;=10,"",(H186-G186)/(10-G186)))</f>
        <v/>
      </c>
      <c r="J186" s="18" t="str">
        <f aca="false">IF($B186="","",IFERROR(SUMIFS(Datos_items!$Z:$Z,Datos_items!$B:$B,$B186,Datos_items!$O:$O,J$4,Datos_items!$E:$E,Analisis_grupo!$C$4)/COUNTIFS(Datos_items!$B:$B,$B186,Datos_items!$O:$O,J$4,Datos_items!$E:$E,Analisis_grupo!$C$4),""))</f>
        <v/>
      </c>
      <c r="K186" s="18" t="str">
        <f aca="false">IF($B186="","",IFERROR(SUMIFS(Datos_items!$Z:$Z,Datos_items!$B:$B,$B186,Datos_items!$O:$O,K$4,Datos_items!$E:$E,Analisis_grupo!$C$4)/COUNTIFS(Datos_items!$B:$B,$B186,Datos_items!$O:$O,K$4,Datos_items!$E:$E,Analisis_grupo!$C$4),""))</f>
        <v/>
      </c>
      <c r="L186" s="18" t="str">
        <f aca="false">IF($B186="","",IFERROR(SUMIFS(Datos_items!$Z:$Z,Datos_items!$B:$B,$B186,Datos_items!$O:$O,L$4,Datos_items!$E:$E,Analisis_grupo!$C$4)/COUNTIFS(Datos_items!$B:$B,$B186,Datos_items!$O:$O,L$4,Datos_items!$E:$E,Analisis_grupo!$C$4),""))</f>
        <v/>
      </c>
      <c r="M186" s="18" t="str">
        <f aca="false">IF($B186="","",IFERROR(SUMIFS(Datos_items!$Z:$Z,Datos_items!$B:$B,$B186,Datos_items!$O:$O,M$4,Datos_items!$E:$E,Analisis_grupo!$C$4)/COUNTIFS(Datos_items!$B:$B,$B186,Datos_items!$O:$O,M$4,Datos_items!$E:$E,Analisis_grupo!$C$4),""))</f>
        <v/>
      </c>
      <c r="N186" s="18" t="str">
        <f aca="false">IF($B186="","",IFERROR(SUMIFS(Datos_items!$Z:$Z,Datos_items!$B:$B,$B186,Datos_items!$O:$O,N$4,Datos_items!$E:$E,Analisis_grupo!$C$4)/COUNTIFS(Datos_items!$B:$B,$B186,Datos_items!$O:$O,N$4,Datos_items!$E:$E,Analisis_grupo!$C$4),""))</f>
        <v/>
      </c>
      <c r="O186" s="18" t="str">
        <f aca="false">IF($B186="","",IFERROR(SUMIFS(Datos_items!$Z:$Z,Datos_items!$B:$B,$B186,Datos_items!$O:$O,O$4,Datos_items!$E:$E,Analisis_grupo!$C$4)/COUNTIFS(Datos_items!$B:$B,$B186,Datos_items!$O:$O,O$4,Datos_items!$E:$E,Analisis_grupo!$C$4),""))</f>
        <v/>
      </c>
      <c r="P186" s="18" t="str">
        <f aca="false">IF($B186="","",IFERROR(SUMIFS(Datos_items!$Z:$Z,Datos_items!$B:$B,$B186,Datos_items!$O:$O,P$4,Datos_items!$E:$E,Analisis_grupo!$C$4)/COUNTIFS(Datos_items!$B:$B,$B186,Datos_items!$O:$O,P$4,Datos_items!$E:$E,Analisis_grupo!$C$4),""))</f>
        <v/>
      </c>
      <c r="Q186" s="18" t="str">
        <f aca="false">IF($B186="","",IFERROR(SUMIFS(Datos_items!$Z:$Z,Datos_items!$B:$B,$B186,Datos_items!$O:$O,Q$4,Datos_items!$E:$E,Analisis_grupo!$C$4)/COUNTIFS(Datos_items!$B:$B,$B186,Datos_items!$O:$O,Q$4,Datos_items!$E:$E,Analisis_grupo!$C$4),""))</f>
        <v/>
      </c>
      <c r="R186" s="2" t="str">
        <f aca="false">IF(COUNT(J186:Q186)=0,"",IF(MIN(J186:Q186)&gt;=Analisis_grupo!$B$7,"(ninguna)",INDEX($J$4:$Q$4,MATCH(MIN(J186:Q186),J186:Q186,0))))</f>
        <v/>
      </c>
      <c r="S186" s="2" t="str">
        <f aca="false">IF($B186="","",COUNTIF(J186:Q186,"&lt;"&amp;Analisis_grupo!$B$7))</f>
        <v/>
      </c>
      <c r="T186" s="2" t="str">
        <f aca="false">IF($B186="","",COUNTIFS(Datos_items!$B:$B,$B186,Datos_items!$AA:$AA,T$4,Datos_items!$E:$E,Analisis_grupo!$C$4))</f>
        <v/>
      </c>
      <c r="U186" s="2" t="str">
        <f aca="false">IF($B186="","",COUNTIFS(Datos_items!$B:$B,$B186,Datos_items!$AA:$AA,U$4,Datos_items!$E:$E,Analisis_grupo!$C$4))</f>
        <v/>
      </c>
      <c r="V186" s="2" t="str">
        <f aca="false">IF($B186="","",COUNTIFS(Datos_items!$B:$B,$B186,Datos_items!$AA:$AA,V$4,Datos_items!$E:$E,Analisis_grupo!$C$4))</f>
        <v/>
      </c>
      <c r="W186" s="2" t="str">
        <f aca="false">IF($B186="","",COUNTIFS(Datos_items!$B:$B,$B186,Datos_items!$AA:$AA,W$4,Datos_items!$E:$E,Analisis_grupo!$C$4))</f>
        <v/>
      </c>
      <c r="X186" s="2" t="str">
        <f aca="false">IF($B186="","",COUNTIFS(Datos_items!$B:$B,$B186,Datos_items!$AA:$AA,X$4,Datos_items!$E:$E,Analisis_grupo!$C$4))</f>
        <v/>
      </c>
      <c r="Y186" s="2" t="str">
        <f aca="false">IF($B186="","",COUNTIFS(Datos_items!$B:$B,$B186,Datos_items!$AA:$AA,Y$4,Datos_items!$E:$E,Analisis_grupo!$C$4))</f>
        <v/>
      </c>
      <c r="Z186" s="2" t="str">
        <f aca="false">IF($B186="","",COUNTIFS(Datos_items!$B:$B,$B186,Datos_items!$AA:$AA,Z$4,Datos_items!$E:$E,Analisis_grupo!$C$4))</f>
        <v/>
      </c>
      <c r="AA186" s="2" t="str">
        <f aca="false">IF($B186="","",COUNTIFS(Datos_items!$B:$B,$B186,Datos_items!$AA:$AA,AA$4,Datos_items!$E:$E,Analisis_grupo!$C$4))</f>
        <v/>
      </c>
      <c r="AB186" s="2" t="str">
        <f aca="false">IF($B186="","",COUNTIFS(Datos_items!$B:$B,$B186,Datos_items!$AA:$AA,AB$4,Datos_items!$E:$E,Analisis_grupo!$C$4))</f>
        <v/>
      </c>
      <c r="AC186" s="2" t="str">
        <f aca="false">IF($B186="","",COUNTIFS(Datos_items!$B:$B,$B186,Datos_items!$AA:$AA,AC$4,Datos_items!$E:$E,Analisis_grupo!$C$4))</f>
        <v/>
      </c>
      <c r="AD186" s="2" t="str">
        <f aca="false">IF($B186="","",COUNTIFS(Datos_items!$B:$B,$B186,Datos_items!$AA:$AA,AD$4,Datos_items!$E:$E,Analisis_grupo!$C$4))</f>
        <v/>
      </c>
      <c r="AE186" s="2" t="str">
        <f aca="false">IF($B186="","",COUNTIFS(Datos_items!$B:$B,$B186,Datos_items!$AA:$AA,AE$4,Datos_items!$E:$E,Analisis_grupo!$C$4))</f>
        <v/>
      </c>
      <c r="AF186" s="2" t="str">
        <f aca="false">IF($B186="","",COUNTIFS(Datos_items!$B:$B,$B186,Datos_items!$AA:$AA,AF$4,Datos_items!$E:$E,Analisis_grupo!$C$4))</f>
        <v/>
      </c>
      <c r="AG186" s="2" t="str">
        <f aca="false">IF($B186="","",COUNTIFS(Datos_items!$B:$B,$B186,Datos_items!$AA:$AA,AG$4,Datos_items!$E:$E,Analisis_grupo!$C$4))</f>
        <v/>
      </c>
      <c r="AH186" s="2" t="str">
        <f aca="false">IF($B186="","",COUNTIFS(Datos_items!$B:$B,$B186,Datos_items!$AA:$AA,AH$4,Datos_items!$E:$E,Analisis_grupo!$C$4))</f>
        <v/>
      </c>
      <c r="AI186" s="2" t="str">
        <f aca="false">IF($B186="","",COUNTIFS(Datos_items!$B:$B,$B186,Datos_items!$AA:$AA,AI$4,Datos_items!$E:$E,Analisis_grupo!$C$4))</f>
        <v/>
      </c>
      <c r="AJ186" s="2" t="str">
        <f aca="false">IF($B186="","",COUNTIFS(Datos_items!$B:$B,$B186,Datos_items!$AA:$AA,AJ$4,Datos_items!$E:$E,Analisis_grupo!$C$4))</f>
        <v/>
      </c>
      <c r="AK186" s="2" t="str">
        <f aca="false">IF($B186="","",COUNTIFS(Datos_items!$B:$B,$B186,Datos_items!$AA:$AA,AK$4,Datos_items!$E:$E,Analisis_grupo!$C$4))</f>
        <v/>
      </c>
      <c r="AL186" s="2" t="str">
        <f aca="false">IF($B186="","",COUNTIFS(Datos_items!$B:$B,$B186,Datos_items!$AA:$AA,AL$4,Datos_items!$E:$E,Analisis_grupo!$C$4))</f>
        <v/>
      </c>
      <c r="AM186" s="2" t="str">
        <f aca="false">IF($B186="","",IF(MAX(Y186:AL186)=0,"",INDEX($Y$4:$AL$4,MATCH(MAX(Y186:AL186),Y186:AL186,0))))</f>
        <v/>
      </c>
      <c r="AN186" s="2" t="str">
        <f aca="false">IF($B186="","",COUNTIFS(Datos_problemas!$B:$B,$B186,Datos_problemas!$F:$F,"Práctica"))</f>
        <v/>
      </c>
      <c r="AO186" s="2" t="str">
        <f aca="false">IF($B186="","",SUMIFS(Datos_problemas!$AQ:$AQ,Datos_problemas!$B:$B,$B186,Datos_problemas!$F:$F,"Práctica"))</f>
        <v/>
      </c>
      <c r="AP186" s="2" t="str">
        <f aca="false">IF($B186="","",COUNTIFS(Datos_problemas!$B:$B,$B186,Datos_problemas!$F:$F,"Práctica",Datos_problemas!$AS:$AS,"Sí"))</f>
        <v/>
      </c>
    </row>
    <row r="187" customFormat="false" ht="15" hidden="false" customHeight="false" outlineLevel="0" collapsed="false">
      <c r="A187" s="2" t="n">
        <v>183</v>
      </c>
      <c r="B187" s="2" t="str">
        <f aca="false">IFERROR(INDEX(Datos_problemas!$B:$B,MATCH($A187,Datos_problemas!$AV:$AV,0)),"")</f>
        <v/>
      </c>
      <c r="C187" s="2" t="str">
        <f aca="false">IF($B187="","",INDEX(Datos_problemas!$C:$C,MATCH($A187,Datos_problemas!$AV:$AV,0)))</f>
        <v/>
      </c>
      <c r="D187" s="2" t="str">
        <f aca="false">IF($B187="","",INDEX(Datos_problemas!$D:$D,MATCH($A187,Datos_problemas!$AV:$AV,0)))</f>
        <v/>
      </c>
      <c r="E187" s="2" t="str">
        <f aca="false">IF($B187="","",COUNTIFS(Datos_problemas!$B:$B,$B187,Datos_problemas!$F:$F,"Evaluación"))</f>
        <v/>
      </c>
      <c r="F187" s="20" t="str">
        <f aca="false">IF($B187="","",IFERROR(AVERAGEIFS(Datos_problemas!$AE:$AE,Datos_problemas!$B:$B,$B187,Datos_problemas!$F:$F,"Evaluación"),""))</f>
        <v/>
      </c>
      <c r="G187" s="20" t="str">
        <f aca="false">IF($B187="","",IFERROR(AVERAGEIFS(Datos_problemas!$AE:$AE,Datos_problemas!$B:$B,$B187,Datos_problemas!$F:$F,"Evaluación",Datos_problemas!$E:$E,"Diagnóstico"),""))</f>
        <v/>
      </c>
      <c r="H187" s="20" t="str">
        <f aca="false">IF($B187="","",IFERROR(AVERAGEIFS(Datos_problemas!$AE:$AE,Datos_problemas!$B:$B,$B187,Datos_problemas!$F:$F,"Evaluación",Datos_problemas!$E:$E,"Final"),""))</f>
        <v/>
      </c>
      <c r="I187" s="21" t="str">
        <f aca="false">IF(OR(G187="",H187=""),"",IF(G187&gt;=10,"",(H187-G187)/(10-G187)))</f>
        <v/>
      </c>
      <c r="J187" s="18" t="str">
        <f aca="false">IF($B187="","",IFERROR(SUMIFS(Datos_items!$Z:$Z,Datos_items!$B:$B,$B187,Datos_items!$O:$O,J$4,Datos_items!$E:$E,Analisis_grupo!$C$4)/COUNTIFS(Datos_items!$B:$B,$B187,Datos_items!$O:$O,J$4,Datos_items!$E:$E,Analisis_grupo!$C$4),""))</f>
        <v/>
      </c>
      <c r="K187" s="18" t="str">
        <f aca="false">IF($B187="","",IFERROR(SUMIFS(Datos_items!$Z:$Z,Datos_items!$B:$B,$B187,Datos_items!$O:$O,K$4,Datos_items!$E:$E,Analisis_grupo!$C$4)/COUNTIFS(Datos_items!$B:$B,$B187,Datos_items!$O:$O,K$4,Datos_items!$E:$E,Analisis_grupo!$C$4),""))</f>
        <v/>
      </c>
      <c r="L187" s="18" t="str">
        <f aca="false">IF($B187="","",IFERROR(SUMIFS(Datos_items!$Z:$Z,Datos_items!$B:$B,$B187,Datos_items!$O:$O,L$4,Datos_items!$E:$E,Analisis_grupo!$C$4)/COUNTIFS(Datos_items!$B:$B,$B187,Datos_items!$O:$O,L$4,Datos_items!$E:$E,Analisis_grupo!$C$4),""))</f>
        <v/>
      </c>
      <c r="M187" s="18" t="str">
        <f aca="false">IF($B187="","",IFERROR(SUMIFS(Datos_items!$Z:$Z,Datos_items!$B:$B,$B187,Datos_items!$O:$O,M$4,Datos_items!$E:$E,Analisis_grupo!$C$4)/COUNTIFS(Datos_items!$B:$B,$B187,Datos_items!$O:$O,M$4,Datos_items!$E:$E,Analisis_grupo!$C$4),""))</f>
        <v/>
      </c>
      <c r="N187" s="18" t="str">
        <f aca="false">IF($B187="","",IFERROR(SUMIFS(Datos_items!$Z:$Z,Datos_items!$B:$B,$B187,Datos_items!$O:$O,N$4,Datos_items!$E:$E,Analisis_grupo!$C$4)/COUNTIFS(Datos_items!$B:$B,$B187,Datos_items!$O:$O,N$4,Datos_items!$E:$E,Analisis_grupo!$C$4),""))</f>
        <v/>
      </c>
      <c r="O187" s="18" t="str">
        <f aca="false">IF($B187="","",IFERROR(SUMIFS(Datos_items!$Z:$Z,Datos_items!$B:$B,$B187,Datos_items!$O:$O,O$4,Datos_items!$E:$E,Analisis_grupo!$C$4)/COUNTIFS(Datos_items!$B:$B,$B187,Datos_items!$O:$O,O$4,Datos_items!$E:$E,Analisis_grupo!$C$4),""))</f>
        <v/>
      </c>
      <c r="P187" s="18" t="str">
        <f aca="false">IF($B187="","",IFERROR(SUMIFS(Datos_items!$Z:$Z,Datos_items!$B:$B,$B187,Datos_items!$O:$O,P$4,Datos_items!$E:$E,Analisis_grupo!$C$4)/COUNTIFS(Datos_items!$B:$B,$B187,Datos_items!$O:$O,P$4,Datos_items!$E:$E,Analisis_grupo!$C$4),""))</f>
        <v/>
      </c>
      <c r="Q187" s="18" t="str">
        <f aca="false">IF($B187="","",IFERROR(SUMIFS(Datos_items!$Z:$Z,Datos_items!$B:$B,$B187,Datos_items!$O:$O,Q$4,Datos_items!$E:$E,Analisis_grupo!$C$4)/COUNTIFS(Datos_items!$B:$B,$B187,Datos_items!$O:$O,Q$4,Datos_items!$E:$E,Analisis_grupo!$C$4),""))</f>
        <v/>
      </c>
      <c r="R187" s="2" t="str">
        <f aca="false">IF(COUNT(J187:Q187)=0,"",IF(MIN(J187:Q187)&gt;=Analisis_grupo!$B$7,"(ninguna)",INDEX($J$4:$Q$4,MATCH(MIN(J187:Q187),J187:Q187,0))))</f>
        <v/>
      </c>
      <c r="S187" s="2" t="str">
        <f aca="false">IF($B187="","",COUNTIF(J187:Q187,"&lt;"&amp;Analisis_grupo!$B$7))</f>
        <v/>
      </c>
      <c r="T187" s="2" t="str">
        <f aca="false">IF($B187="","",COUNTIFS(Datos_items!$B:$B,$B187,Datos_items!$AA:$AA,T$4,Datos_items!$E:$E,Analisis_grupo!$C$4))</f>
        <v/>
      </c>
      <c r="U187" s="2" t="str">
        <f aca="false">IF($B187="","",COUNTIFS(Datos_items!$B:$B,$B187,Datos_items!$AA:$AA,U$4,Datos_items!$E:$E,Analisis_grupo!$C$4))</f>
        <v/>
      </c>
      <c r="V187" s="2" t="str">
        <f aca="false">IF($B187="","",COUNTIFS(Datos_items!$B:$B,$B187,Datos_items!$AA:$AA,V$4,Datos_items!$E:$E,Analisis_grupo!$C$4))</f>
        <v/>
      </c>
      <c r="W187" s="2" t="str">
        <f aca="false">IF($B187="","",COUNTIFS(Datos_items!$B:$B,$B187,Datos_items!$AA:$AA,W$4,Datos_items!$E:$E,Analisis_grupo!$C$4))</f>
        <v/>
      </c>
      <c r="X187" s="2" t="str">
        <f aca="false">IF($B187="","",COUNTIFS(Datos_items!$B:$B,$B187,Datos_items!$AA:$AA,X$4,Datos_items!$E:$E,Analisis_grupo!$C$4))</f>
        <v/>
      </c>
      <c r="Y187" s="2" t="str">
        <f aca="false">IF($B187="","",COUNTIFS(Datos_items!$B:$B,$B187,Datos_items!$AA:$AA,Y$4,Datos_items!$E:$E,Analisis_grupo!$C$4))</f>
        <v/>
      </c>
      <c r="Z187" s="2" t="str">
        <f aca="false">IF($B187="","",COUNTIFS(Datos_items!$B:$B,$B187,Datos_items!$AA:$AA,Z$4,Datos_items!$E:$E,Analisis_grupo!$C$4))</f>
        <v/>
      </c>
      <c r="AA187" s="2" t="str">
        <f aca="false">IF($B187="","",COUNTIFS(Datos_items!$B:$B,$B187,Datos_items!$AA:$AA,AA$4,Datos_items!$E:$E,Analisis_grupo!$C$4))</f>
        <v/>
      </c>
      <c r="AB187" s="2" t="str">
        <f aca="false">IF($B187="","",COUNTIFS(Datos_items!$B:$B,$B187,Datos_items!$AA:$AA,AB$4,Datos_items!$E:$E,Analisis_grupo!$C$4))</f>
        <v/>
      </c>
      <c r="AC187" s="2" t="str">
        <f aca="false">IF($B187="","",COUNTIFS(Datos_items!$B:$B,$B187,Datos_items!$AA:$AA,AC$4,Datos_items!$E:$E,Analisis_grupo!$C$4))</f>
        <v/>
      </c>
      <c r="AD187" s="2" t="str">
        <f aca="false">IF($B187="","",COUNTIFS(Datos_items!$B:$B,$B187,Datos_items!$AA:$AA,AD$4,Datos_items!$E:$E,Analisis_grupo!$C$4))</f>
        <v/>
      </c>
      <c r="AE187" s="2" t="str">
        <f aca="false">IF($B187="","",COUNTIFS(Datos_items!$B:$B,$B187,Datos_items!$AA:$AA,AE$4,Datos_items!$E:$E,Analisis_grupo!$C$4))</f>
        <v/>
      </c>
      <c r="AF187" s="2" t="str">
        <f aca="false">IF($B187="","",COUNTIFS(Datos_items!$B:$B,$B187,Datos_items!$AA:$AA,AF$4,Datos_items!$E:$E,Analisis_grupo!$C$4))</f>
        <v/>
      </c>
      <c r="AG187" s="2" t="str">
        <f aca="false">IF($B187="","",COUNTIFS(Datos_items!$B:$B,$B187,Datos_items!$AA:$AA,AG$4,Datos_items!$E:$E,Analisis_grupo!$C$4))</f>
        <v/>
      </c>
      <c r="AH187" s="2" t="str">
        <f aca="false">IF($B187="","",COUNTIFS(Datos_items!$B:$B,$B187,Datos_items!$AA:$AA,AH$4,Datos_items!$E:$E,Analisis_grupo!$C$4))</f>
        <v/>
      </c>
      <c r="AI187" s="2" t="str">
        <f aca="false">IF($B187="","",COUNTIFS(Datos_items!$B:$B,$B187,Datos_items!$AA:$AA,AI$4,Datos_items!$E:$E,Analisis_grupo!$C$4))</f>
        <v/>
      </c>
      <c r="AJ187" s="2" t="str">
        <f aca="false">IF($B187="","",COUNTIFS(Datos_items!$B:$B,$B187,Datos_items!$AA:$AA,AJ$4,Datos_items!$E:$E,Analisis_grupo!$C$4))</f>
        <v/>
      </c>
      <c r="AK187" s="2" t="str">
        <f aca="false">IF($B187="","",COUNTIFS(Datos_items!$B:$B,$B187,Datos_items!$AA:$AA,AK$4,Datos_items!$E:$E,Analisis_grupo!$C$4))</f>
        <v/>
      </c>
      <c r="AL187" s="2" t="str">
        <f aca="false">IF($B187="","",COUNTIFS(Datos_items!$B:$B,$B187,Datos_items!$AA:$AA,AL$4,Datos_items!$E:$E,Analisis_grupo!$C$4))</f>
        <v/>
      </c>
      <c r="AM187" s="2" t="str">
        <f aca="false">IF($B187="","",IF(MAX(Y187:AL187)=0,"",INDEX($Y$4:$AL$4,MATCH(MAX(Y187:AL187),Y187:AL187,0))))</f>
        <v/>
      </c>
      <c r="AN187" s="2" t="str">
        <f aca="false">IF($B187="","",COUNTIFS(Datos_problemas!$B:$B,$B187,Datos_problemas!$F:$F,"Práctica"))</f>
        <v/>
      </c>
      <c r="AO187" s="2" t="str">
        <f aca="false">IF($B187="","",SUMIFS(Datos_problemas!$AQ:$AQ,Datos_problemas!$B:$B,$B187,Datos_problemas!$F:$F,"Práctica"))</f>
        <v/>
      </c>
      <c r="AP187" s="2" t="str">
        <f aca="false">IF($B187="","",COUNTIFS(Datos_problemas!$B:$B,$B187,Datos_problemas!$F:$F,"Práctica",Datos_problemas!$AS:$AS,"Sí"))</f>
        <v/>
      </c>
    </row>
    <row r="188" customFormat="false" ht="15" hidden="false" customHeight="false" outlineLevel="0" collapsed="false">
      <c r="A188" s="2" t="n">
        <v>184</v>
      </c>
      <c r="B188" s="2" t="str">
        <f aca="false">IFERROR(INDEX(Datos_problemas!$B:$B,MATCH($A188,Datos_problemas!$AV:$AV,0)),"")</f>
        <v/>
      </c>
      <c r="C188" s="2" t="str">
        <f aca="false">IF($B188="","",INDEX(Datos_problemas!$C:$C,MATCH($A188,Datos_problemas!$AV:$AV,0)))</f>
        <v/>
      </c>
      <c r="D188" s="2" t="str">
        <f aca="false">IF($B188="","",INDEX(Datos_problemas!$D:$D,MATCH($A188,Datos_problemas!$AV:$AV,0)))</f>
        <v/>
      </c>
      <c r="E188" s="2" t="str">
        <f aca="false">IF($B188="","",COUNTIFS(Datos_problemas!$B:$B,$B188,Datos_problemas!$F:$F,"Evaluación"))</f>
        <v/>
      </c>
      <c r="F188" s="20" t="str">
        <f aca="false">IF($B188="","",IFERROR(AVERAGEIFS(Datos_problemas!$AE:$AE,Datos_problemas!$B:$B,$B188,Datos_problemas!$F:$F,"Evaluación"),""))</f>
        <v/>
      </c>
      <c r="G188" s="20" t="str">
        <f aca="false">IF($B188="","",IFERROR(AVERAGEIFS(Datos_problemas!$AE:$AE,Datos_problemas!$B:$B,$B188,Datos_problemas!$F:$F,"Evaluación",Datos_problemas!$E:$E,"Diagnóstico"),""))</f>
        <v/>
      </c>
      <c r="H188" s="20" t="str">
        <f aca="false">IF($B188="","",IFERROR(AVERAGEIFS(Datos_problemas!$AE:$AE,Datos_problemas!$B:$B,$B188,Datos_problemas!$F:$F,"Evaluación",Datos_problemas!$E:$E,"Final"),""))</f>
        <v/>
      </c>
      <c r="I188" s="21" t="str">
        <f aca="false">IF(OR(G188="",H188=""),"",IF(G188&gt;=10,"",(H188-G188)/(10-G188)))</f>
        <v/>
      </c>
      <c r="J188" s="18" t="str">
        <f aca="false">IF($B188="","",IFERROR(SUMIFS(Datos_items!$Z:$Z,Datos_items!$B:$B,$B188,Datos_items!$O:$O,J$4,Datos_items!$E:$E,Analisis_grupo!$C$4)/COUNTIFS(Datos_items!$B:$B,$B188,Datos_items!$O:$O,J$4,Datos_items!$E:$E,Analisis_grupo!$C$4),""))</f>
        <v/>
      </c>
      <c r="K188" s="18" t="str">
        <f aca="false">IF($B188="","",IFERROR(SUMIFS(Datos_items!$Z:$Z,Datos_items!$B:$B,$B188,Datos_items!$O:$O,K$4,Datos_items!$E:$E,Analisis_grupo!$C$4)/COUNTIFS(Datos_items!$B:$B,$B188,Datos_items!$O:$O,K$4,Datos_items!$E:$E,Analisis_grupo!$C$4),""))</f>
        <v/>
      </c>
      <c r="L188" s="18" t="str">
        <f aca="false">IF($B188="","",IFERROR(SUMIFS(Datos_items!$Z:$Z,Datos_items!$B:$B,$B188,Datos_items!$O:$O,L$4,Datos_items!$E:$E,Analisis_grupo!$C$4)/COUNTIFS(Datos_items!$B:$B,$B188,Datos_items!$O:$O,L$4,Datos_items!$E:$E,Analisis_grupo!$C$4),""))</f>
        <v/>
      </c>
      <c r="M188" s="18" t="str">
        <f aca="false">IF($B188="","",IFERROR(SUMIFS(Datos_items!$Z:$Z,Datos_items!$B:$B,$B188,Datos_items!$O:$O,M$4,Datos_items!$E:$E,Analisis_grupo!$C$4)/COUNTIFS(Datos_items!$B:$B,$B188,Datos_items!$O:$O,M$4,Datos_items!$E:$E,Analisis_grupo!$C$4),""))</f>
        <v/>
      </c>
      <c r="N188" s="18" t="str">
        <f aca="false">IF($B188="","",IFERROR(SUMIFS(Datos_items!$Z:$Z,Datos_items!$B:$B,$B188,Datos_items!$O:$O,N$4,Datos_items!$E:$E,Analisis_grupo!$C$4)/COUNTIFS(Datos_items!$B:$B,$B188,Datos_items!$O:$O,N$4,Datos_items!$E:$E,Analisis_grupo!$C$4),""))</f>
        <v/>
      </c>
      <c r="O188" s="18" t="str">
        <f aca="false">IF($B188="","",IFERROR(SUMIFS(Datos_items!$Z:$Z,Datos_items!$B:$B,$B188,Datos_items!$O:$O,O$4,Datos_items!$E:$E,Analisis_grupo!$C$4)/COUNTIFS(Datos_items!$B:$B,$B188,Datos_items!$O:$O,O$4,Datos_items!$E:$E,Analisis_grupo!$C$4),""))</f>
        <v/>
      </c>
      <c r="P188" s="18" t="str">
        <f aca="false">IF($B188="","",IFERROR(SUMIFS(Datos_items!$Z:$Z,Datos_items!$B:$B,$B188,Datos_items!$O:$O,P$4,Datos_items!$E:$E,Analisis_grupo!$C$4)/COUNTIFS(Datos_items!$B:$B,$B188,Datos_items!$O:$O,P$4,Datos_items!$E:$E,Analisis_grupo!$C$4),""))</f>
        <v/>
      </c>
      <c r="Q188" s="18" t="str">
        <f aca="false">IF($B188="","",IFERROR(SUMIFS(Datos_items!$Z:$Z,Datos_items!$B:$B,$B188,Datos_items!$O:$O,Q$4,Datos_items!$E:$E,Analisis_grupo!$C$4)/COUNTIFS(Datos_items!$B:$B,$B188,Datos_items!$O:$O,Q$4,Datos_items!$E:$E,Analisis_grupo!$C$4),""))</f>
        <v/>
      </c>
      <c r="R188" s="2" t="str">
        <f aca="false">IF(COUNT(J188:Q188)=0,"",IF(MIN(J188:Q188)&gt;=Analisis_grupo!$B$7,"(ninguna)",INDEX($J$4:$Q$4,MATCH(MIN(J188:Q188),J188:Q188,0))))</f>
        <v/>
      </c>
      <c r="S188" s="2" t="str">
        <f aca="false">IF($B188="","",COUNTIF(J188:Q188,"&lt;"&amp;Analisis_grupo!$B$7))</f>
        <v/>
      </c>
      <c r="T188" s="2" t="str">
        <f aca="false">IF($B188="","",COUNTIFS(Datos_items!$B:$B,$B188,Datos_items!$AA:$AA,T$4,Datos_items!$E:$E,Analisis_grupo!$C$4))</f>
        <v/>
      </c>
      <c r="U188" s="2" t="str">
        <f aca="false">IF($B188="","",COUNTIFS(Datos_items!$B:$B,$B188,Datos_items!$AA:$AA,U$4,Datos_items!$E:$E,Analisis_grupo!$C$4))</f>
        <v/>
      </c>
      <c r="V188" s="2" t="str">
        <f aca="false">IF($B188="","",COUNTIFS(Datos_items!$B:$B,$B188,Datos_items!$AA:$AA,V$4,Datos_items!$E:$E,Analisis_grupo!$C$4))</f>
        <v/>
      </c>
      <c r="W188" s="2" t="str">
        <f aca="false">IF($B188="","",COUNTIFS(Datos_items!$B:$B,$B188,Datos_items!$AA:$AA,W$4,Datos_items!$E:$E,Analisis_grupo!$C$4))</f>
        <v/>
      </c>
      <c r="X188" s="2" t="str">
        <f aca="false">IF($B188="","",COUNTIFS(Datos_items!$B:$B,$B188,Datos_items!$AA:$AA,X$4,Datos_items!$E:$E,Analisis_grupo!$C$4))</f>
        <v/>
      </c>
      <c r="Y188" s="2" t="str">
        <f aca="false">IF($B188="","",COUNTIFS(Datos_items!$B:$B,$B188,Datos_items!$AA:$AA,Y$4,Datos_items!$E:$E,Analisis_grupo!$C$4))</f>
        <v/>
      </c>
      <c r="Z188" s="2" t="str">
        <f aca="false">IF($B188="","",COUNTIFS(Datos_items!$B:$B,$B188,Datos_items!$AA:$AA,Z$4,Datos_items!$E:$E,Analisis_grupo!$C$4))</f>
        <v/>
      </c>
      <c r="AA188" s="2" t="str">
        <f aca="false">IF($B188="","",COUNTIFS(Datos_items!$B:$B,$B188,Datos_items!$AA:$AA,AA$4,Datos_items!$E:$E,Analisis_grupo!$C$4))</f>
        <v/>
      </c>
      <c r="AB188" s="2" t="str">
        <f aca="false">IF($B188="","",COUNTIFS(Datos_items!$B:$B,$B188,Datos_items!$AA:$AA,AB$4,Datos_items!$E:$E,Analisis_grupo!$C$4))</f>
        <v/>
      </c>
      <c r="AC188" s="2" t="str">
        <f aca="false">IF($B188="","",COUNTIFS(Datos_items!$B:$B,$B188,Datos_items!$AA:$AA,AC$4,Datos_items!$E:$E,Analisis_grupo!$C$4))</f>
        <v/>
      </c>
      <c r="AD188" s="2" t="str">
        <f aca="false">IF($B188="","",COUNTIFS(Datos_items!$B:$B,$B188,Datos_items!$AA:$AA,AD$4,Datos_items!$E:$E,Analisis_grupo!$C$4))</f>
        <v/>
      </c>
      <c r="AE188" s="2" t="str">
        <f aca="false">IF($B188="","",COUNTIFS(Datos_items!$B:$B,$B188,Datos_items!$AA:$AA,AE$4,Datos_items!$E:$E,Analisis_grupo!$C$4))</f>
        <v/>
      </c>
      <c r="AF188" s="2" t="str">
        <f aca="false">IF($B188="","",COUNTIFS(Datos_items!$B:$B,$B188,Datos_items!$AA:$AA,AF$4,Datos_items!$E:$E,Analisis_grupo!$C$4))</f>
        <v/>
      </c>
      <c r="AG188" s="2" t="str">
        <f aca="false">IF($B188="","",COUNTIFS(Datos_items!$B:$B,$B188,Datos_items!$AA:$AA,AG$4,Datos_items!$E:$E,Analisis_grupo!$C$4))</f>
        <v/>
      </c>
      <c r="AH188" s="2" t="str">
        <f aca="false">IF($B188="","",COUNTIFS(Datos_items!$B:$B,$B188,Datos_items!$AA:$AA,AH$4,Datos_items!$E:$E,Analisis_grupo!$C$4))</f>
        <v/>
      </c>
      <c r="AI188" s="2" t="str">
        <f aca="false">IF($B188="","",COUNTIFS(Datos_items!$B:$B,$B188,Datos_items!$AA:$AA,AI$4,Datos_items!$E:$E,Analisis_grupo!$C$4))</f>
        <v/>
      </c>
      <c r="AJ188" s="2" t="str">
        <f aca="false">IF($B188="","",COUNTIFS(Datos_items!$B:$B,$B188,Datos_items!$AA:$AA,AJ$4,Datos_items!$E:$E,Analisis_grupo!$C$4))</f>
        <v/>
      </c>
      <c r="AK188" s="2" t="str">
        <f aca="false">IF($B188="","",COUNTIFS(Datos_items!$B:$B,$B188,Datos_items!$AA:$AA,AK$4,Datos_items!$E:$E,Analisis_grupo!$C$4))</f>
        <v/>
      </c>
      <c r="AL188" s="2" t="str">
        <f aca="false">IF($B188="","",COUNTIFS(Datos_items!$B:$B,$B188,Datos_items!$AA:$AA,AL$4,Datos_items!$E:$E,Analisis_grupo!$C$4))</f>
        <v/>
      </c>
      <c r="AM188" s="2" t="str">
        <f aca="false">IF($B188="","",IF(MAX(Y188:AL188)=0,"",INDEX($Y$4:$AL$4,MATCH(MAX(Y188:AL188),Y188:AL188,0))))</f>
        <v/>
      </c>
      <c r="AN188" s="2" t="str">
        <f aca="false">IF($B188="","",COUNTIFS(Datos_problemas!$B:$B,$B188,Datos_problemas!$F:$F,"Práctica"))</f>
        <v/>
      </c>
      <c r="AO188" s="2" t="str">
        <f aca="false">IF($B188="","",SUMIFS(Datos_problemas!$AQ:$AQ,Datos_problemas!$B:$B,$B188,Datos_problemas!$F:$F,"Práctica"))</f>
        <v/>
      </c>
      <c r="AP188" s="2" t="str">
        <f aca="false">IF($B188="","",COUNTIFS(Datos_problemas!$B:$B,$B188,Datos_problemas!$F:$F,"Práctica",Datos_problemas!$AS:$AS,"Sí"))</f>
        <v/>
      </c>
    </row>
    <row r="189" customFormat="false" ht="15" hidden="false" customHeight="false" outlineLevel="0" collapsed="false">
      <c r="A189" s="2" t="n">
        <v>185</v>
      </c>
      <c r="B189" s="2" t="str">
        <f aca="false">IFERROR(INDEX(Datos_problemas!$B:$B,MATCH($A189,Datos_problemas!$AV:$AV,0)),"")</f>
        <v/>
      </c>
      <c r="C189" s="2" t="str">
        <f aca="false">IF($B189="","",INDEX(Datos_problemas!$C:$C,MATCH($A189,Datos_problemas!$AV:$AV,0)))</f>
        <v/>
      </c>
      <c r="D189" s="2" t="str">
        <f aca="false">IF($B189="","",INDEX(Datos_problemas!$D:$D,MATCH($A189,Datos_problemas!$AV:$AV,0)))</f>
        <v/>
      </c>
      <c r="E189" s="2" t="str">
        <f aca="false">IF($B189="","",COUNTIFS(Datos_problemas!$B:$B,$B189,Datos_problemas!$F:$F,"Evaluación"))</f>
        <v/>
      </c>
      <c r="F189" s="20" t="str">
        <f aca="false">IF($B189="","",IFERROR(AVERAGEIFS(Datos_problemas!$AE:$AE,Datos_problemas!$B:$B,$B189,Datos_problemas!$F:$F,"Evaluación"),""))</f>
        <v/>
      </c>
      <c r="G189" s="20" t="str">
        <f aca="false">IF($B189="","",IFERROR(AVERAGEIFS(Datos_problemas!$AE:$AE,Datos_problemas!$B:$B,$B189,Datos_problemas!$F:$F,"Evaluación",Datos_problemas!$E:$E,"Diagnóstico"),""))</f>
        <v/>
      </c>
      <c r="H189" s="20" t="str">
        <f aca="false">IF($B189="","",IFERROR(AVERAGEIFS(Datos_problemas!$AE:$AE,Datos_problemas!$B:$B,$B189,Datos_problemas!$F:$F,"Evaluación",Datos_problemas!$E:$E,"Final"),""))</f>
        <v/>
      </c>
      <c r="I189" s="21" t="str">
        <f aca="false">IF(OR(G189="",H189=""),"",IF(G189&gt;=10,"",(H189-G189)/(10-G189)))</f>
        <v/>
      </c>
      <c r="J189" s="18" t="str">
        <f aca="false">IF($B189="","",IFERROR(SUMIFS(Datos_items!$Z:$Z,Datos_items!$B:$B,$B189,Datos_items!$O:$O,J$4,Datos_items!$E:$E,Analisis_grupo!$C$4)/COUNTIFS(Datos_items!$B:$B,$B189,Datos_items!$O:$O,J$4,Datos_items!$E:$E,Analisis_grupo!$C$4),""))</f>
        <v/>
      </c>
      <c r="K189" s="18" t="str">
        <f aca="false">IF($B189="","",IFERROR(SUMIFS(Datos_items!$Z:$Z,Datos_items!$B:$B,$B189,Datos_items!$O:$O,K$4,Datos_items!$E:$E,Analisis_grupo!$C$4)/COUNTIFS(Datos_items!$B:$B,$B189,Datos_items!$O:$O,K$4,Datos_items!$E:$E,Analisis_grupo!$C$4),""))</f>
        <v/>
      </c>
      <c r="L189" s="18" t="str">
        <f aca="false">IF($B189="","",IFERROR(SUMIFS(Datos_items!$Z:$Z,Datos_items!$B:$B,$B189,Datos_items!$O:$O,L$4,Datos_items!$E:$E,Analisis_grupo!$C$4)/COUNTIFS(Datos_items!$B:$B,$B189,Datos_items!$O:$O,L$4,Datos_items!$E:$E,Analisis_grupo!$C$4),""))</f>
        <v/>
      </c>
      <c r="M189" s="18" t="str">
        <f aca="false">IF($B189="","",IFERROR(SUMIFS(Datos_items!$Z:$Z,Datos_items!$B:$B,$B189,Datos_items!$O:$O,M$4,Datos_items!$E:$E,Analisis_grupo!$C$4)/COUNTIFS(Datos_items!$B:$B,$B189,Datos_items!$O:$O,M$4,Datos_items!$E:$E,Analisis_grupo!$C$4),""))</f>
        <v/>
      </c>
      <c r="N189" s="18" t="str">
        <f aca="false">IF($B189="","",IFERROR(SUMIFS(Datos_items!$Z:$Z,Datos_items!$B:$B,$B189,Datos_items!$O:$O,N$4,Datos_items!$E:$E,Analisis_grupo!$C$4)/COUNTIFS(Datos_items!$B:$B,$B189,Datos_items!$O:$O,N$4,Datos_items!$E:$E,Analisis_grupo!$C$4),""))</f>
        <v/>
      </c>
      <c r="O189" s="18" t="str">
        <f aca="false">IF($B189="","",IFERROR(SUMIFS(Datos_items!$Z:$Z,Datos_items!$B:$B,$B189,Datos_items!$O:$O,O$4,Datos_items!$E:$E,Analisis_grupo!$C$4)/COUNTIFS(Datos_items!$B:$B,$B189,Datos_items!$O:$O,O$4,Datos_items!$E:$E,Analisis_grupo!$C$4),""))</f>
        <v/>
      </c>
      <c r="P189" s="18" t="str">
        <f aca="false">IF($B189="","",IFERROR(SUMIFS(Datos_items!$Z:$Z,Datos_items!$B:$B,$B189,Datos_items!$O:$O,P$4,Datos_items!$E:$E,Analisis_grupo!$C$4)/COUNTIFS(Datos_items!$B:$B,$B189,Datos_items!$O:$O,P$4,Datos_items!$E:$E,Analisis_grupo!$C$4),""))</f>
        <v/>
      </c>
      <c r="Q189" s="18" t="str">
        <f aca="false">IF($B189="","",IFERROR(SUMIFS(Datos_items!$Z:$Z,Datos_items!$B:$B,$B189,Datos_items!$O:$O,Q$4,Datos_items!$E:$E,Analisis_grupo!$C$4)/COUNTIFS(Datos_items!$B:$B,$B189,Datos_items!$O:$O,Q$4,Datos_items!$E:$E,Analisis_grupo!$C$4),""))</f>
        <v/>
      </c>
      <c r="R189" s="2" t="str">
        <f aca="false">IF(COUNT(J189:Q189)=0,"",IF(MIN(J189:Q189)&gt;=Analisis_grupo!$B$7,"(ninguna)",INDEX($J$4:$Q$4,MATCH(MIN(J189:Q189),J189:Q189,0))))</f>
        <v/>
      </c>
      <c r="S189" s="2" t="str">
        <f aca="false">IF($B189="","",COUNTIF(J189:Q189,"&lt;"&amp;Analisis_grupo!$B$7))</f>
        <v/>
      </c>
      <c r="T189" s="2" t="str">
        <f aca="false">IF($B189="","",COUNTIFS(Datos_items!$B:$B,$B189,Datos_items!$AA:$AA,T$4,Datos_items!$E:$E,Analisis_grupo!$C$4))</f>
        <v/>
      </c>
      <c r="U189" s="2" t="str">
        <f aca="false">IF($B189="","",COUNTIFS(Datos_items!$B:$B,$B189,Datos_items!$AA:$AA,U$4,Datos_items!$E:$E,Analisis_grupo!$C$4))</f>
        <v/>
      </c>
      <c r="V189" s="2" t="str">
        <f aca="false">IF($B189="","",COUNTIFS(Datos_items!$B:$B,$B189,Datos_items!$AA:$AA,V$4,Datos_items!$E:$E,Analisis_grupo!$C$4))</f>
        <v/>
      </c>
      <c r="W189" s="2" t="str">
        <f aca="false">IF($B189="","",COUNTIFS(Datos_items!$B:$B,$B189,Datos_items!$AA:$AA,W$4,Datos_items!$E:$E,Analisis_grupo!$C$4))</f>
        <v/>
      </c>
      <c r="X189" s="2" t="str">
        <f aca="false">IF($B189="","",COUNTIFS(Datos_items!$B:$B,$B189,Datos_items!$AA:$AA,X$4,Datos_items!$E:$E,Analisis_grupo!$C$4))</f>
        <v/>
      </c>
      <c r="Y189" s="2" t="str">
        <f aca="false">IF($B189="","",COUNTIFS(Datos_items!$B:$B,$B189,Datos_items!$AA:$AA,Y$4,Datos_items!$E:$E,Analisis_grupo!$C$4))</f>
        <v/>
      </c>
      <c r="Z189" s="2" t="str">
        <f aca="false">IF($B189="","",COUNTIFS(Datos_items!$B:$B,$B189,Datos_items!$AA:$AA,Z$4,Datos_items!$E:$E,Analisis_grupo!$C$4))</f>
        <v/>
      </c>
      <c r="AA189" s="2" t="str">
        <f aca="false">IF($B189="","",COUNTIFS(Datos_items!$B:$B,$B189,Datos_items!$AA:$AA,AA$4,Datos_items!$E:$E,Analisis_grupo!$C$4))</f>
        <v/>
      </c>
      <c r="AB189" s="2" t="str">
        <f aca="false">IF($B189="","",COUNTIFS(Datos_items!$B:$B,$B189,Datos_items!$AA:$AA,AB$4,Datos_items!$E:$E,Analisis_grupo!$C$4))</f>
        <v/>
      </c>
      <c r="AC189" s="2" t="str">
        <f aca="false">IF($B189="","",COUNTIFS(Datos_items!$B:$B,$B189,Datos_items!$AA:$AA,AC$4,Datos_items!$E:$E,Analisis_grupo!$C$4))</f>
        <v/>
      </c>
      <c r="AD189" s="2" t="str">
        <f aca="false">IF($B189="","",COUNTIFS(Datos_items!$B:$B,$B189,Datos_items!$AA:$AA,AD$4,Datos_items!$E:$E,Analisis_grupo!$C$4))</f>
        <v/>
      </c>
      <c r="AE189" s="2" t="str">
        <f aca="false">IF($B189="","",COUNTIFS(Datos_items!$B:$B,$B189,Datos_items!$AA:$AA,AE$4,Datos_items!$E:$E,Analisis_grupo!$C$4))</f>
        <v/>
      </c>
      <c r="AF189" s="2" t="str">
        <f aca="false">IF($B189="","",COUNTIFS(Datos_items!$B:$B,$B189,Datos_items!$AA:$AA,AF$4,Datos_items!$E:$E,Analisis_grupo!$C$4))</f>
        <v/>
      </c>
      <c r="AG189" s="2" t="str">
        <f aca="false">IF($B189="","",COUNTIFS(Datos_items!$B:$B,$B189,Datos_items!$AA:$AA,AG$4,Datos_items!$E:$E,Analisis_grupo!$C$4))</f>
        <v/>
      </c>
      <c r="AH189" s="2" t="str">
        <f aca="false">IF($B189="","",COUNTIFS(Datos_items!$B:$B,$B189,Datos_items!$AA:$AA,AH$4,Datos_items!$E:$E,Analisis_grupo!$C$4))</f>
        <v/>
      </c>
      <c r="AI189" s="2" t="str">
        <f aca="false">IF($B189="","",COUNTIFS(Datos_items!$B:$B,$B189,Datos_items!$AA:$AA,AI$4,Datos_items!$E:$E,Analisis_grupo!$C$4))</f>
        <v/>
      </c>
      <c r="AJ189" s="2" t="str">
        <f aca="false">IF($B189="","",COUNTIFS(Datos_items!$B:$B,$B189,Datos_items!$AA:$AA,AJ$4,Datos_items!$E:$E,Analisis_grupo!$C$4))</f>
        <v/>
      </c>
      <c r="AK189" s="2" t="str">
        <f aca="false">IF($B189="","",COUNTIFS(Datos_items!$B:$B,$B189,Datos_items!$AA:$AA,AK$4,Datos_items!$E:$E,Analisis_grupo!$C$4))</f>
        <v/>
      </c>
      <c r="AL189" s="2" t="str">
        <f aca="false">IF($B189="","",COUNTIFS(Datos_items!$B:$B,$B189,Datos_items!$AA:$AA,AL$4,Datos_items!$E:$E,Analisis_grupo!$C$4))</f>
        <v/>
      </c>
      <c r="AM189" s="2" t="str">
        <f aca="false">IF($B189="","",IF(MAX(Y189:AL189)=0,"",INDEX($Y$4:$AL$4,MATCH(MAX(Y189:AL189),Y189:AL189,0))))</f>
        <v/>
      </c>
      <c r="AN189" s="2" t="str">
        <f aca="false">IF($B189="","",COUNTIFS(Datos_problemas!$B:$B,$B189,Datos_problemas!$F:$F,"Práctica"))</f>
        <v/>
      </c>
      <c r="AO189" s="2" t="str">
        <f aca="false">IF($B189="","",SUMIFS(Datos_problemas!$AQ:$AQ,Datos_problemas!$B:$B,$B189,Datos_problemas!$F:$F,"Práctica"))</f>
        <v/>
      </c>
      <c r="AP189" s="2" t="str">
        <f aca="false">IF($B189="","",COUNTIFS(Datos_problemas!$B:$B,$B189,Datos_problemas!$F:$F,"Práctica",Datos_problemas!$AS:$AS,"Sí"))</f>
        <v/>
      </c>
    </row>
    <row r="190" customFormat="false" ht="15" hidden="false" customHeight="false" outlineLevel="0" collapsed="false">
      <c r="A190" s="2" t="n">
        <v>186</v>
      </c>
      <c r="B190" s="2" t="str">
        <f aca="false">IFERROR(INDEX(Datos_problemas!$B:$B,MATCH($A190,Datos_problemas!$AV:$AV,0)),"")</f>
        <v/>
      </c>
      <c r="C190" s="2" t="str">
        <f aca="false">IF($B190="","",INDEX(Datos_problemas!$C:$C,MATCH($A190,Datos_problemas!$AV:$AV,0)))</f>
        <v/>
      </c>
      <c r="D190" s="2" t="str">
        <f aca="false">IF($B190="","",INDEX(Datos_problemas!$D:$D,MATCH($A190,Datos_problemas!$AV:$AV,0)))</f>
        <v/>
      </c>
      <c r="E190" s="2" t="str">
        <f aca="false">IF($B190="","",COUNTIFS(Datos_problemas!$B:$B,$B190,Datos_problemas!$F:$F,"Evaluación"))</f>
        <v/>
      </c>
      <c r="F190" s="20" t="str">
        <f aca="false">IF($B190="","",IFERROR(AVERAGEIFS(Datos_problemas!$AE:$AE,Datos_problemas!$B:$B,$B190,Datos_problemas!$F:$F,"Evaluación"),""))</f>
        <v/>
      </c>
      <c r="G190" s="20" t="str">
        <f aca="false">IF($B190="","",IFERROR(AVERAGEIFS(Datos_problemas!$AE:$AE,Datos_problemas!$B:$B,$B190,Datos_problemas!$F:$F,"Evaluación",Datos_problemas!$E:$E,"Diagnóstico"),""))</f>
        <v/>
      </c>
      <c r="H190" s="20" t="str">
        <f aca="false">IF($B190="","",IFERROR(AVERAGEIFS(Datos_problemas!$AE:$AE,Datos_problemas!$B:$B,$B190,Datos_problemas!$F:$F,"Evaluación",Datos_problemas!$E:$E,"Final"),""))</f>
        <v/>
      </c>
      <c r="I190" s="21" t="str">
        <f aca="false">IF(OR(G190="",H190=""),"",IF(G190&gt;=10,"",(H190-G190)/(10-G190)))</f>
        <v/>
      </c>
      <c r="J190" s="18" t="str">
        <f aca="false">IF($B190="","",IFERROR(SUMIFS(Datos_items!$Z:$Z,Datos_items!$B:$B,$B190,Datos_items!$O:$O,J$4,Datos_items!$E:$E,Analisis_grupo!$C$4)/COUNTIFS(Datos_items!$B:$B,$B190,Datos_items!$O:$O,J$4,Datos_items!$E:$E,Analisis_grupo!$C$4),""))</f>
        <v/>
      </c>
      <c r="K190" s="18" t="str">
        <f aca="false">IF($B190="","",IFERROR(SUMIFS(Datos_items!$Z:$Z,Datos_items!$B:$B,$B190,Datos_items!$O:$O,K$4,Datos_items!$E:$E,Analisis_grupo!$C$4)/COUNTIFS(Datos_items!$B:$B,$B190,Datos_items!$O:$O,K$4,Datos_items!$E:$E,Analisis_grupo!$C$4),""))</f>
        <v/>
      </c>
      <c r="L190" s="18" t="str">
        <f aca="false">IF($B190="","",IFERROR(SUMIFS(Datos_items!$Z:$Z,Datos_items!$B:$B,$B190,Datos_items!$O:$O,L$4,Datos_items!$E:$E,Analisis_grupo!$C$4)/COUNTIFS(Datos_items!$B:$B,$B190,Datos_items!$O:$O,L$4,Datos_items!$E:$E,Analisis_grupo!$C$4),""))</f>
        <v/>
      </c>
      <c r="M190" s="18" t="str">
        <f aca="false">IF($B190="","",IFERROR(SUMIFS(Datos_items!$Z:$Z,Datos_items!$B:$B,$B190,Datos_items!$O:$O,M$4,Datos_items!$E:$E,Analisis_grupo!$C$4)/COUNTIFS(Datos_items!$B:$B,$B190,Datos_items!$O:$O,M$4,Datos_items!$E:$E,Analisis_grupo!$C$4),""))</f>
        <v/>
      </c>
      <c r="N190" s="18" t="str">
        <f aca="false">IF($B190="","",IFERROR(SUMIFS(Datos_items!$Z:$Z,Datos_items!$B:$B,$B190,Datos_items!$O:$O,N$4,Datos_items!$E:$E,Analisis_grupo!$C$4)/COUNTIFS(Datos_items!$B:$B,$B190,Datos_items!$O:$O,N$4,Datos_items!$E:$E,Analisis_grupo!$C$4),""))</f>
        <v/>
      </c>
      <c r="O190" s="18" t="str">
        <f aca="false">IF($B190="","",IFERROR(SUMIFS(Datos_items!$Z:$Z,Datos_items!$B:$B,$B190,Datos_items!$O:$O,O$4,Datos_items!$E:$E,Analisis_grupo!$C$4)/COUNTIFS(Datos_items!$B:$B,$B190,Datos_items!$O:$O,O$4,Datos_items!$E:$E,Analisis_grupo!$C$4),""))</f>
        <v/>
      </c>
      <c r="P190" s="18" t="str">
        <f aca="false">IF($B190="","",IFERROR(SUMIFS(Datos_items!$Z:$Z,Datos_items!$B:$B,$B190,Datos_items!$O:$O,P$4,Datos_items!$E:$E,Analisis_grupo!$C$4)/COUNTIFS(Datos_items!$B:$B,$B190,Datos_items!$O:$O,P$4,Datos_items!$E:$E,Analisis_grupo!$C$4),""))</f>
        <v/>
      </c>
      <c r="Q190" s="18" t="str">
        <f aca="false">IF($B190="","",IFERROR(SUMIFS(Datos_items!$Z:$Z,Datos_items!$B:$B,$B190,Datos_items!$O:$O,Q$4,Datos_items!$E:$E,Analisis_grupo!$C$4)/COUNTIFS(Datos_items!$B:$B,$B190,Datos_items!$O:$O,Q$4,Datos_items!$E:$E,Analisis_grupo!$C$4),""))</f>
        <v/>
      </c>
      <c r="R190" s="2" t="str">
        <f aca="false">IF(COUNT(J190:Q190)=0,"",IF(MIN(J190:Q190)&gt;=Analisis_grupo!$B$7,"(ninguna)",INDEX($J$4:$Q$4,MATCH(MIN(J190:Q190),J190:Q190,0))))</f>
        <v/>
      </c>
      <c r="S190" s="2" t="str">
        <f aca="false">IF($B190="","",COUNTIF(J190:Q190,"&lt;"&amp;Analisis_grupo!$B$7))</f>
        <v/>
      </c>
      <c r="T190" s="2" t="str">
        <f aca="false">IF($B190="","",COUNTIFS(Datos_items!$B:$B,$B190,Datos_items!$AA:$AA,T$4,Datos_items!$E:$E,Analisis_grupo!$C$4))</f>
        <v/>
      </c>
      <c r="U190" s="2" t="str">
        <f aca="false">IF($B190="","",COUNTIFS(Datos_items!$B:$B,$B190,Datos_items!$AA:$AA,U$4,Datos_items!$E:$E,Analisis_grupo!$C$4))</f>
        <v/>
      </c>
      <c r="V190" s="2" t="str">
        <f aca="false">IF($B190="","",COUNTIFS(Datos_items!$B:$B,$B190,Datos_items!$AA:$AA,V$4,Datos_items!$E:$E,Analisis_grupo!$C$4))</f>
        <v/>
      </c>
      <c r="W190" s="2" t="str">
        <f aca="false">IF($B190="","",COUNTIFS(Datos_items!$B:$B,$B190,Datos_items!$AA:$AA,W$4,Datos_items!$E:$E,Analisis_grupo!$C$4))</f>
        <v/>
      </c>
      <c r="X190" s="2" t="str">
        <f aca="false">IF($B190="","",COUNTIFS(Datos_items!$B:$B,$B190,Datos_items!$AA:$AA,X$4,Datos_items!$E:$E,Analisis_grupo!$C$4))</f>
        <v/>
      </c>
      <c r="Y190" s="2" t="str">
        <f aca="false">IF($B190="","",COUNTIFS(Datos_items!$B:$B,$B190,Datos_items!$AA:$AA,Y$4,Datos_items!$E:$E,Analisis_grupo!$C$4))</f>
        <v/>
      </c>
      <c r="Z190" s="2" t="str">
        <f aca="false">IF($B190="","",COUNTIFS(Datos_items!$B:$B,$B190,Datos_items!$AA:$AA,Z$4,Datos_items!$E:$E,Analisis_grupo!$C$4))</f>
        <v/>
      </c>
      <c r="AA190" s="2" t="str">
        <f aca="false">IF($B190="","",COUNTIFS(Datos_items!$B:$B,$B190,Datos_items!$AA:$AA,AA$4,Datos_items!$E:$E,Analisis_grupo!$C$4))</f>
        <v/>
      </c>
      <c r="AB190" s="2" t="str">
        <f aca="false">IF($B190="","",COUNTIFS(Datos_items!$B:$B,$B190,Datos_items!$AA:$AA,AB$4,Datos_items!$E:$E,Analisis_grupo!$C$4))</f>
        <v/>
      </c>
      <c r="AC190" s="2" t="str">
        <f aca="false">IF($B190="","",COUNTIFS(Datos_items!$B:$B,$B190,Datos_items!$AA:$AA,AC$4,Datos_items!$E:$E,Analisis_grupo!$C$4))</f>
        <v/>
      </c>
      <c r="AD190" s="2" t="str">
        <f aca="false">IF($B190="","",COUNTIFS(Datos_items!$B:$B,$B190,Datos_items!$AA:$AA,AD$4,Datos_items!$E:$E,Analisis_grupo!$C$4))</f>
        <v/>
      </c>
      <c r="AE190" s="2" t="str">
        <f aca="false">IF($B190="","",COUNTIFS(Datos_items!$B:$B,$B190,Datos_items!$AA:$AA,AE$4,Datos_items!$E:$E,Analisis_grupo!$C$4))</f>
        <v/>
      </c>
      <c r="AF190" s="2" t="str">
        <f aca="false">IF($B190="","",COUNTIFS(Datos_items!$B:$B,$B190,Datos_items!$AA:$AA,AF$4,Datos_items!$E:$E,Analisis_grupo!$C$4))</f>
        <v/>
      </c>
      <c r="AG190" s="2" t="str">
        <f aca="false">IF($B190="","",COUNTIFS(Datos_items!$B:$B,$B190,Datos_items!$AA:$AA,AG$4,Datos_items!$E:$E,Analisis_grupo!$C$4))</f>
        <v/>
      </c>
      <c r="AH190" s="2" t="str">
        <f aca="false">IF($B190="","",COUNTIFS(Datos_items!$B:$B,$B190,Datos_items!$AA:$AA,AH$4,Datos_items!$E:$E,Analisis_grupo!$C$4))</f>
        <v/>
      </c>
      <c r="AI190" s="2" t="str">
        <f aca="false">IF($B190="","",COUNTIFS(Datos_items!$B:$B,$B190,Datos_items!$AA:$AA,AI$4,Datos_items!$E:$E,Analisis_grupo!$C$4))</f>
        <v/>
      </c>
      <c r="AJ190" s="2" t="str">
        <f aca="false">IF($B190="","",COUNTIFS(Datos_items!$B:$B,$B190,Datos_items!$AA:$AA,AJ$4,Datos_items!$E:$E,Analisis_grupo!$C$4))</f>
        <v/>
      </c>
      <c r="AK190" s="2" t="str">
        <f aca="false">IF($B190="","",COUNTIFS(Datos_items!$B:$B,$B190,Datos_items!$AA:$AA,AK$4,Datos_items!$E:$E,Analisis_grupo!$C$4))</f>
        <v/>
      </c>
      <c r="AL190" s="2" t="str">
        <f aca="false">IF($B190="","",COUNTIFS(Datos_items!$B:$B,$B190,Datos_items!$AA:$AA,AL$4,Datos_items!$E:$E,Analisis_grupo!$C$4))</f>
        <v/>
      </c>
      <c r="AM190" s="2" t="str">
        <f aca="false">IF($B190="","",IF(MAX(Y190:AL190)=0,"",INDEX($Y$4:$AL$4,MATCH(MAX(Y190:AL190),Y190:AL190,0))))</f>
        <v/>
      </c>
      <c r="AN190" s="2" t="str">
        <f aca="false">IF($B190="","",COUNTIFS(Datos_problemas!$B:$B,$B190,Datos_problemas!$F:$F,"Práctica"))</f>
        <v/>
      </c>
      <c r="AO190" s="2" t="str">
        <f aca="false">IF($B190="","",SUMIFS(Datos_problemas!$AQ:$AQ,Datos_problemas!$B:$B,$B190,Datos_problemas!$F:$F,"Práctica"))</f>
        <v/>
      </c>
      <c r="AP190" s="2" t="str">
        <f aca="false">IF($B190="","",COUNTIFS(Datos_problemas!$B:$B,$B190,Datos_problemas!$F:$F,"Práctica",Datos_problemas!$AS:$AS,"Sí"))</f>
        <v/>
      </c>
    </row>
    <row r="191" customFormat="false" ht="15" hidden="false" customHeight="false" outlineLevel="0" collapsed="false">
      <c r="A191" s="2" t="n">
        <v>187</v>
      </c>
      <c r="B191" s="2" t="str">
        <f aca="false">IFERROR(INDEX(Datos_problemas!$B:$B,MATCH($A191,Datos_problemas!$AV:$AV,0)),"")</f>
        <v/>
      </c>
      <c r="C191" s="2" t="str">
        <f aca="false">IF($B191="","",INDEX(Datos_problemas!$C:$C,MATCH($A191,Datos_problemas!$AV:$AV,0)))</f>
        <v/>
      </c>
      <c r="D191" s="2" t="str">
        <f aca="false">IF($B191="","",INDEX(Datos_problemas!$D:$D,MATCH($A191,Datos_problemas!$AV:$AV,0)))</f>
        <v/>
      </c>
      <c r="E191" s="2" t="str">
        <f aca="false">IF($B191="","",COUNTIFS(Datos_problemas!$B:$B,$B191,Datos_problemas!$F:$F,"Evaluación"))</f>
        <v/>
      </c>
      <c r="F191" s="20" t="str">
        <f aca="false">IF($B191="","",IFERROR(AVERAGEIFS(Datos_problemas!$AE:$AE,Datos_problemas!$B:$B,$B191,Datos_problemas!$F:$F,"Evaluación"),""))</f>
        <v/>
      </c>
      <c r="G191" s="20" t="str">
        <f aca="false">IF($B191="","",IFERROR(AVERAGEIFS(Datos_problemas!$AE:$AE,Datos_problemas!$B:$B,$B191,Datos_problemas!$F:$F,"Evaluación",Datos_problemas!$E:$E,"Diagnóstico"),""))</f>
        <v/>
      </c>
      <c r="H191" s="20" t="str">
        <f aca="false">IF($B191="","",IFERROR(AVERAGEIFS(Datos_problemas!$AE:$AE,Datos_problemas!$B:$B,$B191,Datos_problemas!$F:$F,"Evaluación",Datos_problemas!$E:$E,"Final"),""))</f>
        <v/>
      </c>
      <c r="I191" s="21" t="str">
        <f aca="false">IF(OR(G191="",H191=""),"",IF(G191&gt;=10,"",(H191-G191)/(10-G191)))</f>
        <v/>
      </c>
      <c r="J191" s="18" t="str">
        <f aca="false">IF($B191="","",IFERROR(SUMIFS(Datos_items!$Z:$Z,Datos_items!$B:$B,$B191,Datos_items!$O:$O,J$4,Datos_items!$E:$E,Analisis_grupo!$C$4)/COUNTIFS(Datos_items!$B:$B,$B191,Datos_items!$O:$O,J$4,Datos_items!$E:$E,Analisis_grupo!$C$4),""))</f>
        <v/>
      </c>
      <c r="K191" s="18" t="str">
        <f aca="false">IF($B191="","",IFERROR(SUMIFS(Datos_items!$Z:$Z,Datos_items!$B:$B,$B191,Datos_items!$O:$O,K$4,Datos_items!$E:$E,Analisis_grupo!$C$4)/COUNTIFS(Datos_items!$B:$B,$B191,Datos_items!$O:$O,K$4,Datos_items!$E:$E,Analisis_grupo!$C$4),""))</f>
        <v/>
      </c>
      <c r="L191" s="18" t="str">
        <f aca="false">IF($B191="","",IFERROR(SUMIFS(Datos_items!$Z:$Z,Datos_items!$B:$B,$B191,Datos_items!$O:$O,L$4,Datos_items!$E:$E,Analisis_grupo!$C$4)/COUNTIFS(Datos_items!$B:$B,$B191,Datos_items!$O:$O,L$4,Datos_items!$E:$E,Analisis_grupo!$C$4),""))</f>
        <v/>
      </c>
      <c r="M191" s="18" t="str">
        <f aca="false">IF($B191="","",IFERROR(SUMIFS(Datos_items!$Z:$Z,Datos_items!$B:$B,$B191,Datos_items!$O:$O,M$4,Datos_items!$E:$E,Analisis_grupo!$C$4)/COUNTIFS(Datos_items!$B:$B,$B191,Datos_items!$O:$O,M$4,Datos_items!$E:$E,Analisis_grupo!$C$4),""))</f>
        <v/>
      </c>
      <c r="N191" s="18" t="str">
        <f aca="false">IF($B191="","",IFERROR(SUMIFS(Datos_items!$Z:$Z,Datos_items!$B:$B,$B191,Datos_items!$O:$O,N$4,Datos_items!$E:$E,Analisis_grupo!$C$4)/COUNTIFS(Datos_items!$B:$B,$B191,Datos_items!$O:$O,N$4,Datos_items!$E:$E,Analisis_grupo!$C$4),""))</f>
        <v/>
      </c>
      <c r="O191" s="18" t="str">
        <f aca="false">IF($B191="","",IFERROR(SUMIFS(Datos_items!$Z:$Z,Datos_items!$B:$B,$B191,Datos_items!$O:$O,O$4,Datos_items!$E:$E,Analisis_grupo!$C$4)/COUNTIFS(Datos_items!$B:$B,$B191,Datos_items!$O:$O,O$4,Datos_items!$E:$E,Analisis_grupo!$C$4),""))</f>
        <v/>
      </c>
      <c r="P191" s="18" t="str">
        <f aca="false">IF($B191="","",IFERROR(SUMIFS(Datos_items!$Z:$Z,Datos_items!$B:$B,$B191,Datos_items!$O:$O,P$4,Datos_items!$E:$E,Analisis_grupo!$C$4)/COUNTIFS(Datos_items!$B:$B,$B191,Datos_items!$O:$O,P$4,Datos_items!$E:$E,Analisis_grupo!$C$4),""))</f>
        <v/>
      </c>
      <c r="Q191" s="18" t="str">
        <f aca="false">IF($B191="","",IFERROR(SUMIFS(Datos_items!$Z:$Z,Datos_items!$B:$B,$B191,Datos_items!$O:$O,Q$4,Datos_items!$E:$E,Analisis_grupo!$C$4)/COUNTIFS(Datos_items!$B:$B,$B191,Datos_items!$O:$O,Q$4,Datos_items!$E:$E,Analisis_grupo!$C$4),""))</f>
        <v/>
      </c>
      <c r="R191" s="2" t="str">
        <f aca="false">IF(COUNT(J191:Q191)=0,"",IF(MIN(J191:Q191)&gt;=Analisis_grupo!$B$7,"(ninguna)",INDEX($J$4:$Q$4,MATCH(MIN(J191:Q191),J191:Q191,0))))</f>
        <v/>
      </c>
      <c r="S191" s="2" t="str">
        <f aca="false">IF($B191="","",COUNTIF(J191:Q191,"&lt;"&amp;Analisis_grupo!$B$7))</f>
        <v/>
      </c>
      <c r="T191" s="2" t="str">
        <f aca="false">IF($B191="","",COUNTIFS(Datos_items!$B:$B,$B191,Datos_items!$AA:$AA,T$4,Datos_items!$E:$E,Analisis_grupo!$C$4))</f>
        <v/>
      </c>
      <c r="U191" s="2" t="str">
        <f aca="false">IF($B191="","",COUNTIFS(Datos_items!$B:$B,$B191,Datos_items!$AA:$AA,U$4,Datos_items!$E:$E,Analisis_grupo!$C$4))</f>
        <v/>
      </c>
      <c r="V191" s="2" t="str">
        <f aca="false">IF($B191="","",COUNTIFS(Datos_items!$B:$B,$B191,Datos_items!$AA:$AA,V$4,Datos_items!$E:$E,Analisis_grupo!$C$4))</f>
        <v/>
      </c>
      <c r="W191" s="2" t="str">
        <f aca="false">IF($B191="","",COUNTIFS(Datos_items!$B:$B,$B191,Datos_items!$AA:$AA,W$4,Datos_items!$E:$E,Analisis_grupo!$C$4))</f>
        <v/>
      </c>
      <c r="X191" s="2" t="str">
        <f aca="false">IF($B191="","",COUNTIFS(Datos_items!$B:$B,$B191,Datos_items!$AA:$AA,X$4,Datos_items!$E:$E,Analisis_grupo!$C$4))</f>
        <v/>
      </c>
      <c r="Y191" s="2" t="str">
        <f aca="false">IF($B191="","",COUNTIFS(Datos_items!$B:$B,$B191,Datos_items!$AA:$AA,Y$4,Datos_items!$E:$E,Analisis_grupo!$C$4))</f>
        <v/>
      </c>
      <c r="Z191" s="2" t="str">
        <f aca="false">IF($B191="","",COUNTIFS(Datos_items!$B:$B,$B191,Datos_items!$AA:$AA,Z$4,Datos_items!$E:$E,Analisis_grupo!$C$4))</f>
        <v/>
      </c>
      <c r="AA191" s="2" t="str">
        <f aca="false">IF($B191="","",COUNTIFS(Datos_items!$B:$B,$B191,Datos_items!$AA:$AA,AA$4,Datos_items!$E:$E,Analisis_grupo!$C$4))</f>
        <v/>
      </c>
      <c r="AB191" s="2" t="str">
        <f aca="false">IF($B191="","",COUNTIFS(Datos_items!$B:$B,$B191,Datos_items!$AA:$AA,AB$4,Datos_items!$E:$E,Analisis_grupo!$C$4))</f>
        <v/>
      </c>
      <c r="AC191" s="2" t="str">
        <f aca="false">IF($B191="","",COUNTIFS(Datos_items!$B:$B,$B191,Datos_items!$AA:$AA,AC$4,Datos_items!$E:$E,Analisis_grupo!$C$4))</f>
        <v/>
      </c>
      <c r="AD191" s="2" t="str">
        <f aca="false">IF($B191="","",COUNTIFS(Datos_items!$B:$B,$B191,Datos_items!$AA:$AA,AD$4,Datos_items!$E:$E,Analisis_grupo!$C$4))</f>
        <v/>
      </c>
      <c r="AE191" s="2" t="str">
        <f aca="false">IF($B191="","",COUNTIFS(Datos_items!$B:$B,$B191,Datos_items!$AA:$AA,AE$4,Datos_items!$E:$E,Analisis_grupo!$C$4))</f>
        <v/>
      </c>
      <c r="AF191" s="2" t="str">
        <f aca="false">IF($B191="","",COUNTIFS(Datos_items!$B:$B,$B191,Datos_items!$AA:$AA,AF$4,Datos_items!$E:$E,Analisis_grupo!$C$4))</f>
        <v/>
      </c>
      <c r="AG191" s="2" t="str">
        <f aca="false">IF($B191="","",COUNTIFS(Datos_items!$B:$B,$B191,Datos_items!$AA:$AA,AG$4,Datos_items!$E:$E,Analisis_grupo!$C$4))</f>
        <v/>
      </c>
      <c r="AH191" s="2" t="str">
        <f aca="false">IF($B191="","",COUNTIFS(Datos_items!$B:$B,$B191,Datos_items!$AA:$AA,AH$4,Datos_items!$E:$E,Analisis_grupo!$C$4))</f>
        <v/>
      </c>
      <c r="AI191" s="2" t="str">
        <f aca="false">IF($B191="","",COUNTIFS(Datos_items!$B:$B,$B191,Datos_items!$AA:$AA,AI$4,Datos_items!$E:$E,Analisis_grupo!$C$4))</f>
        <v/>
      </c>
      <c r="AJ191" s="2" t="str">
        <f aca="false">IF($B191="","",COUNTIFS(Datos_items!$B:$B,$B191,Datos_items!$AA:$AA,AJ$4,Datos_items!$E:$E,Analisis_grupo!$C$4))</f>
        <v/>
      </c>
      <c r="AK191" s="2" t="str">
        <f aca="false">IF($B191="","",COUNTIFS(Datos_items!$B:$B,$B191,Datos_items!$AA:$AA,AK$4,Datos_items!$E:$E,Analisis_grupo!$C$4))</f>
        <v/>
      </c>
      <c r="AL191" s="2" t="str">
        <f aca="false">IF($B191="","",COUNTIFS(Datos_items!$B:$B,$B191,Datos_items!$AA:$AA,AL$4,Datos_items!$E:$E,Analisis_grupo!$C$4))</f>
        <v/>
      </c>
      <c r="AM191" s="2" t="str">
        <f aca="false">IF($B191="","",IF(MAX(Y191:AL191)=0,"",INDEX($Y$4:$AL$4,MATCH(MAX(Y191:AL191),Y191:AL191,0))))</f>
        <v/>
      </c>
      <c r="AN191" s="2" t="str">
        <f aca="false">IF($B191="","",COUNTIFS(Datos_problemas!$B:$B,$B191,Datos_problemas!$F:$F,"Práctica"))</f>
        <v/>
      </c>
      <c r="AO191" s="2" t="str">
        <f aca="false">IF($B191="","",SUMIFS(Datos_problemas!$AQ:$AQ,Datos_problemas!$B:$B,$B191,Datos_problemas!$F:$F,"Práctica"))</f>
        <v/>
      </c>
      <c r="AP191" s="2" t="str">
        <f aca="false">IF($B191="","",COUNTIFS(Datos_problemas!$B:$B,$B191,Datos_problemas!$F:$F,"Práctica",Datos_problemas!$AS:$AS,"Sí"))</f>
        <v/>
      </c>
    </row>
    <row r="192" customFormat="false" ht="15" hidden="false" customHeight="false" outlineLevel="0" collapsed="false">
      <c r="A192" s="2" t="n">
        <v>188</v>
      </c>
      <c r="B192" s="2" t="str">
        <f aca="false">IFERROR(INDEX(Datos_problemas!$B:$B,MATCH($A192,Datos_problemas!$AV:$AV,0)),"")</f>
        <v/>
      </c>
      <c r="C192" s="2" t="str">
        <f aca="false">IF($B192="","",INDEX(Datos_problemas!$C:$C,MATCH($A192,Datos_problemas!$AV:$AV,0)))</f>
        <v/>
      </c>
      <c r="D192" s="2" t="str">
        <f aca="false">IF($B192="","",INDEX(Datos_problemas!$D:$D,MATCH($A192,Datos_problemas!$AV:$AV,0)))</f>
        <v/>
      </c>
      <c r="E192" s="2" t="str">
        <f aca="false">IF($B192="","",COUNTIFS(Datos_problemas!$B:$B,$B192,Datos_problemas!$F:$F,"Evaluación"))</f>
        <v/>
      </c>
      <c r="F192" s="20" t="str">
        <f aca="false">IF($B192="","",IFERROR(AVERAGEIFS(Datos_problemas!$AE:$AE,Datos_problemas!$B:$B,$B192,Datos_problemas!$F:$F,"Evaluación"),""))</f>
        <v/>
      </c>
      <c r="G192" s="20" t="str">
        <f aca="false">IF($B192="","",IFERROR(AVERAGEIFS(Datos_problemas!$AE:$AE,Datos_problemas!$B:$B,$B192,Datos_problemas!$F:$F,"Evaluación",Datos_problemas!$E:$E,"Diagnóstico"),""))</f>
        <v/>
      </c>
      <c r="H192" s="20" t="str">
        <f aca="false">IF($B192="","",IFERROR(AVERAGEIFS(Datos_problemas!$AE:$AE,Datos_problemas!$B:$B,$B192,Datos_problemas!$F:$F,"Evaluación",Datos_problemas!$E:$E,"Final"),""))</f>
        <v/>
      </c>
      <c r="I192" s="21" t="str">
        <f aca="false">IF(OR(G192="",H192=""),"",IF(G192&gt;=10,"",(H192-G192)/(10-G192)))</f>
        <v/>
      </c>
      <c r="J192" s="18" t="str">
        <f aca="false">IF($B192="","",IFERROR(SUMIFS(Datos_items!$Z:$Z,Datos_items!$B:$B,$B192,Datos_items!$O:$O,J$4,Datos_items!$E:$E,Analisis_grupo!$C$4)/COUNTIFS(Datos_items!$B:$B,$B192,Datos_items!$O:$O,J$4,Datos_items!$E:$E,Analisis_grupo!$C$4),""))</f>
        <v/>
      </c>
      <c r="K192" s="18" t="str">
        <f aca="false">IF($B192="","",IFERROR(SUMIFS(Datos_items!$Z:$Z,Datos_items!$B:$B,$B192,Datos_items!$O:$O,K$4,Datos_items!$E:$E,Analisis_grupo!$C$4)/COUNTIFS(Datos_items!$B:$B,$B192,Datos_items!$O:$O,K$4,Datos_items!$E:$E,Analisis_grupo!$C$4),""))</f>
        <v/>
      </c>
      <c r="L192" s="18" t="str">
        <f aca="false">IF($B192="","",IFERROR(SUMIFS(Datos_items!$Z:$Z,Datos_items!$B:$B,$B192,Datos_items!$O:$O,L$4,Datos_items!$E:$E,Analisis_grupo!$C$4)/COUNTIFS(Datos_items!$B:$B,$B192,Datos_items!$O:$O,L$4,Datos_items!$E:$E,Analisis_grupo!$C$4),""))</f>
        <v/>
      </c>
      <c r="M192" s="18" t="str">
        <f aca="false">IF($B192="","",IFERROR(SUMIFS(Datos_items!$Z:$Z,Datos_items!$B:$B,$B192,Datos_items!$O:$O,M$4,Datos_items!$E:$E,Analisis_grupo!$C$4)/COUNTIFS(Datos_items!$B:$B,$B192,Datos_items!$O:$O,M$4,Datos_items!$E:$E,Analisis_grupo!$C$4),""))</f>
        <v/>
      </c>
      <c r="N192" s="18" t="str">
        <f aca="false">IF($B192="","",IFERROR(SUMIFS(Datos_items!$Z:$Z,Datos_items!$B:$B,$B192,Datos_items!$O:$O,N$4,Datos_items!$E:$E,Analisis_grupo!$C$4)/COUNTIFS(Datos_items!$B:$B,$B192,Datos_items!$O:$O,N$4,Datos_items!$E:$E,Analisis_grupo!$C$4),""))</f>
        <v/>
      </c>
      <c r="O192" s="18" t="str">
        <f aca="false">IF($B192="","",IFERROR(SUMIFS(Datos_items!$Z:$Z,Datos_items!$B:$B,$B192,Datos_items!$O:$O,O$4,Datos_items!$E:$E,Analisis_grupo!$C$4)/COUNTIFS(Datos_items!$B:$B,$B192,Datos_items!$O:$O,O$4,Datos_items!$E:$E,Analisis_grupo!$C$4),""))</f>
        <v/>
      </c>
      <c r="P192" s="18" t="str">
        <f aca="false">IF($B192="","",IFERROR(SUMIFS(Datos_items!$Z:$Z,Datos_items!$B:$B,$B192,Datos_items!$O:$O,P$4,Datos_items!$E:$E,Analisis_grupo!$C$4)/COUNTIFS(Datos_items!$B:$B,$B192,Datos_items!$O:$O,P$4,Datos_items!$E:$E,Analisis_grupo!$C$4),""))</f>
        <v/>
      </c>
      <c r="Q192" s="18" t="str">
        <f aca="false">IF($B192="","",IFERROR(SUMIFS(Datos_items!$Z:$Z,Datos_items!$B:$B,$B192,Datos_items!$O:$O,Q$4,Datos_items!$E:$E,Analisis_grupo!$C$4)/COUNTIFS(Datos_items!$B:$B,$B192,Datos_items!$O:$O,Q$4,Datos_items!$E:$E,Analisis_grupo!$C$4),""))</f>
        <v/>
      </c>
      <c r="R192" s="2" t="str">
        <f aca="false">IF(COUNT(J192:Q192)=0,"",IF(MIN(J192:Q192)&gt;=Analisis_grupo!$B$7,"(ninguna)",INDEX($J$4:$Q$4,MATCH(MIN(J192:Q192),J192:Q192,0))))</f>
        <v/>
      </c>
      <c r="S192" s="2" t="str">
        <f aca="false">IF($B192="","",COUNTIF(J192:Q192,"&lt;"&amp;Analisis_grupo!$B$7))</f>
        <v/>
      </c>
      <c r="T192" s="2" t="str">
        <f aca="false">IF($B192="","",COUNTIFS(Datos_items!$B:$B,$B192,Datos_items!$AA:$AA,T$4,Datos_items!$E:$E,Analisis_grupo!$C$4))</f>
        <v/>
      </c>
      <c r="U192" s="2" t="str">
        <f aca="false">IF($B192="","",COUNTIFS(Datos_items!$B:$B,$B192,Datos_items!$AA:$AA,U$4,Datos_items!$E:$E,Analisis_grupo!$C$4))</f>
        <v/>
      </c>
      <c r="V192" s="2" t="str">
        <f aca="false">IF($B192="","",COUNTIFS(Datos_items!$B:$B,$B192,Datos_items!$AA:$AA,V$4,Datos_items!$E:$E,Analisis_grupo!$C$4))</f>
        <v/>
      </c>
      <c r="W192" s="2" t="str">
        <f aca="false">IF($B192="","",COUNTIFS(Datos_items!$B:$B,$B192,Datos_items!$AA:$AA,W$4,Datos_items!$E:$E,Analisis_grupo!$C$4))</f>
        <v/>
      </c>
      <c r="X192" s="2" t="str">
        <f aca="false">IF($B192="","",COUNTIFS(Datos_items!$B:$B,$B192,Datos_items!$AA:$AA,X$4,Datos_items!$E:$E,Analisis_grupo!$C$4))</f>
        <v/>
      </c>
      <c r="Y192" s="2" t="str">
        <f aca="false">IF($B192="","",COUNTIFS(Datos_items!$B:$B,$B192,Datos_items!$AA:$AA,Y$4,Datos_items!$E:$E,Analisis_grupo!$C$4))</f>
        <v/>
      </c>
      <c r="Z192" s="2" t="str">
        <f aca="false">IF($B192="","",COUNTIFS(Datos_items!$B:$B,$B192,Datos_items!$AA:$AA,Z$4,Datos_items!$E:$E,Analisis_grupo!$C$4))</f>
        <v/>
      </c>
      <c r="AA192" s="2" t="str">
        <f aca="false">IF($B192="","",COUNTIFS(Datos_items!$B:$B,$B192,Datos_items!$AA:$AA,AA$4,Datos_items!$E:$E,Analisis_grupo!$C$4))</f>
        <v/>
      </c>
      <c r="AB192" s="2" t="str">
        <f aca="false">IF($B192="","",COUNTIFS(Datos_items!$B:$B,$B192,Datos_items!$AA:$AA,AB$4,Datos_items!$E:$E,Analisis_grupo!$C$4))</f>
        <v/>
      </c>
      <c r="AC192" s="2" t="str">
        <f aca="false">IF($B192="","",COUNTIFS(Datos_items!$B:$B,$B192,Datos_items!$AA:$AA,AC$4,Datos_items!$E:$E,Analisis_grupo!$C$4))</f>
        <v/>
      </c>
      <c r="AD192" s="2" t="str">
        <f aca="false">IF($B192="","",COUNTIFS(Datos_items!$B:$B,$B192,Datos_items!$AA:$AA,AD$4,Datos_items!$E:$E,Analisis_grupo!$C$4))</f>
        <v/>
      </c>
      <c r="AE192" s="2" t="str">
        <f aca="false">IF($B192="","",COUNTIFS(Datos_items!$B:$B,$B192,Datos_items!$AA:$AA,AE$4,Datos_items!$E:$E,Analisis_grupo!$C$4))</f>
        <v/>
      </c>
      <c r="AF192" s="2" t="str">
        <f aca="false">IF($B192="","",COUNTIFS(Datos_items!$B:$B,$B192,Datos_items!$AA:$AA,AF$4,Datos_items!$E:$E,Analisis_grupo!$C$4))</f>
        <v/>
      </c>
      <c r="AG192" s="2" t="str">
        <f aca="false">IF($B192="","",COUNTIFS(Datos_items!$B:$B,$B192,Datos_items!$AA:$AA,AG$4,Datos_items!$E:$E,Analisis_grupo!$C$4))</f>
        <v/>
      </c>
      <c r="AH192" s="2" t="str">
        <f aca="false">IF($B192="","",COUNTIFS(Datos_items!$B:$B,$B192,Datos_items!$AA:$AA,AH$4,Datos_items!$E:$E,Analisis_grupo!$C$4))</f>
        <v/>
      </c>
      <c r="AI192" s="2" t="str">
        <f aca="false">IF($B192="","",COUNTIFS(Datos_items!$B:$B,$B192,Datos_items!$AA:$AA,AI$4,Datos_items!$E:$E,Analisis_grupo!$C$4))</f>
        <v/>
      </c>
      <c r="AJ192" s="2" t="str">
        <f aca="false">IF($B192="","",COUNTIFS(Datos_items!$B:$B,$B192,Datos_items!$AA:$AA,AJ$4,Datos_items!$E:$E,Analisis_grupo!$C$4))</f>
        <v/>
      </c>
      <c r="AK192" s="2" t="str">
        <f aca="false">IF($B192="","",COUNTIFS(Datos_items!$B:$B,$B192,Datos_items!$AA:$AA,AK$4,Datos_items!$E:$E,Analisis_grupo!$C$4))</f>
        <v/>
      </c>
      <c r="AL192" s="2" t="str">
        <f aca="false">IF($B192="","",COUNTIFS(Datos_items!$B:$B,$B192,Datos_items!$AA:$AA,AL$4,Datos_items!$E:$E,Analisis_grupo!$C$4))</f>
        <v/>
      </c>
      <c r="AM192" s="2" t="str">
        <f aca="false">IF($B192="","",IF(MAX(Y192:AL192)=0,"",INDEX($Y$4:$AL$4,MATCH(MAX(Y192:AL192),Y192:AL192,0))))</f>
        <v/>
      </c>
      <c r="AN192" s="2" t="str">
        <f aca="false">IF($B192="","",COUNTIFS(Datos_problemas!$B:$B,$B192,Datos_problemas!$F:$F,"Práctica"))</f>
        <v/>
      </c>
      <c r="AO192" s="2" t="str">
        <f aca="false">IF($B192="","",SUMIFS(Datos_problemas!$AQ:$AQ,Datos_problemas!$B:$B,$B192,Datos_problemas!$F:$F,"Práctica"))</f>
        <v/>
      </c>
      <c r="AP192" s="2" t="str">
        <f aca="false">IF($B192="","",COUNTIFS(Datos_problemas!$B:$B,$B192,Datos_problemas!$F:$F,"Práctica",Datos_problemas!$AS:$AS,"Sí"))</f>
        <v/>
      </c>
    </row>
    <row r="193" customFormat="false" ht="15" hidden="false" customHeight="false" outlineLevel="0" collapsed="false">
      <c r="A193" s="2" t="n">
        <v>189</v>
      </c>
      <c r="B193" s="2" t="str">
        <f aca="false">IFERROR(INDEX(Datos_problemas!$B:$B,MATCH($A193,Datos_problemas!$AV:$AV,0)),"")</f>
        <v/>
      </c>
      <c r="C193" s="2" t="str">
        <f aca="false">IF($B193="","",INDEX(Datos_problemas!$C:$C,MATCH($A193,Datos_problemas!$AV:$AV,0)))</f>
        <v/>
      </c>
      <c r="D193" s="2" t="str">
        <f aca="false">IF($B193="","",INDEX(Datos_problemas!$D:$D,MATCH($A193,Datos_problemas!$AV:$AV,0)))</f>
        <v/>
      </c>
      <c r="E193" s="2" t="str">
        <f aca="false">IF($B193="","",COUNTIFS(Datos_problemas!$B:$B,$B193,Datos_problemas!$F:$F,"Evaluación"))</f>
        <v/>
      </c>
      <c r="F193" s="20" t="str">
        <f aca="false">IF($B193="","",IFERROR(AVERAGEIFS(Datos_problemas!$AE:$AE,Datos_problemas!$B:$B,$B193,Datos_problemas!$F:$F,"Evaluación"),""))</f>
        <v/>
      </c>
      <c r="G193" s="20" t="str">
        <f aca="false">IF($B193="","",IFERROR(AVERAGEIFS(Datos_problemas!$AE:$AE,Datos_problemas!$B:$B,$B193,Datos_problemas!$F:$F,"Evaluación",Datos_problemas!$E:$E,"Diagnóstico"),""))</f>
        <v/>
      </c>
      <c r="H193" s="20" t="str">
        <f aca="false">IF($B193="","",IFERROR(AVERAGEIFS(Datos_problemas!$AE:$AE,Datos_problemas!$B:$B,$B193,Datos_problemas!$F:$F,"Evaluación",Datos_problemas!$E:$E,"Final"),""))</f>
        <v/>
      </c>
      <c r="I193" s="21" t="str">
        <f aca="false">IF(OR(G193="",H193=""),"",IF(G193&gt;=10,"",(H193-G193)/(10-G193)))</f>
        <v/>
      </c>
      <c r="J193" s="18" t="str">
        <f aca="false">IF($B193="","",IFERROR(SUMIFS(Datos_items!$Z:$Z,Datos_items!$B:$B,$B193,Datos_items!$O:$O,J$4,Datos_items!$E:$E,Analisis_grupo!$C$4)/COUNTIFS(Datos_items!$B:$B,$B193,Datos_items!$O:$O,J$4,Datos_items!$E:$E,Analisis_grupo!$C$4),""))</f>
        <v/>
      </c>
      <c r="K193" s="18" t="str">
        <f aca="false">IF($B193="","",IFERROR(SUMIFS(Datos_items!$Z:$Z,Datos_items!$B:$B,$B193,Datos_items!$O:$O,K$4,Datos_items!$E:$E,Analisis_grupo!$C$4)/COUNTIFS(Datos_items!$B:$B,$B193,Datos_items!$O:$O,K$4,Datos_items!$E:$E,Analisis_grupo!$C$4),""))</f>
        <v/>
      </c>
      <c r="L193" s="18" t="str">
        <f aca="false">IF($B193="","",IFERROR(SUMIFS(Datos_items!$Z:$Z,Datos_items!$B:$B,$B193,Datos_items!$O:$O,L$4,Datos_items!$E:$E,Analisis_grupo!$C$4)/COUNTIFS(Datos_items!$B:$B,$B193,Datos_items!$O:$O,L$4,Datos_items!$E:$E,Analisis_grupo!$C$4),""))</f>
        <v/>
      </c>
      <c r="M193" s="18" t="str">
        <f aca="false">IF($B193="","",IFERROR(SUMIFS(Datos_items!$Z:$Z,Datos_items!$B:$B,$B193,Datos_items!$O:$O,M$4,Datos_items!$E:$E,Analisis_grupo!$C$4)/COUNTIFS(Datos_items!$B:$B,$B193,Datos_items!$O:$O,M$4,Datos_items!$E:$E,Analisis_grupo!$C$4),""))</f>
        <v/>
      </c>
      <c r="N193" s="18" t="str">
        <f aca="false">IF($B193="","",IFERROR(SUMIFS(Datos_items!$Z:$Z,Datos_items!$B:$B,$B193,Datos_items!$O:$O,N$4,Datos_items!$E:$E,Analisis_grupo!$C$4)/COUNTIFS(Datos_items!$B:$B,$B193,Datos_items!$O:$O,N$4,Datos_items!$E:$E,Analisis_grupo!$C$4),""))</f>
        <v/>
      </c>
      <c r="O193" s="18" t="str">
        <f aca="false">IF($B193="","",IFERROR(SUMIFS(Datos_items!$Z:$Z,Datos_items!$B:$B,$B193,Datos_items!$O:$O,O$4,Datos_items!$E:$E,Analisis_grupo!$C$4)/COUNTIFS(Datos_items!$B:$B,$B193,Datos_items!$O:$O,O$4,Datos_items!$E:$E,Analisis_grupo!$C$4),""))</f>
        <v/>
      </c>
      <c r="P193" s="18" t="str">
        <f aca="false">IF($B193="","",IFERROR(SUMIFS(Datos_items!$Z:$Z,Datos_items!$B:$B,$B193,Datos_items!$O:$O,P$4,Datos_items!$E:$E,Analisis_grupo!$C$4)/COUNTIFS(Datos_items!$B:$B,$B193,Datos_items!$O:$O,P$4,Datos_items!$E:$E,Analisis_grupo!$C$4),""))</f>
        <v/>
      </c>
      <c r="Q193" s="18" t="str">
        <f aca="false">IF($B193="","",IFERROR(SUMIFS(Datos_items!$Z:$Z,Datos_items!$B:$B,$B193,Datos_items!$O:$O,Q$4,Datos_items!$E:$E,Analisis_grupo!$C$4)/COUNTIFS(Datos_items!$B:$B,$B193,Datos_items!$O:$O,Q$4,Datos_items!$E:$E,Analisis_grupo!$C$4),""))</f>
        <v/>
      </c>
      <c r="R193" s="2" t="str">
        <f aca="false">IF(COUNT(J193:Q193)=0,"",IF(MIN(J193:Q193)&gt;=Analisis_grupo!$B$7,"(ninguna)",INDEX($J$4:$Q$4,MATCH(MIN(J193:Q193),J193:Q193,0))))</f>
        <v/>
      </c>
      <c r="S193" s="2" t="str">
        <f aca="false">IF($B193="","",COUNTIF(J193:Q193,"&lt;"&amp;Analisis_grupo!$B$7))</f>
        <v/>
      </c>
      <c r="T193" s="2" t="str">
        <f aca="false">IF($B193="","",COUNTIFS(Datos_items!$B:$B,$B193,Datos_items!$AA:$AA,T$4,Datos_items!$E:$E,Analisis_grupo!$C$4))</f>
        <v/>
      </c>
      <c r="U193" s="2" t="str">
        <f aca="false">IF($B193="","",COUNTIFS(Datos_items!$B:$B,$B193,Datos_items!$AA:$AA,U$4,Datos_items!$E:$E,Analisis_grupo!$C$4))</f>
        <v/>
      </c>
      <c r="V193" s="2" t="str">
        <f aca="false">IF($B193="","",COUNTIFS(Datos_items!$B:$B,$B193,Datos_items!$AA:$AA,V$4,Datos_items!$E:$E,Analisis_grupo!$C$4))</f>
        <v/>
      </c>
      <c r="W193" s="2" t="str">
        <f aca="false">IF($B193="","",COUNTIFS(Datos_items!$B:$B,$B193,Datos_items!$AA:$AA,W$4,Datos_items!$E:$E,Analisis_grupo!$C$4))</f>
        <v/>
      </c>
      <c r="X193" s="2" t="str">
        <f aca="false">IF($B193="","",COUNTIFS(Datos_items!$B:$B,$B193,Datos_items!$AA:$AA,X$4,Datos_items!$E:$E,Analisis_grupo!$C$4))</f>
        <v/>
      </c>
      <c r="Y193" s="2" t="str">
        <f aca="false">IF($B193="","",COUNTIFS(Datos_items!$B:$B,$B193,Datos_items!$AA:$AA,Y$4,Datos_items!$E:$E,Analisis_grupo!$C$4))</f>
        <v/>
      </c>
      <c r="Z193" s="2" t="str">
        <f aca="false">IF($B193="","",COUNTIFS(Datos_items!$B:$B,$B193,Datos_items!$AA:$AA,Z$4,Datos_items!$E:$E,Analisis_grupo!$C$4))</f>
        <v/>
      </c>
      <c r="AA193" s="2" t="str">
        <f aca="false">IF($B193="","",COUNTIFS(Datos_items!$B:$B,$B193,Datos_items!$AA:$AA,AA$4,Datos_items!$E:$E,Analisis_grupo!$C$4))</f>
        <v/>
      </c>
      <c r="AB193" s="2" t="str">
        <f aca="false">IF($B193="","",COUNTIFS(Datos_items!$B:$B,$B193,Datos_items!$AA:$AA,AB$4,Datos_items!$E:$E,Analisis_grupo!$C$4))</f>
        <v/>
      </c>
      <c r="AC193" s="2" t="str">
        <f aca="false">IF($B193="","",COUNTIFS(Datos_items!$B:$B,$B193,Datos_items!$AA:$AA,AC$4,Datos_items!$E:$E,Analisis_grupo!$C$4))</f>
        <v/>
      </c>
      <c r="AD193" s="2" t="str">
        <f aca="false">IF($B193="","",COUNTIFS(Datos_items!$B:$B,$B193,Datos_items!$AA:$AA,AD$4,Datos_items!$E:$E,Analisis_grupo!$C$4))</f>
        <v/>
      </c>
      <c r="AE193" s="2" t="str">
        <f aca="false">IF($B193="","",COUNTIFS(Datos_items!$B:$B,$B193,Datos_items!$AA:$AA,AE$4,Datos_items!$E:$E,Analisis_grupo!$C$4))</f>
        <v/>
      </c>
      <c r="AF193" s="2" t="str">
        <f aca="false">IF($B193="","",COUNTIFS(Datos_items!$B:$B,$B193,Datos_items!$AA:$AA,AF$4,Datos_items!$E:$E,Analisis_grupo!$C$4))</f>
        <v/>
      </c>
      <c r="AG193" s="2" t="str">
        <f aca="false">IF($B193="","",COUNTIFS(Datos_items!$B:$B,$B193,Datos_items!$AA:$AA,AG$4,Datos_items!$E:$E,Analisis_grupo!$C$4))</f>
        <v/>
      </c>
      <c r="AH193" s="2" t="str">
        <f aca="false">IF($B193="","",COUNTIFS(Datos_items!$B:$B,$B193,Datos_items!$AA:$AA,AH$4,Datos_items!$E:$E,Analisis_grupo!$C$4))</f>
        <v/>
      </c>
      <c r="AI193" s="2" t="str">
        <f aca="false">IF($B193="","",COUNTIFS(Datos_items!$B:$B,$B193,Datos_items!$AA:$AA,AI$4,Datos_items!$E:$E,Analisis_grupo!$C$4))</f>
        <v/>
      </c>
      <c r="AJ193" s="2" t="str">
        <f aca="false">IF($B193="","",COUNTIFS(Datos_items!$B:$B,$B193,Datos_items!$AA:$AA,AJ$4,Datos_items!$E:$E,Analisis_grupo!$C$4))</f>
        <v/>
      </c>
      <c r="AK193" s="2" t="str">
        <f aca="false">IF($B193="","",COUNTIFS(Datos_items!$B:$B,$B193,Datos_items!$AA:$AA,AK$4,Datos_items!$E:$E,Analisis_grupo!$C$4))</f>
        <v/>
      </c>
      <c r="AL193" s="2" t="str">
        <f aca="false">IF($B193="","",COUNTIFS(Datos_items!$B:$B,$B193,Datos_items!$AA:$AA,AL$4,Datos_items!$E:$E,Analisis_grupo!$C$4))</f>
        <v/>
      </c>
      <c r="AM193" s="2" t="str">
        <f aca="false">IF($B193="","",IF(MAX(Y193:AL193)=0,"",INDEX($Y$4:$AL$4,MATCH(MAX(Y193:AL193),Y193:AL193,0))))</f>
        <v/>
      </c>
      <c r="AN193" s="2" t="str">
        <f aca="false">IF($B193="","",COUNTIFS(Datos_problemas!$B:$B,$B193,Datos_problemas!$F:$F,"Práctica"))</f>
        <v/>
      </c>
      <c r="AO193" s="2" t="str">
        <f aca="false">IF($B193="","",SUMIFS(Datos_problemas!$AQ:$AQ,Datos_problemas!$B:$B,$B193,Datos_problemas!$F:$F,"Práctica"))</f>
        <v/>
      </c>
      <c r="AP193" s="2" t="str">
        <f aca="false">IF($B193="","",COUNTIFS(Datos_problemas!$B:$B,$B193,Datos_problemas!$F:$F,"Práctica",Datos_problemas!$AS:$AS,"Sí"))</f>
        <v/>
      </c>
    </row>
    <row r="194" customFormat="false" ht="15" hidden="false" customHeight="false" outlineLevel="0" collapsed="false">
      <c r="A194" s="2" t="n">
        <v>190</v>
      </c>
      <c r="B194" s="2" t="str">
        <f aca="false">IFERROR(INDEX(Datos_problemas!$B:$B,MATCH($A194,Datos_problemas!$AV:$AV,0)),"")</f>
        <v/>
      </c>
      <c r="C194" s="2" t="str">
        <f aca="false">IF($B194="","",INDEX(Datos_problemas!$C:$C,MATCH($A194,Datos_problemas!$AV:$AV,0)))</f>
        <v/>
      </c>
      <c r="D194" s="2" t="str">
        <f aca="false">IF($B194="","",INDEX(Datos_problemas!$D:$D,MATCH($A194,Datos_problemas!$AV:$AV,0)))</f>
        <v/>
      </c>
      <c r="E194" s="2" t="str">
        <f aca="false">IF($B194="","",COUNTIFS(Datos_problemas!$B:$B,$B194,Datos_problemas!$F:$F,"Evaluación"))</f>
        <v/>
      </c>
      <c r="F194" s="20" t="str">
        <f aca="false">IF($B194="","",IFERROR(AVERAGEIFS(Datos_problemas!$AE:$AE,Datos_problemas!$B:$B,$B194,Datos_problemas!$F:$F,"Evaluación"),""))</f>
        <v/>
      </c>
      <c r="G194" s="20" t="str">
        <f aca="false">IF($B194="","",IFERROR(AVERAGEIFS(Datos_problemas!$AE:$AE,Datos_problemas!$B:$B,$B194,Datos_problemas!$F:$F,"Evaluación",Datos_problemas!$E:$E,"Diagnóstico"),""))</f>
        <v/>
      </c>
      <c r="H194" s="20" t="str">
        <f aca="false">IF($B194="","",IFERROR(AVERAGEIFS(Datos_problemas!$AE:$AE,Datos_problemas!$B:$B,$B194,Datos_problemas!$F:$F,"Evaluación",Datos_problemas!$E:$E,"Final"),""))</f>
        <v/>
      </c>
      <c r="I194" s="21" t="str">
        <f aca="false">IF(OR(G194="",H194=""),"",IF(G194&gt;=10,"",(H194-G194)/(10-G194)))</f>
        <v/>
      </c>
      <c r="J194" s="18" t="str">
        <f aca="false">IF($B194="","",IFERROR(SUMIFS(Datos_items!$Z:$Z,Datos_items!$B:$B,$B194,Datos_items!$O:$O,J$4,Datos_items!$E:$E,Analisis_grupo!$C$4)/COUNTIFS(Datos_items!$B:$B,$B194,Datos_items!$O:$O,J$4,Datos_items!$E:$E,Analisis_grupo!$C$4),""))</f>
        <v/>
      </c>
      <c r="K194" s="18" t="str">
        <f aca="false">IF($B194="","",IFERROR(SUMIFS(Datos_items!$Z:$Z,Datos_items!$B:$B,$B194,Datos_items!$O:$O,K$4,Datos_items!$E:$E,Analisis_grupo!$C$4)/COUNTIFS(Datos_items!$B:$B,$B194,Datos_items!$O:$O,K$4,Datos_items!$E:$E,Analisis_grupo!$C$4),""))</f>
        <v/>
      </c>
      <c r="L194" s="18" t="str">
        <f aca="false">IF($B194="","",IFERROR(SUMIFS(Datos_items!$Z:$Z,Datos_items!$B:$B,$B194,Datos_items!$O:$O,L$4,Datos_items!$E:$E,Analisis_grupo!$C$4)/COUNTIFS(Datos_items!$B:$B,$B194,Datos_items!$O:$O,L$4,Datos_items!$E:$E,Analisis_grupo!$C$4),""))</f>
        <v/>
      </c>
      <c r="M194" s="18" t="str">
        <f aca="false">IF($B194="","",IFERROR(SUMIFS(Datos_items!$Z:$Z,Datos_items!$B:$B,$B194,Datos_items!$O:$O,M$4,Datos_items!$E:$E,Analisis_grupo!$C$4)/COUNTIFS(Datos_items!$B:$B,$B194,Datos_items!$O:$O,M$4,Datos_items!$E:$E,Analisis_grupo!$C$4),""))</f>
        <v/>
      </c>
      <c r="N194" s="18" t="str">
        <f aca="false">IF($B194="","",IFERROR(SUMIFS(Datos_items!$Z:$Z,Datos_items!$B:$B,$B194,Datos_items!$O:$O,N$4,Datos_items!$E:$E,Analisis_grupo!$C$4)/COUNTIFS(Datos_items!$B:$B,$B194,Datos_items!$O:$O,N$4,Datos_items!$E:$E,Analisis_grupo!$C$4),""))</f>
        <v/>
      </c>
      <c r="O194" s="18" t="str">
        <f aca="false">IF($B194="","",IFERROR(SUMIFS(Datos_items!$Z:$Z,Datos_items!$B:$B,$B194,Datos_items!$O:$O,O$4,Datos_items!$E:$E,Analisis_grupo!$C$4)/COUNTIFS(Datos_items!$B:$B,$B194,Datos_items!$O:$O,O$4,Datos_items!$E:$E,Analisis_grupo!$C$4),""))</f>
        <v/>
      </c>
      <c r="P194" s="18" t="str">
        <f aca="false">IF($B194="","",IFERROR(SUMIFS(Datos_items!$Z:$Z,Datos_items!$B:$B,$B194,Datos_items!$O:$O,P$4,Datos_items!$E:$E,Analisis_grupo!$C$4)/COUNTIFS(Datos_items!$B:$B,$B194,Datos_items!$O:$O,P$4,Datos_items!$E:$E,Analisis_grupo!$C$4),""))</f>
        <v/>
      </c>
      <c r="Q194" s="18" t="str">
        <f aca="false">IF($B194="","",IFERROR(SUMIFS(Datos_items!$Z:$Z,Datos_items!$B:$B,$B194,Datos_items!$O:$O,Q$4,Datos_items!$E:$E,Analisis_grupo!$C$4)/COUNTIFS(Datos_items!$B:$B,$B194,Datos_items!$O:$O,Q$4,Datos_items!$E:$E,Analisis_grupo!$C$4),""))</f>
        <v/>
      </c>
      <c r="R194" s="2" t="str">
        <f aca="false">IF(COUNT(J194:Q194)=0,"",IF(MIN(J194:Q194)&gt;=Analisis_grupo!$B$7,"(ninguna)",INDEX($J$4:$Q$4,MATCH(MIN(J194:Q194),J194:Q194,0))))</f>
        <v/>
      </c>
      <c r="S194" s="2" t="str">
        <f aca="false">IF($B194="","",COUNTIF(J194:Q194,"&lt;"&amp;Analisis_grupo!$B$7))</f>
        <v/>
      </c>
      <c r="T194" s="2" t="str">
        <f aca="false">IF($B194="","",COUNTIFS(Datos_items!$B:$B,$B194,Datos_items!$AA:$AA,T$4,Datos_items!$E:$E,Analisis_grupo!$C$4))</f>
        <v/>
      </c>
      <c r="U194" s="2" t="str">
        <f aca="false">IF($B194="","",COUNTIFS(Datos_items!$B:$B,$B194,Datos_items!$AA:$AA,U$4,Datos_items!$E:$E,Analisis_grupo!$C$4))</f>
        <v/>
      </c>
      <c r="V194" s="2" t="str">
        <f aca="false">IF($B194="","",COUNTIFS(Datos_items!$B:$B,$B194,Datos_items!$AA:$AA,V$4,Datos_items!$E:$E,Analisis_grupo!$C$4))</f>
        <v/>
      </c>
      <c r="W194" s="2" t="str">
        <f aca="false">IF($B194="","",COUNTIFS(Datos_items!$B:$B,$B194,Datos_items!$AA:$AA,W$4,Datos_items!$E:$E,Analisis_grupo!$C$4))</f>
        <v/>
      </c>
      <c r="X194" s="2" t="str">
        <f aca="false">IF($B194="","",COUNTIFS(Datos_items!$B:$B,$B194,Datos_items!$AA:$AA,X$4,Datos_items!$E:$E,Analisis_grupo!$C$4))</f>
        <v/>
      </c>
      <c r="Y194" s="2" t="str">
        <f aca="false">IF($B194="","",COUNTIFS(Datos_items!$B:$B,$B194,Datos_items!$AA:$AA,Y$4,Datos_items!$E:$E,Analisis_grupo!$C$4))</f>
        <v/>
      </c>
      <c r="Z194" s="2" t="str">
        <f aca="false">IF($B194="","",COUNTIFS(Datos_items!$B:$B,$B194,Datos_items!$AA:$AA,Z$4,Datos_items!$E:$E,Analisis_grupo!$C$4))</f>
        <v/>
      </c>
      <c r="AA194" s="2" t="str">
        <f aca="false">IF($B194="","",COUNTIFS(Datos_items!$B:$B,$B194,Datos_items!$AA:$AA,AA$4,Datos_items!$E:$E,Analisis_grupo!$C$4))</f>
        <v/>
      </c>
      <c r="AB194" s="2" t="str">
        <f aca="false">IF($B194="","",COUNTIFS(Datos_items!$B:$B,$B194,Datos_items!$AA:$AA,AB$4,Datos_items!$E:$E,Analisis_grupo!$C$4))</f>
        <v/>
      </c>
      <c r="AC194" s="2" t="str">
        <f aca="false">IF($B194="","",COUNTIFS(Datos_items!$B:$B,$B194,Datos_items!$AA:$AA,AC$4,Datos_items!$E:$E,Analisis_grupo!$C$4))</f>
        <v/>
      </c>
      <c r="AD194" s="2" t="str">
        <f aca="false">IF($B194="","",COUNTIFS(Datos_items!$B:$B,$B194,Datos_items!$AA:$AA,AD$4,Datos_items!$E:$E,Analisis_grupo!$C$4))</f>
        <v/>
      </c>
      <c r="AE194" s="2" t="str">
        <f aca="false">IF($B194="","",COUNTIFS(Datos_items!$B:$B,$B194,Datos_items!$AA:$AA,AE$4,Datos_items!$E:$E,Analisis_grupo!$C$4))</f>
        <v/>
      </c>
      <c r="AF194" s="2" t="str">
        <f aca="false">IF($B194="","",COUNTIFS(Datos_items!$B:$B,$B194,Datos_items!$AA:$AA,AF$4,Datos_items!$E:$E,Analisis_grupo!$C$4))</f>
        <v/>
      </c>
      <c r="AG194" s="2" t="str">
        <f aca="false">IF($B194="","",COUNTIFS(Datos_items!$B:$B,$B194,Datos_items!$AA:$AA,AG$4,Datos_items!$E:$E,Analisis_grupo!$C$4))</f>
        <v/>
      </c>
      <c r="AH194" s="2" t="str">
        <f aca="false">IF($B194="","",COUNTIFS(Datos_items!$B:$B,$B194,Datos_items!$AA:$AA,AH$4,Datos_items!$E:$E,Analisis_grupo!$C$4))</f>
        <v/>
      </c>
      <c r="AI194" s="2" t="str">
        <f aca="false">IF($B194="","",COUNTIFS(Datos_items!$B:$B,$B194,Datos_items!$AA:$AA,AI$4,Datos_items!$E:$E,Analisis_grupo!$C$4))</f>
        <v/>
      </c>
      <c r="AJ194" s="2" t="str">
        <f aca="false">IF($B194="","",COUNTIFS(Datos_items!$B:$B,$B194,Datos_items!$AA:$AA,AJ$4,Datos_items!$E:$E,Analisis_grupo!$C$4))</f>
        <v/>
      </c>
      <c r="AK194" s="2" t="str">
        <f aca="false">IF($B194="","",COUNTIFS(Datos_items!$B:$B,$B194,Datos_items!$AA:$AA,AK$4,Datos_items!$E:$E,Analisis_grupo!$C$4))</f>
        <v/>
      </c>
      <c r="AL194" s="2" t="str">
        <f aca="false">IF($B194="","",COUNTIFS(Datos_items!$B:$B,$B194,Datos_items!$AA:$AA,AL$4,Datos_items!$E:$E,Analisis_grupo!$C$4))</f>
        <v/>
      </c>
      <c r="AM194" s="2" t="str">
        <f aca="false">IF($B194="","",IF(MAX(Y194:AL194)=0,"",INDEX($Y$4:$AL$4,MATCH(MAX(Y194:AL194),Y194:AL194,0))))</f>
        <v/>
      </c>
      <c r="AN194" s="2" t="str">
        <f aca="false">IF($B194="","",COUNTIFS(Datos_problemas!$B:$B,$B194,Datos_problemas!$F:$F,"Práctica"))</f>
        <v/>
      </c>
      <c r="AO194" s="2" t="str">
        <f aca="false">IF($B194="","",SUMIFS(Datos_problemas!$AQ:$AQ,Datos_problemas!$B:$B,$B194,Datos_problemas!$F:$F,"Práctica"))</f>
        <v/>
      </c>
      <c r="AP194" s="2" t="str">
        <f aca="false">IF($B194="","",COUNTIFS(Datos_problemas!$B:$B,$B194,Datos_problemas!$F:$F,"Práctica",Datos_problemas!$AS:$AS,"Sí"))</f>
        <v/>
      </c>
    </row>
    <row r="195" customFormat="false" ht="15" hidden="false" customHeight="false" outlineLevel="0" collapsed="false">
      <c r="A195" s="2" t="n">
        <v>191</v>
      </c>
      <c r="B195" s="2" t="str">
        <f aca="false">IFERROR(INDEX(Datos_problemas!$B:$B,MATCH($A195,Datos_problemas!$AV:$AV,0)),"")</f>
        <v/>
      </c>
      <c r="C195" s="2" t="str">
        <f aca="false">IF($B195="","",INDEX(Datos_problemas!$C:$C,MATCH($A195,Datos_problemas!$AV:$AV,0)))</f>
        <v/>
      </c>
      <c r="D195" s="2" t="str">
        <f aca="false">IF($B195="","",INDEX(Datos_problemas!$D:$D,MATCH($A195,Datos_problemas!$AV:$AV,0)))</f>
        <v/>
      </c>
      <c r="E195" s="2" t="str">
        <f aca="false">IF($B195="","",COUNTIFS(Datos_problemas!$B:$B,$B195,Datos_problemas!$F:$F,"Evaluación"))</f>
        <v/>
      </c>
      <c r="F195" s="20" t="str">
        <f aca="false">IF($B195="","",IFERROR(AVERAGEIFS(Datos_problemas!$AE:$AE,Datos_problemas!$B:$B,$B195,Datos_problemas!$F:$F,"Evaluación"),""))</f>
        <v/>
      </c>
      <c r="G195" s="20" t="str">
        <f aca="false">IF($B195="","",IFERROR(AVERAGEIFS(Datos_problemas!$AE:$AE,Datos_problemas!$B:$B,$B195,Datos_problemas!$F:$F,"Evaluación",Datos_problemas!$E:$E,"Diagnóstico"),""))</f>
        <v/>
      </c>
      <c r="H195" s="20" t="str">
        <f aca="false">IF($B195="","",IFERROR(AVERAGEIFS(Datos_problemas!$AE:$AE,Datos_problemas!$B:$B,$B195,Datos_problemas!$F:$F,"Evaluación",Datos_problemas!$E:$E,"Final"),""))</f>
        <v/>
      </c>
      <c r="I195" s="21" t="str">
        <f aca="false">IF(OR(G195="",H195=""),"",IF(G195&gt;=10,"",(H195-G195)/(10-G195)))</f>
        <v/>
      </c>
      <c r="J195" s="18" t="str">
        <f aca="false">IF($B195="","",IFERROR(SUMIFS(Datos_items!$Z:$Z,Datos_items!$B:$B,$B195,Datos_items!$O:$O,J$4,Datos_items!$E:$E,Analisis_grupo!$C$4)/COUNTIFS(Datos_items!$B:$B,$B195,Datos_items!$O:$O,J$4,Datos_items!$E:$E,Analisis_grupo!$C$4),""))</f>
        <v/>
      </c>
      <c r="K195" s="18" t="str">
        <f aca="false">IF($B195="","",IFERROR(SUMIFS(Datos_items!$Z:$Z,Datos_items!$B:$B,$B195,Datos_items!$O:$O,K$4,Datos_items!$E:$E,Analisis_grupo!$C$4)/COUNTIFS(Datos_items!$B:$B,$B195,Datos_items!$O:$O,K$4,Datos_items!$E:$E,Analisis_grupo!$C$4),""))</f>
        <v/>
      </c>
      <c r="L195" s="18" t="str">
        <f aca="false">IF($B195="","",IFERROR(SUMIFS(Datos_items!$Z:$Z,Datos_items!$B:$B,$B195,Datos_items!$O:$O,L$4,Datos_items!$E:$E,Analisis_grupo!$C$4)/COUNTIFS(Datos_items!$B:$B,$B195,Datos_items!$O:$O,L$4,Datos_items!$E:$E,Analisis_grupo!$C$4),""))</f>
        <v/>
      </c>
      <c r="M195" s="18" t="str">
        <f aca="false">IF($B195="","",IFERROR(SUMIFS(Datos_items!$Z:$Z,Datos_items!$B:$B,$B195,Datos_items!$O:$O,M$4,Datos_items!$E:$E,Analisis_grupo!$C$4)/COUNTIFS(Datos_items!$B:$B,$B195,Datos_items!$O:$O,M$4,Datos_items!$E:$E,Analisis_grupo!$C$4),""))</f>
        <v/>
      </c>
      <c r="N195" s="18" t="str">
        <f aca="false">IF($B195="","",IFERROR(SUMIFS(Datos_items!$Z:$Z,Datos_items!$B:$B,$B195,Datos_items!$O:$O,N$4,Datos_items!$E:$E,Analisis_grupo!$C$4)/COUNTIFS(Datos_items!$B:$B,$B195,Datos_items!$O:$O,N$4,Datos_items!$E:$E,Analisis_grupo!$C$4),""))</f>
        <v/>
      </c>
      <c r="O195" s="18" t="str">
        <f aca="false">IF($B195="","",IFERROR(SUMIFS(Datos_items!$Z:$Z,Datos_items!$B:$B,$B195,Datos_items!$O:$O,O$4,Datos_items!$E:$E,Analisis_grupo!$C$4)/COUNTIFS(Datos_items!$B:$B,$B195,Datos_items!$O:$O,O$4,Datos_items!$E:$E,Analisis_grupo!$C$4),""))</f>
        <v/>
      </c>
      <c r="P195" s="18" t="str">
        <f aca="false">IF($B195="","",IFERROR(SUMIFS(Datos_items!$Z:$Z,Datos_items!$B:$B,$B195,Datos_items!$O:$O,P$4,Datos_items!$E:$E,Analisis_grupo!$C$4)/COUNTIFS(Datos_items!$B:$B,$B195,Datos_items!$O:$O,P$4,Datos_items!$E:$E,Analisis_grupo!$C$4),""))</f>
        <v/>
      </c>
      <c r="Q195" s="18" t="str">
        <f aca="false">IF($B195="","",IFERROR(SUMIFS(Datos_items!$Z:$Z,Datos_items!$B:$B,$B195,Datos_items!$O:$O,Q$4,Datos_items!$E:$E,Analisis_grupo!$C$4)/COUNTIFS(Datos_items!$B:$B,$B195,Datos_items!$O:$O,Q$4,Datos_items!$E:$E,Analisis_grupo!$C$4),""))</f>
        <v/>
      </c>
      <c r="R195" s="2" t="str">
        <f aca="false">IF(COUNT(J195:Q195)=0,"",IF(MIN(J195:Q195)&gt;=Analisis_grupo!$B$7,"(ninguna)",INDEX($J$4:$Q$4,MATCH(MIN(J195:Q195),J195:Q195,0))))</f>
        <v/>
      </c>
      <c r="S195" s="2" t="str">
        <f aca="false">IF($B195="","",COUNTIF(J195:Q195,"&lt;"&amp;Analisis_grupo!$B$7))</f>
        <v/>
      </c>
      <c r="T195" s="2" t="str">
        <f aca="false">IF($B195="","",COUNTIFS(Datos_items!$B:$B,$B195,Datos_items!$AA:$AA,T$4,Datos_items!$E:$E,Analisis_grupo!$C$4))</f>
        <v/>
      </c>
      <c r="U195" s="2" t="str">
        <f aca="false">IF($B195="","",COUNTIFS(Datos_items!$B:$B,$B195,Datos_items!$AA:$AA,U$4,Datos_items!$E:$E,Analisis_grupo!$C$4))</f>
        <v/>
      </c>
      <c r="V195" s="2" t="str">
        <f aca="false">IF($B195="","",COUNTIFS(Datos_items!$B:$B,$B195,Datos_items!$AA:$AA,V$4,Datos_items!$E:$E,Analisis_grupo!$C$4))</f>
        <v/>
      </c>
      <c r="W195" s="2" t="str">
        <f aca="false">IF($B195="","",COUNTIFS(Datos_items!$B:$B,$B195,Datos_items!$AA:$AA,W$4,Datos_items!$E:$E,Analisis_grupo!$C$4))</f>
        <v/>
      </c>
      <c r="X195" s="2" t="str">
        <f aca="false">IF($B195="","",COUNTIFS(Datos_items!$B:$B,$B195,Datos_items!$AA:$AA,X$4,Datos_items!$E:$E,Analisis_grupo!$C$4))</f>
        <v/>
      </c>
      <c r="Y195" s="2" t="str">
        <f aca="false">IF($B195="","",COUNTIFS(Datos_items!$B:$B,$B195,Datos_items!$AA:$AA,Y$4,Datos_items!$E:$E,Analisis_grupo!$C$4))</f>
        <v/>
      </c>
      <c r="Z195" s="2" t="str">
        <f aca="false">IF($B195="","",COUNTIFS(Datos_items!$B:$B,$B195,Datos_items!$AA:$AA,Z$4,Datos_items!$E:$E,Analisis_grupo!$C$4))</f>
        <v/>
      </c>
      <c r="AA195" s="2" t="str">
        <f aca="false">IF($B195="","",COUNTIFS(Datos_items!$B:$B,$B195,Datos_items!$AA:$AA,AA$4,Datos_items!$E:$E,Analisis_grupo!$C$4))</f>
        <v/>
      </c>
      <c r="AB195" s="2" t="str">
        <f aca="false">IF($B195="","",COUNTIFS(Datos_items!$B:$B,$B195,Datos_items!$AA:$AA,AB$4,Datos_items!$E:$E,Analisis_grupo!$C$4))</f>
        <v/>
      </c>
      <c r="AC195" s="2" t="str">
        <f aca="false">IF($B195="","",COUNTIFS(Datos_items!$B:$B,$B195,Datos_items!$AA:$AA,AC$4,Datos_items!$E:$E,Analisis_grupo!$C$4))</f>
        <v/>
      </c>
      <c r="AD195" s="2" t="str">
        <f aca="false">IF($B195="","",COUNTIFS(Datos_items!$B:$B,$B195,Datos_items!$AA:$AA,AD$4,Datos_items!$E:$E,Analisis_grupo!$C$4))</f>
        <v/>
      </c>
      <c r="AE195" s="2" t="str">
        <f aca="false">IF($B195="","",COUNTIFS(Datos_items!$B:$B,$B195,Datos_items!$AA:$AA,AE$4,Datos_items!$E:$E,Analisis_grupo!$C$4))</f>
        <v/>
      </c>
      <c r="AF195" s="2" t="str">
        <f aca="false">IF($B195="","",COUNTIFS(Datos_items!$B:$B,$B195,Datos_items!$AA:$AA,AF$4,Datos_items!$E:$E,Analisis_grupo!$C$4))</f>
        <v/>
      </c>
      <c r="AG195" s="2" t="str">
        <f aca="false">IF($B195="","",COUNTIFS(Datos_items!$B:$B,$B195,Datos_items!$AA:$AA,AG$4,Datos_items!$E:$E,Analisis_grupo!$C$4))</f>
        <v/>
      </c>
      <c r="AH195" s="2" t="str">
        <f aca="false">IF($B195="","",COUNTIFS(Datos_items!$B:$B,$B195,Datos_items!$AA:$AA,AH$4,Datos_items!$E:$E,Analisis_grupo!$C$4))</f>
        <v/>
      </c>
      <c r="AI195" s="2" t="str">
        <f aca="false">IF($B195="","",COUNTIFS(Datos_items!$B:$B,$B195,Datos_items!$AA:$AA,AI$4,Datos_items!$E:$E,Analisis_grupo!$C$4))</f>
        <v/>
      </c>
      <c r="AJ195" s="2" t="str">
        <f aca="false">IF($B195="","",COUNTIFS(Datos_items!$B:$B,$B195,Datos_items!$AA:$AA,AJ$4,Datos_items!$E:$E,Analisis_grupo!$C$4))</f>
        <v/>
      </c>
      <c r="AK195" s="2" t="str">
        <f aca="false">IF($B195="","",COUNTIFS(Datos_items!$B:$B,$B195,Datos_items!$AA:$AA,AK$4,Datos_items!$E:$E,Analisis_grupo!$C$4))</f>
        <v/>
      </c>
      <c r="AL195" s="2" t="str">
        <f aca="false">IF($B195="","",COUNTIFS(Datos_items!$B:$B,$B195,Datos_items!$AA:$AA,AL$4,Datos_items!$E:$E,Analisis_grupo!$C$4))</f>
        <v/>
      </c>
      <c r="AM195" s="2" t="str">
        <f aca="false">IF($B195="","",IF(MAX(Y195:AL195)=0,"",INDEX($Y$4:$AL$4,MATCH(MAX(Y195:AL195),Y195:AL195,0))))</f>
        <v/>
      </c>
      <c r="AN195" s="2" t="str">
        <f aca="false">IF($B195="","",COUNTIFS(Datos_problemas!$B:$B,$B195,Datos_problemas!$F:$F,"Práctica"))</f>
        <v/>
      </c>
      <c r="AO195" s="2" t="str">
        <f aca="false">IF($B195="","",SUMIFS(Datos_problemas!$AQ:$AQ,Datos_problemas!$B:$B,$B195,Datos_problemas!$F:$F,"Práctica"))</f>
        <v/>
      </c>
      <c r="AP195" s="2" t="str">
        <f aca="false">IF($B195="","",COUNTIFS(Datos_problemas!$B:$B,$B195,Datos_problemas!$F:$F,"Práctica",Datos_problemas!$AS:$AS,"Sí"))</f>
        <v/>
      </c>
    </row>
    <row r="196" customFormat="false" ht="15" hidden="false" customHeight="false" outlineLevel="0" collapsed="false">
      <c r="A196" s="2" t="n">
        <v>192</v>
      </c>
      <c r="B196" s="2" t="str">
        <f aca="false">IFERROR(INDEX(Datos_problemas!$B:$B,MATCH($A196,Datos_problemas!$AV:$AV,0)),"")</f>
        <v/>
      </c>
      <c r="C196" s="2" t="str">
        <f aca="false">IF($B196="","",INDEX(Datos_problemas!$C:$C,MATCH($A196,Datos_problemas!$AV:$AV,0)))</f>
        <v/>
      </c>
      <c r="D196" s="2" t="str">
        <f aca="false">IF($B196="","",INDEX(Datos_problemas!$D:$D,MATCH($A196,Datos_problemas!$AV:$AV,0)))</f>
        <v/>
      </c>
      <c r="E196" s="2" t="str">
        <f aca="false">IF($B196="","",COUNTIFS(Datos_problemas!$B:$B,$B196,Datos_problemas!$F:$F,"Evaluación"))</f>
        <v/>
      </c>
      <c r="F196" s="20" t="str">
        <f aca="false">IF($B196="","",IFERROR(AVERAGEIFS(Datos_problemas!$AE:$AE,Datos_problemas!$B:$B,$B196,Datos_problemas!$F:$F,"Evaluación"),""))</f>
        <v/>
      </c>
      <c r="G196" s="20" t="str">
        <f aca="false">IF($B196="","",IFERROR(AVERAGEIFS(Datos_problemas!$AE:$AE,Datos_problemas!$B:$B,$B196,Datos_problemas!$F:$F,"Evaluación",Datos_problemas!$E:$E,"Diagnóstico"),""))</f>
        <v/>
      </c>
      <c r="H196" s="20" t="str">
        <f aca="false">IF($B196="","",IFERROR(AVERAGEIFS(Datos_problemas!$AE:$AE,Datos_problemas!$B:$B,$B196,Datos_problemas!$F:$F,"Evaluación",Datos_problemas!$E:$E,"Final"),""))</f>
        <v/>
      </c>
      <c r="I196" s="21" t="str">
        <f aca="false">IF(OR(G196="",H196=""),"",IF(G196&gt;=10,"",(H196-G196)/(10-G196)))</f>
        <v/>
      </c>
      <c r="J196" s="18" t="str">
        <f aca="false">IF($B196="","",IFERROR(SUMIFS(Datos_items!$Z:$Z,Datos_items!$B:$B,$B196,Datos_items!$O:$O,J$4,Datos_items!$E:$E,Analisis_grupo!$C$4)/COUNTIFS(Datos_items!$B:$B,$B196,Datos_items!$O:$O,J$4,Datos_items!$E:$E,Analisis_grupo!$C$4),""))</f>
        <v/>
      </c>
      <c r="K196" s="18" t="str">
        <f aca="false">IF($B196="","",IFERROR(SUMIFS(Datos_items!$Z:$Z,Datos_items!$B:$B,$B196,Datos_items!$O:$O,K$4,Datos_items!$E:$E,Analisis_grupo!$C$4)/COUNTIFS(Datos_items!$B:$B,$B196,Datos_items!$O:$O,K$4,Datos_items!$E:$E,Analisis_grupo!$C$4),""))</f>
        <v/>
      </c>
      <c r="L196" s="18" t="str">
        <f aca="false">IF($B196="","",IFERROR(SUMIFS(Datos_items!$Z:$Z,Datos_items!$B:$B,$B196,Datos_items!$O:$O,L$4,Datos_items!$E:$E,Analisis_grupo!$C$4)/COUNTIFS(Datos_items!$B:$B,$B196,Datos_items!$O:$O,L$4,Datos_items!$E:$E,Analisis_grupo!$C$4),""))</f>
        <v/>
      </c>
      <c r="M196" s="18" t="str">
        <f aca="false">IF($B196="","",IFERROR(SUMIFS(Datos_items!$Z:$Z,Datos_items!$B:$B,$B196,Datos_items!$O:$O,M$4,Datos_items!$E:$E,Analisis_grupo!$C$4)/COUNTIFS(Datos_items!$B:$B,$B196,Datos_items!$O:$O,M$4,Datos_items!$E:$E,Analisis_grupo!$C$4),""))</f>
        <v/>
      </c>
      <c r="N196" s="18" t="str">
        <f aca="false">IF($B196="","",IFERROR(SUMIFS(Datos_items!$Z:$Z,Datos_items!$B:$B,$B196,Datos_items!$O:$O,N$4,Datos_items!$E:$E,Analisis_grupo!$C$4)/COUNTIFS(Datos_items!$B:$B,$B196,Datos_items!$O:$O,N$4,Datos_items!$E:$E,Analisis_grupo!$C$4),""))</f>
        <v/>
      </c>
      <c r="O196" s="18" t="str">
        <f aca="false">IF($B196="","",IFERROR(SUMIFS(Datos_items!$Z:$Z,Datos_items!$B:$B,$B196,Datos_items!$O:$O,O$4,Datos_items!$E:$E,Analisis_grupo!$C$4)/COUNTIFS(Datos_items!$B:$B,$B196,Datos_items!$O:$O,O$4,Datos_items!$E:$E,Analisis_grupo!$C$4),""))</f>
        <v/>
      </c>
      <c r="P196" s="18" t="str">
        <f aca="false">IF($B196="","",IFERROR(SUMIFS(Datos_items!$Z:$Z,Datos_items!$B:$B,$B196,Datos_items!$O:$O,P$4,Datos_items!$E:$E,Analisis_grupo!$C$4)/COUNTIFS(Datos_items!$B:$B,$B196,Datos_items!$O:$O,P$4,Datos_items!$E:$E,Analisis_grupo!$C$4),""))</f>
        <v/>
      </c>
      <c r="Q196" s="18" t="str">
        <f aca="false">IF($B196="","",IFERROR(SUMIFS(Datos_items!$Z:$Z,Datos_items!$B:$B,$B196,Datos_items!$O:$O,Q$4,Datos_items!$E:$E,Analisis_grupo!$C$4)/COUNTIFS(Datos_items!$B:$B,$B196,Datos_items!$O:$O,Q$4,Datos_items!$E:$E,Analisis_grupo!$C$4),""))</f>
        <v/>
      </c>
      <c r="R196" s="2" t="str">
        <f aca="false">IF(COUNT(J196:Q196)=0,"",IF(MIN(J196:Q196)&gt;=Analisis_grupo!$B$7,"(ninguna)",INDEX($J$4:$Q$4,MATCH(MIN(J196:Q196),J196:Q196,0))))</f>
        <v/>
      </c>
      <c r="S196" s="2" t="str">
        <f aca="false">IF($B196="","",COUNTIF(J196:Q196,"&lt;"&amp;Analisis_grupo!$B$7))</f>
        <v/>
      </c>
      <c r="T196" s="2" t="str">
        <f aca="false">IF($B196="","",COUNTIFS(Datos_items!$B:$B,$B196,Datos_items!$AA:$AA,T$4,Datos_items!$E:$E,Analisis_grupo!$C$4))</f>
        <v/>
      </c>
      <c r="U196" s="2" t="str">
        <f aca="false">IF($B196="","",COUNTIFS(Datos_items!$B:$B,$B196,Datos_items!$AA:$AA,U$4,Datos_items!$E:$E,Analisis_grupo!$C$4))</f>
        <v/>
      </c>
      <c r="V196" s="2" t="str">
        <f aca="false">IF($B196="","",COUNTIFS(Datos_items!$B:$B,$B196,Datos_items!$AA:$AA,V$4,Datos_items!$E:$E,Analisis_grupo!$C$4))</f>
        <v/>
      </c>
      <c r="W196" s="2" t="str">
        <f aca="false">IF($B196="","",COUNTIFS(Datos_items!$B:$B,$B196,Datos_items!$AA:$AA,W$4,Datos_items!$E:$E,Analisis_grupo!$C$4))</f>
        <v/>
      </c>
      <c r="X196" s="2" t="str">
        <f aca="false">IF($B196="","",COUNTIFS(Datos_items!$B:$B,$B196,Datos_items!$AA:$AA,X$4,Datos_items!$E:$E,Analisis_grupo!$C$4))</f>
        <v/>
      </c>
      <c r="Y196" s="2" t="str">
        <f aca="false">IF($B196="","",COUNTIFS(Datos_items!$B:$B,$B196,Datos_items!$AA:$AA,Y$4,Datos_items!$E:$E,Analisis_grupo!$C$4))</f>
        <v/>
      </c>
      <c r="Z196" s="2" t="str">
        <f aca="false">IF($B196="","",COUNTIFS(Datos_items!$B:$B,$B196,Datos_items!$AA:$AA,Z$4,Datos_items!$E:$E,Analisis_grupo!$C$4))</f>
        <v/>
      </c>
      <c r="AA196" s="2" t="str">
        <f aca="false">IF($B196="","",COUNTIFS(Datos_items!$B:$B,$B196,Datos_items!$AA:$AA,AA$4,Datos_items!$E:$E,Analisis_grupo!$C$4))</f>
        <v/>
      </c>
      <c r="AB196" s="2" t="str">
        <f aca="false">IF($B196="","",COUNTIFS(Datos_items!$B:$B,$B196,Datos_items!$AA:$AA,AB$4,Datos_items!$E:$E,Analisis_grupo!$C$4))</f>
        <v/>
      </c>
      <c r="AC196" s="2" t="str">
        <f aca="false">IF($B196="","",COUNTIFS(Datos_items!$B:$B,$B196,Datos_items!$AA:$AA,AC$4,Datos_items!$E:$E,Analisis_grupo!$C$4))</f>
        <v/>
      </c>
      <c r="AD196" s="2" t="str">
        <f aca="false">IF($B196="","",COUNTIFS(Datos_items!$B:$B,$B196,Datos_items!$AA:$AA,AD$4,Datos_items!$E:$E,Analisis_grupo!$C$4))</f>
        <v/>
      </c>
      <c r="AE196" s="2" t="str">
        <f aca="false">IF($B196="","",COUNTIFS(Datos_items!$B:$B,$B196,Datos_items!$AA:$AA,AE$4,Datos_items!$E:$E,Analisis_grupo!$C$4))</f>
        <v/>
      </c>
      <c r="AF196" s="2" t="str">
        <f aca="false">IF($B196="","",COUNTIFS(Datos_items!$B:$B,$B196,Datos_items!$AA:$AA,AF$4,Datos_items!$E:$E,Analisis_grupo!$C$4))</f>
        <v/>
      </c>
      <c r="AG196" s="2" t="str">
        <f aca="false">IF($B196="","",COUNTIFS(Datos_items!$B:$B,$B196,Datos_items!$AA:$AA,AG$4,Datos_items!$E:$E,Analisis_grupo!$C$4))</f>
        <v/>
      </c>
      <c r="AH196" s="2" t="str">
        <f aca="false">IF($B196="","",COUNTIFS(Datos_items!$B:$B,$B196,Datos_items!$AA:$AA,AH$4,Datos_items!$E:$E,Analisis_grupo!$C$4))</f>
        <v/>
      </c>
      <c r="AI196" s="2" t="str">
        <f aca="false">IF($B196="","",COUNTIFS(Datos_items!$B:$B,$B196,Datos_items!$AA:$AA,AI$4,Datos_items!$E:$E,Analisis_grupo!$C$4))</f>
        <v/>
      </c>
      <c r="AJ196" s="2" t="str">
        <f aca="false">IF($B196="","",COUNTIFS(Datos_items!$B:$B,$B196,Datos_items!$AA:$AA,AJ$4,Datos_items!$E:$E,Analisis_grupo!$C$4))</f>
        <v/>
      </c>
      <c r="AK196" s="2" t="str">
        <f aca="false">IF($B196="","",COUNTIFS(Datos_items!$B:$B,$B196,Datos_items!$AA:$AA,AK$4,Datos_items!$E:$E,Analisis_grupo!$C$4))</f>
        <v/>
      </c>
      <c r="AL196" s="2" t="str">
        <f aca="false">IF($B196="","",COUNTIFS(Datos_items!$B:$B,$B196,Datos_items!$AA:$AA,AL$4,Datos_items!$E:$E,Analisis_grupo!$C$4))</f>
        <v/>
      </c>
      <c r="AM196" s="2" t="str">
        <f aca="false">IF($B196="","",IF(MAX(Y196:AL196)=0,"",INDEX($Y$4:$AL$4,MATCH(MAX(Y196:AL196),Y196:AL196,0))))</f>
        <v/>
      </c>
      <c r="AN196" s="2" t="str">
        <f aca="false">IF($B196="","",COUNTIFS(Datos_problemas!$B:$B,$B196,Datos_problemas!$F:$F,"Práctica"))</f>
        <v/>
      </c>
      <c r="AO196" s="2" t="str">
        <f aca="false">IF($B196="","",SUMIFS(Datos_problemas!$AQ:$AQ,Datos_problemas!$B:$B,$B196,Datos_problemas!$F:$F,"Práctica"))</f>
        <v/>
      </c>
      <c r="AP196" s="2" t="str">
        <f aca="false">IF($B196="","",COUNTIFS(Datos_problemas!$B:$B,$B196,Datos_problemas!$F:$F,"Práctica",Datos_problemas!$AS:$AS,"Sí"))</f>
        <v/>
      </c>
    </row>
    <row r="197" customFormat="false" ht="15" hidden="false" customHeight="false" outlineLevel="0" collapsed="false">
      <c r="A197" s="2" t="n">
        <v>193</v>
      </c>
      <c r="B197" s="2" t="str">
        <f aca="false">IFERROR(INDEX(Datos_problemas!$B:$B,MATCH($A197,Datos_problemas!$AV:$AV,0)),"")</f>
        <v/>
      </c>
      <c r="C197" s="2" t="str">
        <f aca="false">IF($B197="","",INDEX(Datos_problemas!$C:$C,MATCH($A197,Datos_problemas!$AV:$AV,0)))</f>
        <v/>
      </c>
      <c r="D197" s="2" t="str">
        <f aca="false">IF($B197="","",INDEX(Datos_problemas!$D:$D,MATCH($A197,Datos_problemas!$AV:$AV,0)))</f>
        <v/>
      </c>
      <c r="E197" s="2" t="str">
        <f aca="false">IF($B197="","",COUNTIFS(Datos_problemas!$B:$B,$B197,Datos_problemas!$F:$F,"Evaluación"))</f>
        <v/>
      </c>
      <c r="F197" s="20" t="str">
        <f aca="false">IF($B197="","",IFERROR(AVERAGEIFS(Datos_problemas!$AE:$AE,Datos_problemas!$B:$B,$B197,Datos_problemas!$F:$F,"Evaluación"),""))</f>
        <v/>
      </c>
      <c r="G197" s="20" t="str">
        <f aca="false">IF($B197="","",IFERROR(AVERAGEIFS(Datos_problemas!$AE:$AE,Datos_problemas!$B:$B,$B197,Datos_problemas!$F:$F,"Evaluación",Datos_problemas!$E:$E,"Diagnóstico"),""))</f>
        <v/>
      </c>
      <c r="H197" s="20" t="str">
        <f aca="false">IF($B197="","",IFERROR(AVERAGEIFS(Datos_problemas!$AE:$AE,Datos_problemas!$B:$B,$B197,Datos_problemas!$F:$F,"Evaluación",Datos_problemas!$E:$E,"Final"),""))</f>
        <v/>
      </c>
      <c r="I197" s="21" t="str">
        <f aca="false">IF(OR(G197="",H197=""),"",IF(G197&gt;=10,"",(H197-G197)/(10-G197)))</f>
        <v/>
      </c>
      <c r="J197" s="18" t="str">
        <f aca="false">IF($B197="","",IFERROR(SUMIFS(Datos_items!$Z:$Z,Datos_items!$B:$B,$B197,Datos_items!$O:$O,J$4,Datos_items!$E:$E,Analisis_grupo!$C$4)/COUNTIFS(Datos_items!$B:$B,$B197,Datos_items!$O:$O,J$4,Datos_items!$E:$E,Analisis_grupo!$C$4),""))</f>
        <v/>
      </c>
      <c r="K197" s="18" t="str">
        <f aca="false">IF($B197="","",IFERROR(SUMIFS(Datos_items!$Z:$Z,Datos_items!$B:$B,$B197,Datos_items!$O:$O,K$4,Datos_items!$E:$E,Analisis_grupo!$C$4)/COUNTIFS(Datos_items!$B:$B,$B197,Datos_items!$O:$O,K$4,Datos_items!$E:$E,Analisis_grupo!$C$4),""))</f>
        <v/>
      </c>
      <c r="L197" s="18" t="str">
        <f aca="false">IF($B197="","",IFERROR(SUMIFS(Datos_items!$Z:$Z,Datos_items!$B:$B,$B197,Datos_items!$O:$O,L$4,Datos_items!$E:$E,Analisis_grupo!$C$4)/COUNTIFS(Datos_items!$B:$B,$B197,Datos_items!$O:$O,L$4,Datos_items!$E:$E,Analisis_grupo!$C$4),""))</f>
        <v/>
      </c>
      <c r="M197" s="18" t="str">
        <f aca="false">IF($B197="","",IFERROR(SUMIFS(Datos_items!$Z:$Z,Datos_items!$B:$B,$B197,Datos_items!$O:$O,M$4,Datos_items!$E:$E,Analisis_grupo!$C$4)/COUNTIFS(Datos_items!$B:$B,$B197,Datos_items!$O:$O,M$4,Datos_items!$E:$E,Analisis_grupo!$C$4),""))</f>
        <v/>
      </c>
      <c r="N197" s="18" t="str">
        <f aca="false">IF($B197="","",IFERROR(SUMIFS(Datos_items!$Z:$Z,Datos_items!$B:$B,$B197,Datos_items!$O:$O,N$4,Datos_items!$E:$E,Analisis_grupo!$C$4)/COUNTIFS(Datos_items!$B:$B,$B197,Datos_items!$O:$O,N$4,Datos_items!$E:$E,Analisis_grupo!$C$4),""))</f>
        <v/>
      </c>
      <c r="O197" s="18" t="str">
        <f aca="false">IF($B197="","",IFERROR(SUMIFS(Datos_items!$Z:$Z,Datos_items!$B:$B,$B197,Datos_items!$O:$O,O$4,Datos_items!$E:$E,Analisis_grupo!$C$4)/COUNTIFS(Datos_items!$B:$B,$B197,Datos_items!$O:$O,O$4,Datos_items!$E:$E,Analisis_grupo!$C$4),""))</f>
        <v/>
      </c>
      <c r="P197" s="18" t="str">
        <f aca="false">IF($B197="","",IFERROR(SUMIFS(Datos_items!$Z:$Z,Datos_items!$B:$B,$B197,Datos_items!$O:$O,P$4,Datos_items!$E:$E,Analisis_grupo!$C$4)/COUNTIFS(Datos_items!$B:$B,$B197,Datos_items!$O:$O,P$4,Datos_items!$E:$E,Analisis_grupo!$C$4),""))</f>
        <v/>
      </c>
      <c r="Q197" s="18" t="str">
        <f aca="false">IF($B197="","",IFERROR(SUMIFS(Datos_items!$Z:$Z,Datos_items!$B:$B,$B197,Datos_items!$O:$O,Q$4,Datos_items!$E:$E,Analisis_grupo!$C$4)/COUNTIFS(Datos_items!$B:$B,$B197,Datos_items!$O:$O,Q$4,Datos_items!$E:$E,Analisis_grupo!$C$4),""))</f>
        <v/>
      </c>
      <c r="R197" s="2" t="str">
        <f aca="false">IF(COUNT(J197:Q197)=0,"",IF(MIN(J197:Q197)&gt;=Analisis_grupo!$B$7,"(ninguna)",INDEX($J$4:$Q$4,MATCH(MIN(J197:Q197),J197:Q197,0))))</f>
        <v/>
      </c>
      <c r="S197" s="2" t="str">
        <f aca="false">IF($B197="","",COUNTIF(J197:Q197,"&lt;"&amp;Analisis_grupo!$B$7))</f>
        <v/>
      </c>
      <c r="T197" s="2" t="str">
        <f aca="false">IF($B197="","",COUNTIFS(Datos_items!$B:$B,$B197,Datos_items!$AA:$AA,T$4,Datos_items!$E:$E,Analisis_grupo!$C$4))</f>
        <v/>
      </c>
      <c r="U197" s="2" t="str">
        <f aca="false">IF($B197="","",COUNTIFS(Datos_items!$B:$B,$B197,Datos_items!$AA:$AA,U$4,Datos_items!$E:$E,Analisis_grupo!$C$4))</f>
        <v/>
      </c>
      <c r="V197" s="2" t="str">
        <f aca="false">IF($B197="","",COUNTIFS(Datos_items!$B:$B,$B197,Datos_items!$AA:$AA,V$4,Datos_items!$E:$E,Analisis_grupo!$C$4))</f>
        <v/>
      </c>
      <c r="W197" s="2" t="str">
        <f aca="false">IF($B197="","",COUNTIFS(Datos_items!$B:$B,$B197,Datos_items!$AA:$AA,W$4,Datos_items!$E:$E,Analisis_grupo!$C$4))</f>
        <v/>
      </c>
      <c r="X197" s="2" t="str">
        <f aca="false">IF($B197="","",COUNTIFS(Datos_items!$B:$B,$B197,Datos_items!$AA:$AA,X$4,Datos_items!$E:$E,Analisis_grupo!$C$4))</f>
        <v/>
      </c>
      <c r="Y197" s="2" t="str">
        <f aca="false">IF($B197="","",COUNTIFS(Datos_items!$B:$B,$B197,Datos_items!$AA:$AA,Y$4,Datos_items!$E:$E,Analisis_grupo!$C$4))</f>
        <v/>
      </c>
      <c r="Z197" s="2" t="str">
        <f aca="false">IF($B197="","",COUNTIFS(Datos_items!$B:$B,$B197,Datos_items!$AA:$AA,Z$4,Datos_items!$E:$E,Analisis_grupo!$C$4))</f>
        <v/>
      </c>
      <c r="AA197" s="2" t="str">
        <f aca="false">IF($B197="","",COUNTIFS(Datos_items!$B:$B,$B197,Datos_items!$AA:$AA,AA$4,Datos_items!$E:$E,Analisis_grupo!$C$4))</f>
        <v/>
      </c>
      <c r="AB197" s="2" t="str">
        <f aca="false">IF($B197="","",COUNTIFS(Datos_items!$B:$B,$B197,Datos_items!$AA:$AA,AB$4,Datos_items!$E:$E,Analisis_grupo!$C$4))</f>
        <v/>
      </c>
      <c r="AC197" s="2" t="str">
        <f aca="false">IF($B197="","",COUNTIFS(Datos_items!$B:$B,$B197,Datos_items!$AA:$AA,AC$4,Datos_items!$E:$E,Analisis_grupo!$C$4))</f>
        <v/>
      </c>
      <c r="AD197" s="2" t="str">
        <f aca="false">IF($B197="","",COUNTIFS(Datos_items!$B:$B,$B197,Datos_items!$AA:$AA,AD$4,Datos_items!$E:$E,Analisis_grupo!$C$4))</f>
        <v/>
      </c>
      <c r="AE197" s="2" t="str">
        <f aca="false">IF($B197="","",COUNTIFS(Datos_items!$B:$B,$B197,Datos_items!$AA:$AA,AE$4,Datos_items!$E:$E,Analisis_grupo!$C$4))</f>
        <v/>
      </c>
      <c r="AF197" s="2" t="str">
        <f aca="false">IF($B197="","",COUNTIFS(Datos_items!$B:$B,$B197,Datos_items!$AA:$AA,AF$4,Datos_items!$E:$E,Analisis_grupo!$C$4))</f>
        <v/>
      </c>
      <c r="AG197" s="2" t="str">
        <f aca="false">IF($B197="","",COUNTIFS(Datos_items!$B:$B,$B197,Datos_items!$AA:$AA,AG$4,Datos_items!$E:$E,Analisis_grupo!$C$4))</f>
        <v/>
      </c>
      <c r="AH197" s="2" t="str">
        <f aca="false">IF($B197="","",COUNTIFS(Datos_items!$B:$B,$B197,Datos_items!$AA:$AA,AH$4,Datos_items!$E:$E,Analisis_grupo!$C$4))</f>
        <v/>
      </c>
      <c r="AI197" s="2" t="str">
        <f aca="false">IF($B197="","",COUNTIFS(Datos_items!$B:$B,$B197,Datos_items!$AA:$AA,AI$4,Datos_items!$E:$E,Analisis_grupo!$C$4))</f>
        <v/>
      </c>
      <c r="AJ197" s="2" t="str">
        <f aca="false">IF($B197="","",COUNTIFS(Datos_items!$B:$B,$B197,Datos_items!$AA:$AA,AJ$4,Datos_items!$E:$E,Analisis_grupo!$C$4))</f>
        <v/>
      </c>
      <c r="AK197" s="2" t="str">
        <f aca="false">IF($B197="","",COUNTIFS(Datos_items!$B:$B,$B197,Datos_items!$AA:$AA,AK$4,Datos_items!$E:$E,Analisis_grupo!$C$4))</f>
        <v/>
      </c>
      <c r="AL197" s="2" t="str">
        <f aca="false">IF($B197="","",COUNTIFS(Datos_items!$B:$B,$B197,Datos_items!$AA:$AA,AL$4,Datos_items!$E:$E,Analisis_grupo!$C$4))</f>
        <v/>
      </c>
      <c r="AM197" s="2" t="str">
        <f aca="false">IF($B197="","",IF(MAX(Y197:AL197)=0,"",INDEX($Y$4:$AL$4,MATCH(MAX(Y197:AL197),Y197:AL197,0))))</f>
        <v/>
      </c>
      <c r="AN197" s="2" t="str">
        <f aca="false">IF($B197="","",COUNTIFS(Datos_problemas!$B:$B,$B197,Datos_problemas!$F:$F,"Práctica"))</f>
        <v/>
      </c>
      <c r="AO197" s="2" t="str">
        <f aca="false">IF($B197="","",SUMIFS(Datos_problemas!$AQ:$AQ,Datos_problemas!$B:$B,$B197,Datos_problemas!$F:$F,"Práctica"))</f>
        <v/>
      </c>
      <c r="AP197" s="2" t="str">
        <f aca="false">IF($B197="","",COUNTIFS(Datos_problemas!$B:$B,$B197,Datos_problemas!$F:$F,"Práctica",Datos_problemas!$AS:$AS,"Sí"))</f>
        <v/>
      </c>
    </row>
    <row r="198" customFormat="false" ht="15" hidden="false" customHeight="false" outlineLevel="0" collapsed="false">
      <c r="A198" s="2" t="n">
        <v>194</v>
      </c>
      <c r="B198" s="2" t="str">
        <f aca="false">IFERROR(INDEX(Datos_problemas!$B:$B,MATCH($A198,Datos_problemas!$AV:$AV,0)),"")</f>
        <v/>
      </c>
      <c r="C198" s="2" t="str">
        <f aca="false">IF($B198="","",INDEX(Datos_problemas!$C:$C,MATCH($A198,Datos_problemas!$AV:$AV,0)))</f>
        <v/>
      </c>
      <c r="D198" s="2" t="str">
        <f aca="false">IF($B198="","",INDEX(Datos_problemas!$D:$D,MATCH($A198,Datos_problemas!$AV:$AV,0)))</f>
        <v/>
      </c>
      <c r="E198" s="2" t="str">
        <f aca="false">IF($B198="","",COUNTIFS(Datos_problemas!$B:$B,$B198,Datos_problemas!$F:$F,"Evaluación"))</f>
        <v/>
      </c>
      <c r="F198" s="20" t="str">
        <f aca="false">IF($B198="","",IFERROR(AVERAGEIFS(Datos_problemas!$AE:$AE,Datos_problemas!$B:$B,$B198,Datos_problemas!$F:$F,"Evaluación"),""))</f>
        <v/>
      </c>
      <c r="G198" s="20" t="str">
        <f aca="false">IF($B198="","",IFERROR(AVERAGEIFS(Datos_problemas!$AE:$AE,Datos_problemas!$B:$B,$B198,Datos_problemas!$F:$F,"Evaluación",Datos_problemas!$E:$E,"Diagnóstico"),""))</f>
        <v/>
      </c>
      <c r="H198" s="20" t="str">
        <f aca="false">IF($B198="","",IFERROR(AVERAGEIFS(Datos_problemas!$AE:$AE,Datos_problemas!$B:$B,$B198,Datos_problemas!$F:$F,"Evaluación",Datos_problemas!$E:$E,"Final"),""))</f>
        <v/>
      </c>
      <c r="I198" s="21" t="str">
        <f aca="false">IF(OR(G198="",H198=""),"",IF(G198&gt;=10,"",(H198-G198)/(10-G198)))</f>
        <v/>
      </c>
      <c r="J198" s="18" t="str">
        <f aca="false">IF($B198="","",IFERROR(SUMIFS(Datos_items!$Z:$Z,Datos_items!$B:$B,$B198,Datos_items!$O:$O,J$4,Datos_items!$E:$E,Analisis_grupo!$C$4)/COUNTIFS(Datos_items!$B:$B,$B198,Datos_items!$O:$O,J$4,Datos_items!$E:$E,Analisis_grupo!$C$4),""))</f>
        <v/>
      </c>
      <c r="K198" s="18" t="str">
        <f aca="false">IF($B198="","",IFERROR(SUMIFS(Datos_items!$Z:$Z,Datos_items!$B:$B,$B198,Datos_items!$O:$O,K$4,Datos_items!$E:$E,Analisis_grupo!$C$4)/COUNTIFS(Datos_items!$B:$B,$B198,Datos_items!$O:$O,K$4,Datos_items!$E:$E,Analisis_grupo!$C$4),""))</f>
        <v/>
      </c>
      <c r="L198" s="18" t="str">
        <f aca="false">IF($B198="","",IFERROR(SUMIFS(Datos_items!$Z:$Z,Datos_items!$B:$B,$B198,Datos_items!$O:$O,L$4,Datos_items!$E:$E,Analisis_grupo!$C$4)/COUNTIFS(Datos_items!$B:$B,$B198,Datos_items!$O:$O,L$4,Datos_items!$E:$E,Analisis_grupo!$C$4),""))</f>
        <v/>
      </c>
      <c r="M198" s="18" t="str">
        <f aca="false">IF($B198="","",IFERROR(SUMIFS(Datos_items!$Z:$Z,Datos_items!$B:$B,$B198,Datos_items!$O:$O,M$4,Datos_items!$E:$E,Analisis_grupo!$C$4)/COUNTIFS(Datos_items!$B:$B,$B198,Datos_items!$O:$O,M$4,Datos_items!$E:$E,Analisis_grupo!$C$4),""))</f>
        <v/>
      </c>
      <c r="N198" s="18" t="str">
        <f aca="false">IF($B198="","",IFERROR(SUMIFS(Datos_items!$Z:$Z,Datos_items!$B:$B,$B198,Datos_items!$O:$O,N$4,Datos_items!$E:$E,Analisis_grupo!$C$4)/COUNTIFS(Datos_items!$B:$B,$B198,Datos_items!$O:$O,N$4,Datos_items!$E:$E,Analisis_grupo!$C$4),""))</f>
        <v/>
      </c>
      <c r="O198" s="18" t="str">
        <f aca="false">IF($B198="","",IFERROR(SUMIFS(Datos_items!$Z:$Z,Datos_items!$B:$B,$B198,Datos_items!$O:$O,O$4,Datos_items!$E:$E,Analisis_grupo!$C$4)/COUNTIFS(Datos_items!$B:$B,$B198,Datos_items!$O:$O,O$4,Datos_items!$E:$E,Analisis_grupo!$C$4),""))</f>
        <v/>
      </c>
      <c r="P198" s="18" t="str">
        <f aca="false">IF($B198="","",IFERROR(SUMIFS(Datos_items!$Z:$Z,Datos_items!$B:$B,$B198,Datos_items!$O:$O,P$4,Datos_items!$E:$E,Analisis_grupo!$C$4)/COUNTIFS(Datos_items!$B:$B,$B198,Datos_items!$O:$O,P$4,Datos_items!$E:$E,Analisis_grupo!$C$4),""))</f>
        <v/>
      </c>
      <c r="Q198" s="18" t="str">
        <f aca="false">IF($B198="","",IFERROR(SUMIFS(Datos_items!$Z:$Z,Datos_items!$B:$B,$B198,Datos_items!$O:$O,Q$4,Datos_items!$E:$E,Analisis_grupo!$C$4)/COUNTIFS(Datos_items!$B:$B,$B198,Datos_items!$O:$O,Q$4,Datos_items!$E:$E,Analisis_grupo!$C$4),""))</f>
        <v/>
      </c>
      <c r="R198" s="2" t="str">
        <f aca="false">IF(COUNT(J198:Q198)=0,"",IF(MIN(J198:Q198)&gt;=Analisis_grupo!$B$7,"(ninguna)",INDEX($J$4:$Q$4,MATCH(MIN(J198:Q198),J198:Q198,0))))</f>
        <v/>
      </c>
      <c r="S198" s="2" t="str">
        <f aca="false">IF($B198="","",COUNTIF(J198:Q198,"&lt;"&amp;Analisis_grupo!$B$7))</f>
        <v/>
      </c>
      <c r="T198" s="2" t="str">
        <f aca="false">IF($B198="","",COUNTIFS(Datos_items!$B:$B,$B198,Datos_items!$AA:$AA,T$4,Datos_items!$E:$E,Analisis_grupo!$C$4))</f>
        <v/>
      </c>
      <c r="U198" s="2" t="str">
        <f aca="false">IF($B198="","",COUNTIFS(Datos_items!$B:$B,$B198,Datos_items!$AA:$AA,U$4,Datos_items!$E:$E,Analisis_grupo!$C$4))</f>
        <v/>
      </c>
      <c r="V198" s="2" t="str">
        <f aca="false">IF($B198="","",COUNTIFS(Datos_items!$B:$B,$B198,Datos_items!$AA:$AA,V$4,Datos_items!$E:$E,Analisis_grupo!$C$4))</f>
        <v/>
      </c>
      <c r="W198" s="2" t="str">
        <f aca="false">IF($B198="","",COUNTIFS(Datos_items!$B:$B,$B198,Datos_items!$AA:$AA,W$4,Datos_items!$E:$E,Analisis_grupo!$C$4))</f>
        <v/>
      </c>
      <c r="X198" s="2" t="str">
        <f aca="false">IF($B198="","",COUNTIFS(Datos_items!$B:$B,$B198,Datos_items!$AA:$AA,X$4,Datos_items!$E:$E,Analisis_grupo!$C$4))</f>
        <v/>
      </c>
      <c r="Y198" s="2" t="str">
        <f aca="false">IF($B198="","",COUNTIFS(Datos_items!$B:$B,$B198,Datos_items!$AA:$AA,Y$4,Datos_items!$E:$E,Analisis_grupo!$C$4))</f>
        <v/>
      </c>
      <c r="Z198" s="2" t="str">
        <f aca="false">IF($B198="","",COUNTIFS(Datos_items!$B:$B,$B198,Datos_items!$AA:$AA,Z$4,Datos_items!$E:$E,Analisis_grupo!$C$4))</f>
        <v/>
      </c>
      <c r="AA198" s="2" t="str">
        <f aca="false">IF($B198="","",COUNTIFS(Datos_items!$B:$B,$B198,Datos_items!$AA:$AA,AA$4,Datos_items!$E:$E,Analisis_grupo!$C$4))</f>
        <v/>
      </c>
      <c r="AB198" s="2" t="str">
        <f aca="false">IF($B198="","",COUNTIFS(Datos_items!$B:$B,$B198,Datos_items!$AA:$AA,AB$4,Datos_items!$E:$E,Analisis_grupo!$C$4))</f>
        <v/>
      </c>
      <c r="AC198" s="2" t="str">
        <f aca="false">IF($B198="","",COUNTIFS(Datos_items!$B:$B,$B198,Datos_items!$AA:$AA,AC$4,Datos_items!$E:$E,Analisis_grupo!$C$4))</f>
        <v/>
      </c>
      <c r="AD198" s="2" t="str">
        <f aca="false">IF($B198="","",COUNTIFS(Datos_items!$B:$B,$B198,Datos_items!$AA:$AA,AD$4,Datos_items!$E:$E,Analisis_grupo!$C$4))</f>
        <v/>
      </c>
      <c r="AE198" s="2" t="str">
        <f aca="false">IF($B198="","",COUNTIFS(Datos_items!$B:$B,$B198,Datos_items!$AA:$AA,AE$4,Datos_items!$E:$E,Analisis_grupo!$C$4))</f>
        <v/>
      </c>
      <c r="AF198" s="2" t="str">
        <f aca="false">IF($B198="","",COUNTIFS(Datos_items!$B:$B,$B198,Datos_items!$AA:$AA,AF$4,Datos_items!$E:$E,Analisis_grupo!$C$4))</f>
        <v/>
      </c>
      <c r="AG198" s="2" t="str">
        <f aca="false">IF($B198="","",COUNTIFS(Datos_items!$B:$B,$B198,Datos_items!$AA:$AA,AG$4,Datos_items!$E:$E,Analisis_grupo!$C$4))</f>
        <v/>
      </c>
      <c r="AH198" s="2" t="str">
        <f aca="false">IF($B198="","",COUNTIFS(Datos_items!$B:$B,$B198,Datos_items!$AA:$AA,AH$4,Datos_items!$E:$E,Analisis_grupo!$C$4))</f>
        <v/>
      </c>
      <c r="AI198" s="2" t="str">
        <f aca="false">IF($B198="","",COUNTIFS(Datos_items!$B:$B,$B198,Datos_items!$AA:$AA,AI$4,Datos_items!$E:$E,Analisis_grupo!$C$4))</f>
        <v/>
      </c>
      <c r="AJ198" s="2" t="str">
        <f aca="false">IF($B198="","",COUNTIFS(Datos_items!$B:$B,$B198,Datos_items!$AA:$AA,AJ$4,Datos_items!$E:$E,Analisis_grupo!$C$4))</f>
        <v/>
      </c>
      <c r="AK198" s="2" t="str">
        <f aca="false">IF($B198="","",COUNTIFS(Datos_items!$B:$B,$B198,Datos_items!$AA:$AA,AK$4,Datos_items!$E:$E,Analisis_grupo!$C$4))</f>
        <v/>
      </c>
      <c r="AL198" s="2" t="str">
        <f aca="false">IF($B198="","",COUNTIFS(Datos_items!$B:$B,$B198,Datos_items!$AA:$AA,AL$4,Datos_items!$E:$E,Analisis_grupo!$C$4))</f>
        <v/>
      </c>
      <c r="AM198" s="2" t="str">
        <f aca="false">IF($B198="","",IF(MAX(Y198:AL198)=0,"",INDEX($Y$4:$AL$4,MATCH(MAX(Y198:AL198),Y198:AL198,0))))</f>
        <v/>
      </c>
      <c r="AN198" s="2" t="str">
        <f aca="false">IF($B198="","",COUNTIFS(Datos_problemas!$B:$B,$B198,Datos_problemas!$F:$F,"Práctica"))</f>
        <v/>
      </c>
      <c r="AO198" s="2" t="str">
        <f aca="false">IF($B198="","",SUMIFS(Datos_problemas!$AQ:$AQ,Datos_problemas!$B:$B,$B198,Datos_problemas!$F:$F,"Práctica"))</f>
        <v/>
      </c>
      <c r="AP198" s="2" t="str">
        <f aca="false">IF($B198="","",COUNTIFS(Datos_problemas!$B:$B,$B198,Datos_problemas!$F:$F,"Práctica",Datos_problemas!$AS:$AS,"Sí"))</f>
        <v/>
      </c>
    </row>
    <row r="199" customFormat="false" ht="15" hidden="false" customHeight="false" outlineLevel="0" collapsed="false">
      <c r="A199" s="2" t="n">
        <v>195</v>
      </c>
      <c r="B199" s="2" t="str">
        <f aca="false">IFERROR(INDEX(Datos_problemas!$B:$B,MATCH($A199,Datos_problemas!$AV:$AV,0)),"")</f>
        <v/>
      </c>
      <c r="C199" s="2" t="str">
        <f aca="false">IF($B199="","",INDEX(Datos_problemas!$C:$C,MATCH($A199,Datos_problemas!$AV:$AV,0)))</f>
        <v/>
      </c>
      <c r="D199" s="2" t="str">
        <f aca="false">IF($B199="","",INDEX(Datos_problemas!$D:$D,MATCH($A199,Datos_problemas!$AV:$AV,0)))</f>
        <v/>
      </c>
      <c r="E199" s="2" t="str">
        <f aca="false">IF($B199="","",COUNTIFS(Datos_problemas!$B:$B,$B199,Datos_problemas!$F:$F,"Evaluación"))</f>
        <v/>
      </c>
      <c r="F199" s="20" t="str">
        <f aca="false">IF($B199="","",IFERROR(AVERAGEIFS(Datos_problemas!$AE:$AE,Datos_problemas!$B:$B,$B199,Datos_problemas!$F:$F,"Evaluación"),""))</f>
        <v/>
      </c>
      <c r="G199" s="20" t="str">
        <f aca="false">IF($B199="","",IFERROR(AVERAGEIFS(Datos_problemas!$AE:$AE,Datos_problemas!$B:$B,$B199,Datos_problemas!$F:$F,"Evaluación",Datos_problemas!$E:$E,"Diagnóstico"),""))</f>
        <v/>
      </c>
      <c r="H199" s="20" t="str">
        <f aca="false">IF($B199="","",IFERROR(AVERAGEIFS(Datos_problemas!$AE:$AE,Datos_problemas!$B:$B,$B199,Datos_problemas!$F:$F,"Evaluación",Datos_problemas!$E:$E,"Final"),""))</f>
        <v/>
      </c>
      <c r="I199" s="21" t="str">
        <f aca="false">IF(OR(G199="",H199=""),"",IF(G199&gt;=10,"",(H199-G199)/(10-G199)))</f>
        <v/>
      </c>
      <c r="J199" s="18" t="str">
        <f aca="false">IF($B199="","",IFERROR(SUMIFS(Datos_items!$Z:$Z,Datos_items!$B:$B,$B199,Datos_items!$O:$O,J$4,Datos_items!$E:$E,Analisis_grupo!$C$4)/COUNTIFS(Datos_items!$B:$B,$B199,Datos_items!$O:$O,J$4,Datos_items!$E:$E,Analisis_grupo!$C$4),""))</f>
        <v/>
      </c>
      <c r="K199" s="18" t="str">
        <f aca="false">IF($B199="","",IFERROR(SUMIFS(Datos_items!$Z:$Z,Datos_items!$B:$B,$B199,Datos_items!$O:$O,K$4,Datos_items!$E:$E,Analisis_grupo!$C$4)/COUNTIFS(Datos_items!$B:$B,$B199,Datos_items!$O:$O,K$4,Datos_items!$E:$E,Analisis_grupo!$C$4),""))</f>
        <v/>
      </c>
      <c r="L199" s="18" t="str">
        <f aca="false">IF($B199="","",IFERROR(SUMIFS(Datos_items!$Z:$Z,Datos_items!$B:$B,$B199,Datos_items!$O:$O,L$4,Datos_items!$E:$E,Analisis_grupo!$C$4)/COUNTIFS(Datos_items!$B:$B,$B199,Datos_items!$O:$O,L$4,Datos_items!$E:$E,Analisis_grupo!$C$4),""))</f>
        <v/>
      </c>
      <c r="M199" s="18" t="str">
        <f aca="false">IF($B199="","",IFERROR(SUMIFS(Datos_items!$Z:$Z,Datos_items!$B:$B,$B199,Datos_items!$O:$O,M$4,Datos_items!$E:$E,Analisis_grupo!$C$4)/COUNTIFS(Datos_items!$B:$B,$B199,Datos_items!$O:$O,M$4,Datos_items!$E:$E,Analisis_grupo!$C$4),""))</f>
        <v/>
      </c>
      <c r="N199" s="18" t="str">
        <f aca="false">IF($B199="","",IFERROR(SUMIFS(Datos_items!$Z:$Z,Datos_items!$B:$B,$B199,Datos_items!$O:$O,N$4,Datos_items!$E:$E,Analisis_grupo!$C$4)/COUNTIFS(Datos_items!$B:$B,$B199,Datos_items!$O:$O,N$4,Datos_items!$E:$E,Analisis_grupo!$C$4),""))</f>
        <v/>
      </c>
      <c r="O199" s="18" t="str">
        <f aca="false">IF($B199="","",IFERROR(SUMIFS(Datos_items!$Z:$Z,Datos_items!$B:$B,$B199,Datos_items!$O:$O,O$4,Datos_items!$E:$E,Analisis_grupo!$C$4)/COUNTIFS(Datos_items!$B:$B,$B199,Datos_items!$O:$O,O$4,Datos_items!$E:$E,Analisis_grupo!$C$4),""))</f>
        <v/>
      </c>
      <c r="P199" s="18" t="str">
        <f aca="false">IF($B199="","",IFERROR(SUMIFS(Datos_items!$Z:$Z,Datos_items!$B:$B,$B199,Datos_items!$O:$O,P$4,Datos_items!$E:$E,Analisis_grupo!$C$4)/COUNTIFS(Datos_items!$B:$B,$B199,Datos_items!$O:$O,P$4,Datos_items!$E:$E,Analisis_grupo!$C$4),""))</f>
        <v/>
      </c>
      <c r="Q199" s="18" t="str">
        <f aca="false">IF($B199="","",IFERROR(SUMIFS(Datos_items!$Z:$Z,Datos_items!$B:$B,$B199,Datos_items!$O:$O,Q$4,Datos_items!$E:$E,Analisis_grupo!$C$4)/COUNTIFS(Datos_items!$B:$B,$B199,Datos_items!$O:$O,Q$4,Datos_items!$E:$E,Analisis_grupo!$C$4),""))</f>
        <v/>
      </c>
      <c r="R199" s="2" t="str">
        <f aca="false">IF(COUNT(J199:Q199)=0,"",IF(MIN(J199:Q199)&gt;=Analisis_grupo!$B$7,"(ninguna)",INDEX($J$4:$Q$4,MATCH(MIN(J199:Q199),J199:Q199,0))))</f>
        <v/>
      </c>
      <c r="S199" s="2" t="str">
        <f aca="false">IF($B199="","",COUNTIF(J199:Q199,"&lt;"&amp;Analisis_grupo!$B$7))</f>
        <v/>
      </c>
      <c r="T199" s="2" t="str">
        <f aca="false">IF($B199="","",COUNTIFS(Datos_items!$B:$B,$B199,Datos_items!$AA:$AA,T$4,Datos_items!$E:$E,Analisis_grupo!$C$4))</f>
        <v/>
      </c>
      <c r="U199" s="2" t="str">
        <f aca="false">IF($B199="","",COUNTIFS(Datos_items!$B:$B,$B199,Datos_items!$AA:$AA,U$4,Datos_items!$E:$E,Analisis_grupo!$C$4))</f>
        <v/>
      </c>
      <c r="V199" s="2" t="str">
        <f aca="false">IF($B199="","",COUNTIFS(Datos_items!$B:$B,$B199,Datos_items!$AA:$AA,V$4,Datos_items!$E:$E,Analisis_grupo!$C$4))</f>
        <v/>
      </c>
      <c r="W199" s="2" t="str">
        <f aca="false">IF($B199="","",COUNTIFS(Datos_items!$B:$B,$B199,Datos_items!$AA:$AA,W$4,Datos_items!$E:$E,Analisis_grupo!$C$4))</f>
        <v/>
      </c>
      <c r="X199" s="2" t="str">
        <f aca="false">IF($B199="","",COUNTIFS(Datos_items!$B:$B,$B199,Datos_items!$AA:$AA,X$4,Datos_items!$E:$E,Analisis_grupo!$C$4))</f>
        <v/>
      </c>
      <c r="Y199" s="2" t="str">
        <f aca="false">IF($B199="","",COUNTIFS(Datos_items!$B:$B,$B199,Datos_items!$AA:$AA,Y$4,Datos_items!$E:$E,Analisis_grupo!$C$4))</f>
        <v/>
      </c>
      <c r="Z199" s="2" t="str">
        <f aca="false">IF($B199="","",COUNTIFS(Datos_items!$B:$B,$B199,Datos_items!$AA:$AA,Z$4,Datos_items!$E:$E,Analisis_grupo!$C$4))</f>
        <v/>
      </c>
      <c r="AA199" s="2" t="str">
        <f aca="false">IF($B199="","",COUNTIFS(Datos_items!$B:$B,$B199,Datos_items!$AA:$AA,AA$4,Datos_items!$E:$E,Analisis_grupo!$C$4))</f>
        <v/>
      </c>
      <c r="AB199" s="2" t="str">
        <f aca="false">IF($B199="","",COUNTIFS(Datos_items!$B:$B,$B199,Datos_items!$AA:$AA,AB$4,Datos_items!$E:$E,Analisis_grupo!$C$4))</f>
        <v/>
      </c>
      <c r="AC199" s="2" t="str">
        <f aca="false">IF($B199="","",COUNTIFS(Datos_items!$B:$B,$B199,Datos_items!$AA:$AA,AC$4,Datos_items!$E:$E,Analisis_grupo!$C$4))</f>
        <v/>
      </c>
      <c r="AD199" s="2" t="str">
        <f aca="false">IF($B199="","",COUNTIFS(Datos_items!$B:$B,$B199,Datos_items!$AA:$AA,AD$4,Datos_items!$E:$E,Analisis_grupo!$C$4))</f>
        <v/>
      </c>
      <c r="AE199" s="2" t="str">
        <f aca="false">IF($B199="","",COUNTIFS(Datos_items!$B:$B,$B199,Datos_items!$AA:$AA,AE$4,Datos_items!$E:$E,Analisis_grupo!$C$4))</f>
        <v/>
      </c>
      <c r="AF199" s="2" t="str">
        <f aca="false">IF($B199="","",COUNTIFS(Datos_items!$B:$B,$B199,Datos_items!$AA:$AA,AF$4,Datos_items!$E:$E,Analisis_grupo!$C$4))</f>
        <v/>
      </c>
      <c r="AG199" s="2" t="str">
        <f aca="false">IF($B199="","",COUNTIFS(Datos_items!$B:$B,$B199,Datos_items!$AA:$AA,AG$4,Datos_items!$E:$E,Analisis_grupo!$C$4))</f>
        <v/>
      </c>
      <c r="AH199" s="2" t="str">
        <f aca="false">IF($B199="","",COUNTIFS(Datos_items!$B:$B,$B199,Datos_items!$AA:$AA,AH$4,Datos_items!$E:$E,Analisis_grupo!$C$4))</f>
        <v/>
      </c>
      <c r="AI199" s="2" t="str">
        <f aca="false">IF($B199="","",COUNTIFS(Datos_items!$B:$B,$B199,Datos_items!$AA:$AA,AI$4,Datos_items!$E:$E,Analisis_grupo!$C$4))</f>
        <v/>
      </c>
      <c r="AJ199" s="2" t="str">
        <f aca="false">IF($B199="","",COUNTIFS(Datos_items!$B:$B,$B199,Datos_items!$AA:$AA,AJ$4,Datos_items!$E:$E,Analisis_grupo!$C$4))</f>
        <v/>
      </c>
      <c r="AK199" s="2" t="str">
        <f aca="false">IF($B199="","",COUNTIFS(Datos_items!$B:$B,$B199,Datos_items!$AA:$AA,AK$4,Datos_items!$E:$E,Analisis_grupo!$C$4))</f>
        <v/>
      </c>
      <c r="AL199" s="2" t="str">
        <f aca="false">IF($B199="","",COUNTIFS(Datos_items!$B:$B,$B199,Datos_items!$AA:$AA,AL$4,Datos_items!$E:$E,Analisis_grupo!$C$4))</f>
        <v/>
      </c>
      <c r="AM199" s="2" t="str">
        <f aca="false">IF($B199="","",IF(MAX(Y199:AL199)=0,"",INDEX($Y$4:$AL$4,MATCH(MAX(Y199:AL199),Y199:AL199,0))))</f>
        <v/>
      </c>
      <c r="AN199" s="2" t="str">
        <f aca="false">IF($B199="","",COUNTIFS(Datos_problemas!$B:$B,$B199,Datos_problemas!$F:$F,"Práctica"))</f>
        <v/>
      </c>
      <c r="AO199" s="2" t="str">
        <f aca="false">IF($B199="","",SUMIFS(Datos_problemas!$AQ:$AQ,Datos_problemas!$B:$B,$B199,Datos_problemas!$F:$F,"Práctica"))</f>
        <v/>
      </c>
      <c r="AP199" s="2" t="str">
        <f aca="false">IF($B199="","",COUNTIFS(Datos_problemas!$B:$B,$B199,Datos_problemas!$F:$F,"Práctica",Datos_problemas!$AS:$AS,"Sí"))</f>
        <v/>
      </c>
    </row>
    <row r="200" customFormat="false" ht="15" hidden="false" customHeight="false" outlineLevel="0" collapsed="false">
      <c r="A200" s="2" t="n">
        <v>196</v>
      </c>
      <c r="B200" s="2" t="str">
        <f aca="false">IFERROR(INDEX(Datos_problemas!$B:$B,MATCH($A200,Datos_problemas!$AV:$AV,0)),"")</f>
        <v/>
      </c>
      <c r="C200" s="2" t="str">
        <f aca="false">IF($B200="","",INDEX(Datos_problemas!$C:$C,MATCH($A200,Datos_problemas!$AV:$AV,0)))</f>
        <v/>
      </c>
      <c r="D200" s="2" t="str">
        <f aca="false">IF($B200="","",INDEX(Datos_problemas!$D:$D,MATCH($A200,Datos_problemas!$AV:$AV,0)))</f>
        <v/>
      </c>
      <c r="E200" s="2" t="str">
        <f aca="false">IF($B200="","",COUNTIFS(Datos_problemas!$B:$B,$B200,Datos_problemas!$F:$F,"Evaluación"))</f>
        <v/>
      </c>
      <c r="F200" s="20" t="str">
        <f aca="false">IF($B200="","",IFERROR(AVERAGEIFS(Datos_problemas!$AE:$AE,Datos_problemas!$B:$B,$B200,Datos_problemas!$F:$F,"Evaluación"),""))</f>
        <v/>
      </c>
      <c r="G200" s="20" t="str">
        <f aca="false">IF($B200="","",IFERROR(AVERAGEIFS(Datos_problemas!$AE:$AE,Datos_problemas!$B:$B,$B200,Datos_problemas!$F:$F,"Evaluación",Datos_problemas!$E:$E,"Diagnóstico"),""))</f>
        <v/>
      </c>
      <c r="H200" s="20" t="str">
        <f aca="false">IF($B200="","",IFERROR(AVERAGEIFS(Datos_problemas!$AE:$AE,Datos_problemas!$B:$B,$B200,Datos_problemas!$F:$F,"Evaluación",Datos_problemas!$E:$E,"Final"),""))</f>
        <v/>
      </c>
      <c r="I200" s="21" t="str">
        <f aca="false">IF(OR(G200="",H200=""),"",IF(G200&gt;=10,"",(H200-G200)/(10-G200)))</f>
        <v/>
      </c>
      <c r="J200" s="18" t="str">
        <f aca="false">IF($B200="","",IFERROR(SUMIFS(Datos_items!$Z:$Z,Datos_items!$B:$B,$B200,Datos_items!$O:$O,J$4,Datos_items!$E:$E,Analisis_grupo!$C$4)/COUNTIFS(Datos_items!$B:$B,$B200,Datos_items!$O:$O,J$4,Datos_items!$E:$E,Analisis_grupo!$C$4),""))</f>
        <v/>
      </c>
      <c r="K200" s="18" t="str">
        <f aca="false">IF($B200="","",IFERROR(SUMIFS(Datos_items!$Z:$Z,Datos_items!$B:$B,$B200,Datos_items!$O:$O,K$4,Datos_items!$E:$E,Analisis_grupo!$C$4)/COUNTIFS(Datos_items!$B:$B,$B200,Datos_items!$O:$O,K$4,Datos_items!$E:$E,Analisis_grupo!$C$4),""))</f>
        <v/>
      </c>
      <c r="L200" s="18" t="str">
        <f aca="false">IF($B200="","",IFERROR(SUMIFS(Datos_items!$Z:$Z,Datos_items!$B:$B,$B200,Datos_items!$O:$O,L$4,Datos_items!$E:$E,Analisis_grupo!$C$4)/COUNTIFS(Datos_items!$B:$B,$B200,Datos_items!$O:$O,L$4,Datos_items!$E:$E,Analisis_grupo!$C$4),""))</f>
        <v/>
      </c>
      <c r="M200" s="18" t="str">
        <f aca="false">IF($B200="","",IFERROR(SUMIFS(Datos_items!$Z:$Z,Datos_items!$B:$B,$B200,Datos_items!$O:$O,M$4,Datos_items!$E:$E,Analisis_grupo!$C$4)/COUNTIFS(Datos_items!$B:$B,$B200,Datos_items!$O:$O,M$4,Datos_items!$E:$E,Analisis_grupo!$C$4),""))</f>
        <v/>
      </c>
      <c r="N200" s="18" t="str">
        <f aca="false">IF($B200="","",IFERROR(SUMIFS(Datos_items!$Z:$Z,Datos_items!$B:$B,$B200,Datos_items!$O:$O,N$4,Datos_items!$E:$E,Analisis_grupo!$C$4)/COUNTIFS(Datos_items!$B:$B,$B200,Datos_items!$O:$O,N$4,Datos_items!$E:$E,Analisis_grupo!$C$4),""))</f>
        <v/>
      </c>
      <c r="O200" s="18" t="str">
        <f aca="false">IF($B200="","",IFERROR(SUMIFS(Datos_items!$Z:$Z,Datos_items!$B:$B,$B200,Datos_items!$O:$O,O$4,Datos_items!$E:$E,Analisis_grupo!$C$4)/COUNTIFS(Datos_items!$B:$B,$B200,Datos_items!$O:$O,O$4,Datos_items!$E:$E,Analisis_grupo!$C$4),""))</f>
        <v/>
      </c>
      <c r="P200" s="18" t="str">
        <f aca="false">IF($B200="","",IFERROR(SUMIFS(Datos_items!$Z:$Z,Datos_items!$B:$B,$B200,Datos_items!$O:$O,P$4,Datos_items!$E:$E,Analisis_grupo!$C$4)/COUNTIFS(Datos_items!$B:$B,$B200,Datos_items!$O:$O,P$4,Datos_items!$E:$E,Analisis_grupo!$C$4),""))</f>
        <v/>
      </c>
      <c r="Q200" s="18" t="str">
        <f aca="false">IF($B200="","",IFERROR(SUMIFS(Datos_items!$Z:$Z,Datos_items!$B:$B,$B200,Datos_items!$O:$O,Q$4,Datos_items!$E:$E,Analisis_grupo!$C$4)/COUNTIFS(Datos_items!$B:$B,$B200,Datos_items!$O:$O,Q$4,Datos_items!$E:$E,Analisis_grupo!$C$4),""))</f>
        <v/>
      </c>
      <c r="R200" s="2" t="str">
        <f aca="false">IF(COUNT(J200:Q200)=0,"",IF(MIN(J200:Q200)&gt;=Analisis_grupo!$B$7,"(ninguna)",INDEX($J$4:$Q$4,MATCH(MIN(J200:Q200),J200:Q200,0))))</f>
        <v/>
      </c>
      <c r="S200" s="2" t="str">
        <f aca="false">IF($B200="","",COUNTIF(J200:Q200,"&lt;"&amp;Analisis_grupo!$B$7))</f>
        <v/>
      </c>
      <c r="T200" s="2" t="str">
        <f aca="false">IF($B200="","",COUNTIFS(Datos_items!$B:$B,$B200,Datos_items!$AA:$AA,T$4,Datos_items!$E:$E,Analisis_grupo!$C$4))</f>
        <v/>
      </c>
      <c r="U200" s="2" t="str">
        <f aca="false">IF($B200="","",COUNTIFS(Datos_items!$B:$B,$B200,Datos_items!$AA:$AA,U$4,Datos_items!$E:$E,Analisis_grupo!$C$4))</f>
        <v/>
      </c>
      <c r="V200" s="2" t="str">
        <f aca="false">IF($B200="","",COUNTIFS(Datos_items!$B:$B,$B200,Datos_items!$AA:$AA,V$4,Datos_items!$E:$E,Analisis_grupo!$C$4))</f>
        <v/>
      </c>
      <c r="W200" s="2" t="str">
        <f aca="false">IF($B200="","",COUNTIFS(Datos_items!$B:$B,$B200,Datos_items!$AA:$AA,W$4,Datos_items!$E:$E,Analisis_grupo!$C$4))</f>
        <v/>
      </c>
      <c r="X200" s="2" t="str">
        <f aca="false">IF($B200="","",COUNTIFS(Datos_items!$B:$B,$B200,Datos_items!$AA:$AA,X$4,Datos_items!$E:$E,Analisis_grupo!$C$4))</f>
        <v/>
      </c>
      <c r="Y200" s="2" t="str">
        <f aca="false">IF($B200="","",COUNTIFS(Datos_items!$B:$B,$B200,Datos_items!$AA:$AA,Y$4,Datos_items!$E:$E,Analisis_grupo!$C$4))</f>
        <v/>
      </c>
      <c r="Z200" s="2" t="str">
        <f aca="false">IF($B200="","",COUNTIFS(Datos_items!$B:$B,$B200,Datos_items!$AA:$AA,Z$4,Datos_items!$E:$E,Analisis_grupo!$C$4))</f>
        <v/>
      </c>
      <c r="AA200" s="2" t="str">
        <f aca="false">IF($B200="","",COUNTIFS(Datos_items!$B:$B,$B200,Datos_items!$AA:$AA,AA$4,Datos_items!$E:$E,Analisis_grupo!$C$4))</f>
        <v/>
      </c>
      <c r="AB200" s="2" t="str">
        <f aca="false">IF($B200="","",COUNTIFS(Datos_items!$B:$B,$B200,Datos_items!$AA:$AA,AB$4,Datos_items!$E:$E,Analisis_grupo!$C$4))</f>
        <v/>
      </c>
      <c r="AC200" s="2" t="str">
        <f aca="false">IF($B200="","",COUNTIFS(Datos_items!$B:$B,$B200,Datos_items!$AA:$AA,AC$4,Datos_items!$E:$E,Analisis_grupo!$C$4))</f>
        <v/>
      </c>
      <c r="AD200" s="2" t="str">
        <f aca="false">IF($B200="","",COUNTIFS(Datos_items!$B:$B,$B200,Datos_items!$AA:$AA,AD$4,Datos_items!$E:$E,Analisis_grupo!$C$4))</f>
        <v/>
      </c>
      <c r="AE200" s="2" t="str">
        <f aca="false">IF($B200="","",COUNTIFS(Datos_items!$B:$B,$B200,Datos_items!$AA:$AA,AE$4,Datos_items!$E:$E,Analisis_grupo!$C$4))</f>
        <v/>
      </c>
      <c r="AF200" s="2" t="str">
        <f aca="false">IF($B200="","",COUNTIFS(Datos_items!$B:$B,$B200,Datos_items!$AA:$AA,AF$4,Datos_items!$E:$E,Analisis_grupo!$C$4))</f>
        <v/>
      </c>
      <c r="AG200" s="2" t="str">
        <f aca="false">IF($B200="","",COUNTIFS(Datos_items!$B:$B,$B200,Datos_items!$AA:$AA,AG$4,Datos_items!$E:$E,Analisis_grupo!$C$4))</f>
        <v/>
      </c>
      <c r="AH200" s="2" t="str">
        <f aca="false">IF($B200="","",COUNTIFS(Datos_items!$B:$B,$B200,Datos_items!$AA:$AA,AH$4,Datos_items!$E:$E,Analisis_grupo!$C$4))</f>
        <v/>
      </c>
      <c r="AI200" s="2" t="str">
        <f aca="false">IF($B200="","",COUNTIFS(Datos_items!$B:$B,$B200,Datos_items!$AA:$AA,AI$4,Datos_items!$E:$E,Analisis_grupo!$C$4))</f>
        <v/>
      </c>
      <c r="AJ200" s="2" t="str">
        <f aca="false">IF($B200="","",COUNTIFS(Datos_items!$B:$B,$B200,Datos_items!$AA:$AA,AJ$4,Datos_items!$E:$E,Analisis_grupo!$C$4))</f>
        <v/>
      </c>
      <c r="AK200" s="2" t="str">
        <f aca="false">IF($B200="","",COUNTIFS(Datos_items!$B:$B,$B200,Datos_items!$AA:$AA,AK$4,Datos_items!$E:$E,Analisis_grupo!$C$4))</f>
        <v/>
      </c>
      <c r="AL200" s="2" t="str">
        <f aca="false">IF($B200="","",COUNTIFS(Datos_items!$B:$B,$B200,Datos_items!$AA:$AA,AL$4,Datos_items!$E:$E,Analisis_grupo!$C$4))</f>
        <v/>
      </c>
      <c r="AM200" s="2" t="str">
        <f aca="false">IF($B200="","",IF(MAX(Y200:AL200)=0,"",INDEX($Y$4:$AL$4,MATCH(MAX(Y200:AL200),Y200:AL200,0))))</f>
        <v/>
      </c>
      <c r="AN200" s="2" t="str">
        <f aca="false">IF($B200="","",COUNTIFS(Datos_problemas!$B:$B,$B200,Datos_problemas!$F:$F,"Práctica"))</f>
        <v/>
      </c>
      <c r="AO200" s="2" t="str">
        <f aca="false">IF($B200="","",SUMIFS(Datos_problemas!$AQ:$AQ,Datos_problemas!$B:$B,$B200,Datos_problemas!$F:$F,"Práctica"))</f>
        <v/>
      </c>
      <c r="AP200" s="2" t="str">
        <f aca="false">IF($B200="","",COUNTIFS(Datos_problemas!$B:$B,$B200,Datos_problemas!$F:$F,"Práctica",Datos_problemas!$AS:$AS,"Sí"))</f>
        <v/>
      </c>
    </row>
    <row r="201" customFormat="false" ht="15" hidden="false" customHeight="false" outlineLevel="0" collapsed="false">
      <c r="A201" s="2" t="n">
        <v>197</v>
      </c>
      <c r="B201" s="2" t="str">
        <f aca="false">IFERROR(INDEX(Datos_problemas!$B:$B,MATCH($A201,Datos_problemas!$AV:$AV,0)),"")</f>
        <v/>
      </c>
      <c r="C201" s="2" t="str">
        <f aca="false">IF($B201="","",INDEX(Datos_problemas!$C:$C,MATCH($A201,Datos_problemas!$AV:$AV,0)))</f>
        <v/>
      </c>
      <c r="D201" s="2" t="str">
        <f aca="false">IF($B201="","",INDEX(Datos_problemas!$D:$D,MATCH($A201,Datos_problemas!$AV:$AV,0)))</f>
        <v/>
      </c>
      <c r="E201" s="2" t="str">
        <f aca="false">IF($B201="","",COUNTIFS(Datos_problemas!$B:$B,$B201,Datos_problemas!$F:$F,"Evaluación"))</f>
        <v/>
      </c>
      <c r="F201" s="20" t="str">
        <f aca="false">IF($B201="","",IFERROR(AVERAGEIFS(Datos_problemas!$AE:$AE,Datos_problemas!$B:$B,$B201,Datos_problemas!$F:$F,"Evaluación"),""))</f>
        <v/>
      </c>
      <c r="G201" s="20" t="str">
        <f aca="false">IF($B201="","",IFERROR(AVERAGEIFS(Datos_problemas!$AE:$AE,Datos_problemas!$B:$B,$B201,Datos_problemas!$F:$F,"Evaluación",Datos_problemas!$E:$E,"Diagnóstico"),""))</f>
        <v/>
      </c>
      <c r="H201" s="20" t="str">
        <f aca="false">IF($B201="","",IFERROR(AVERAGEIFS(Datos_problemas!$AE:$AE,Datos_problemas!$B:$B,$B201,Datos_problemas!$F:$F,"Evaluación",Datos_problemas!$E:$E,"Final"),""))</f>
        <v/>
      </c>
      <c r="I201" s="21" t="str">
        <f aca="false">IF(OR(G201="",H201=""),"",IF(G201&gt;=10,"",(H201-G201)/(10-G201)))</f>
        <v/>
      </c>
      <c r="J201" s="18" t="str">
        <f aca="false">IF($B201="","",IFERROR(SUMIFS(Datos_items!$Z:$Z,Datos_items!$B:$B,$B201,Datos_items!$O:$O,J$4,Datos_items!$E:$E,Analisis_grupo!$C$4)/COUNTIFS(Datos_items!$B:$B,$B201,Datos_items!$O:$O,J$4,Datos_items!$E:$E,Analisis_grupo!$C$4),""))</f>
        <v/>
      </c>
      <c r="K201" s="18" t="str">
        <f aca="false">IF($B201="","",IFERROR(SUMIFS(Datos_items!$Z:$Z,Datos_items!$B:$B,$B201,Datos_items!$O:$O,K$4,Datos_items!$E:$E,Analisis_grupo!$C$4)/COUNTIFS(Datos_items!$B:$B,$B201,Datos_items!$O:$O,K$4,Datos_items!$E:$E,Analisis_grupo!$C$4),""))</f>
        <v/>
      </c>
      <c r="L201" s="18" t="str">
        <f aca="false">IF($B201="","",IFERROR(SUMIFS(Datos_items!$Z:$Z,Datos_items!$B:$B,$B201,Datos_items!$O:$O,L$4,Datos_items!$E:$E,Analisis_grupo!$C$4)/COUNTIFS(Datos_items!$B:$B,$B201,Datos_items!$O:$O,L$4,Datos_items!$E:$E,Analisis_grupo!$C$4),""))</f>
        <v/>
      </c>
      <c r="M201" s="18" t="str">
        <f aca="false">IF($B201="","",IFERROR(SUMIFS(Datos_items!$Z:$Z,Datos_items!$B:$B,$B201,Datos_items!$O:$O,M$4,Datos_items!$E:$E,Analisis_grupo!$C$4)/COUNTIFS(Datos_items!$B:$B,$B201,Datos_items!$O:$O,M$4,Datos_items!$E:$E,Analisis_grupo!$C$4),""))</f>
        <v/>
      </c>
      <c r="N201" s="18" t="str">
        <f aca="false">IF($B201="","",IFERROR(SUMIFS(Datos_items!$Z:$Z,Datos_items!$B:$B,$B201,Datos_items!$O:$O,N$4,Datos_items!$E:$E,Analisis_grupo!$C$4)/COUNTIFS(Datos_items!$B:$B,$B201,Datos_items!$O:$O,N$4,Datos_items!$E:$E,Analisis_grupo!$C$4),""))</f>
        <v/>
      </c>
      <c r="O201" s="18" t="str">
        <f aca="false">IF($B201="","",IFERROR(SUMIFS(Datos_items!$Z:$Z,Datos_items!$B:$B,$B201,Datos_items!$O:$O,O$4,Datos_items!$E:$E,Analisis_grupo!$C$4)/COUNTIFS(Datos_items!$B:$B,$B201,Datos_items!$O:$O,O$4,Datos_items!$E:$E,Analisis_grupo!$C$4),""))</f>
        <v/>
      </c>
      <c r="P201" s="18" t="str">
        <f aca="false">IF($B201="","",IFERROR(SUMIFS(Datos_items!$Z:$Z,Datos_items!$B:$B,$B201,Datos_items!$O:$O,P$4,Datos_items!$E:$E,Analisis_grupo!$C$4)/COUNTIFS(Datos_items!$B:$B,$B201,Datos_items!$O:$O,P$4,Datos_items!$E:$E,Analisis_grupo!$C$4),""))</f>
        <v/>
      </c>
      <c r="Q201" s="18" t="str">
        <f aca="false">IF($B201="","",IFERROR(SUMIFS(Datos_items!$Z:$Z,Datos_items!$B:$B,$B201,Datos_items!$O:$O,Q$4,Datos_items!$E:$E,Analisis_grupo!$C$4)/COUNTIFS(Datos_items!$B:$B,$B201,Datos_items!$O:$O,Q$4,Datos_items!$E:$E,Analisis_grupo!$C$4),""))</f>
        <v/>
      </c>
      <c r="R201" s="2" t="str">
        <f aca="false">IF(COUNT(J201:Q201)=0,"",IF(MIN(J201:Q201)&gt;=Analisis_grupo!$B$7,"(ninguna)",INDEX($J$4:$Q$4,MATCH(MIN(J201:Q201),J201:Q201,0))))</f>
        <v/>
      </c>
      <c r="S201" s="2" t="str">
        <f aca="false">IF($B201="","",COUNTIF(J201:Q201,"&lt;"&amp;Analisis_grupo!$B$7))</f>
        <v/>
      </c>
      <c r="T201" s="2" t="str">
        <f aca="false">IF($B201="","",COUNTIFS(Datos_items!$B:$B,$B201,Datos_items!$AA:$AA,T$4,Datos_items!$E:$E,Analisis_grupo!$C$4))</f>
        <v/>
      </c>
      <c r="U201" s="2" t="str">
        <f aca="false">IF($B201="","",COUNTIFS(Datos_items!$B:$B,$B201,Datos_items!$AA:$AA,U$4,Datos_items!$E:$E,Analisis_grupo!$C$4))</f>
        <v/>
      </c>
      <c r="V201" s="2" t="str">
        <f aca="false">IF($B201="","",COUNTIFS(Datos_items!$B:$B,$B201,Datos_items!$AA:$AA,V$4,Datos_items!$E:$E,Analisis_grupo!$C$4))</f>
        <v/>
      </c>
      <c r="W201" s="2" t="str">
        <f aca="false">IF($B201="","",COUNTIFS(Datos_items!$B:$B,$B201,Datos_items!$AA:$AA,W$4,Datos_items!$E:$E,Analisis_grupo!$C$4))</f>
        <v/>
      </c>
      <c r="X201" s="2" t="str">
        <f aca="false">IF($B201="","",COUNTIFS(Datos_items!$B:$B,$B201,Datos_items!$AA:$AA,X$4,Datos_items!$E:$E,Analisis_grupo!$C$4))</f>
        <v/>
      </c>
      <c r="Y201" s="2" t="str">
        <f aca="false">IF($B201="","",COUNTIFS(Datos_items!$B:$B,$B201,Datos_items!$AA:$AA,Y$4,Datos_items!$E:$E,Analisis_grupo!$C$4))</f>
        <v/>
      </c>
      <c r="Z201" s="2" t="str">
        <f aca="false">IF($B201="","",COUNTIFS(Datos_items!$B:$B,$B201,Datos_items!$AA:$AA,Z$4,Datos_items!$E:$E,Analisis_grupo!$C$4))</f>
        <v/>
      </c>
      <c r="AA201" s="2" t="str">
        <f aca="false">IF($B201="","",COUNTIFS(Datos_items!$B:$B,$B201,Datos_items!$AA:$AA,AA$4,Datos_items!$E:$E,Analisis_grupo!$C$4))</f>
        <v/>
      </c>
      <c r="AB201" s="2" t="str">
        <f aca="false">IF($B201="","",COUNTIFS(Datos_items!$B:$B,$B201,Datos_items!$AA:$AA,AB$4,Datos_items!$E:$E,Analisis_grupo!$C$4))</f>
        <v/>
      </c>
      <c r="AC201" s="2" t="str">
        <f aca="false">IF($B201="","",COUNTIFS(Datos_items!$B:$B,$B201,Datos_items!$AA:$AA,AC$4,Datos_items!$E:$E,Analisis_grupo!$C$4))</f>
        <v/>
      </c>
      <c r="AD201" s="2" t="str">
        <f aca="false">IF($B201="","",COUNTIFS(Datos_items!$B:$B,$B201,Datos_items!$AA:$AA,AD$4,Datos_items!$E:$E,Analisis_grupo!$C$4))</f>
        <v/>
      </c>
      <c r="AE201" s="2" t="str">
        <f aca="false">IF($B201="","",COUNTIFS(Datos_items!$B:$B,$B201,Datos_items!$AA:$AA,AE$4,Datos_items!$E:$E,Analisis_grupo!$C$4))</f>
        <v/>
      </c>
      <c r="AF201" s="2" t="str">
        <f aca="false">IF($B201="","",COUNTIFS(Datos_items!$B:$B,$B201,Datos_items!$AA:$AA,AF$4,Datos_items!$E:$E,Analisis_grupo!$C$4))</f>
        <v/>
      </c>
      <c r="AG201" s="2" t="str">
        <f aca="false">IF($B201="","",COUNTIFS(Datos_items!$B:$B,$B201,Datos_items!$AA:$AA,AG$4,Datos_items!$E:$E,Analisis_grupo!$C$4))</f>
        <v/>
      </c>
      <c r="AH201" s="2" t="str">
        <f aca="false">IF($B201="","",COUNTIFS(Datos_items!$B:$B,$B201,Datos_items!$AA:$AA,AH$4,Datos_items!$E:$E,Analisis_grupo!$C$4))</f>
        <v/>
      </c>
      <c r="AI201" s="2" t="str">
        <f aca="false">IF($B201="","",COUNTIFS(Datos_items!$B:$B,$B201,Datos_items!$AA:$AA,AI$4,Datos_items!$E:$E,Analisis_grupo!$C$4))</f>
        <v/>
      </c>
      <c r="AJ201" s="2" t="str">
        <f aca="false">IF($B201="","",COUNTIFS(Datos_items!$B:$B,$B201,Datos_items!$AA:$AA,AJ$4,Datos_items!$E:$E,Analisis_grupo!$C$4))</f>
        <v/>
      </c>
      <c r="AK201" s="2" t="str">
        <f aca="false">IF($B201="","",COUNTIFS(Datos_items!$B:$B,$B201,Datos_items!$AA:$AA,AK$4,Datos_items!$E:$E,Analisis_grupo!$C$4))</f>
        <v/>
      </c>
      <c r="AL201" s="2" t="str">
        <f aca="false">IF($B201="","",COUNTIFS(Datos_items!$B:$B,$B201,Datos_items!$AA:$AA,AL$4,Datos_items!$E:$E,Analisis_grupo!$C$4))</f>
        <v/>
      </c>
      <c r="AM201" s="2" t="str">
        <f aca="false">IF($B201="","",IF(MAX(Y201:AL201)=0,"",INDEX($Y$4:$AL$4,MATCH(MAX(Y201:AL201),Y201:AL201,0))))</f>
        <v/>
      </c>
      <c r="AN201" s="2" t="str">
        <f aca="false">IF($B201="","",COUNTIFS(Datos_problemas!$B:$B,$B201,Datos_problemas!$F:$F,"Práctica"))</f>
        <v/>
      </c>
      <c r="AO201" s="2" t="str">
        <f aca="false">IF($B201="","",SUMIFS(Datos_problemas!$AQ:$AQ,Datos_problemas!$B:$B,$B201,Datos_problemas!$F:$F,"Práctica"))</f>
        <v/>
      </c>
      <c r="AP201" s="2" t="str">
        <f aca="false">IF($B201="","",COUNTIFS(Datos_problemas!$B:$B,$B201,Datos_problemas!$F:$F,"Práctica",Datos_problemas!$AS:$AS,"Sí"))</f>
        <v/>
      </c>
    </row>
    <row r="202" customFormat="false" ht="15" hidden="false" customHeight="false" outlineLevel="0" collapsed="false">
      <c r="A202" s="2" t="n">
        <v>198</v>
      </c>
      <c r="B202" s="2" t="str">
        <f aca="false">IFERROR(INDEX(Datos_problemas!$B:$B,MATCH($A202,Datos_problemas!$AV:$AV,0)),"")</f>
        <v/>
      </c>
      <c r="C202" s="2" t="str">
        <f aca="false">IF($B202="","",INDEX(Datos_problemas!$C:$C,MATCH($A202,Datos_problemas!$AV:$AV,0)))</f>
        <v/>
      </c>
      <c r="D202" s="2" t="str">
        <f aca="false">IF($B202="","",INDEX(Datos_problemas!$D:$D,MATCH($A202,Datos_problemas!$AV:$AV,0)))</f>
        <v/>
      </c>
      <c r="E202" s="2" t="str">
        <f aca="false">IF($B202="","",COUNTIFS(Datos_problemas!$B:$B,$B202,Datos_problemas!$F:$F,"Evaluación"))</f>
        <v/>
      </c>
      <c r="F202" s="20" t="str">
        <f aca="false">IF($B202="","",IFERROR(AVERAGEIFS(Datos_problemas!$AE:$AE,Datos_problemas!$B:$B,$B202,Datos_problemas!$F:$F,"Evaluación"),""))</f>
        <v/>
      </c>
      <c r="G202" s="20" t="str">
        <f aca="false">IF($B202="","",IFERROR(AVERAGEIFS(Datos_problemas!$AE:$AE,Datos_problemas!$B:$B,$B202,Datos_problemas!$F:$F,"Evaluación",Datos_problemas!$E:$E,"Diagnóstico"),""))</f>
        <v/>
      </c>
      <c r="H202" s="20" t="str">
        <f aca="false">IF($B202="","",IFERROR(AVERAGEIFS(Datos_problemas!$AE:$AE,Datos_problemas!$B:$B,$B202,Datos_problemas!$F:$F,"Evaluación",Datos_problemas!$E:$E,"Final"),""))</f>
        <v/>
      </c>
      <c r="I202" s="21" t="str">
        <f aca="false">IF(OR(G202="",H202=""),"",IF(G202&gt;=10,"",(H202-G202)/(10-G202)))</f>
        <v/>
      </c>
      <c r="J202" s="18" t="str">
        <f aca="false">IF($B202="","",IFERROR(SUMIFS(Datos_items!$Z:$Z,Datos_items!$B:$B,$B202,Datos_items!$O:$O,J$4,Datos_items!$E:$E,Analisis_grupo!$C$4)/COUNTIFS(Datos_items!$B:$B,$B202,Datos_items!$O:$O,J$4,Datos_items!$E:$E,Analisis_grupo!$C$4),""))</f>
        <v/>
      </c>
      <c r="K202" s="18" t="str">
        <f aca="false">IF($B202="","",IFERROR(SUMIFS(Datos_items!$Z:$Z,Datos_items!$B:$B,$B202,Datos_items!$O:$O,K$4,Datos_items!$E:$E,Analisis_grupo!$C$4)/COUNTIFS(Datos_items!$B:$B,$B202,Datos_items!$O:$O,K$4,Datos_items!$E:$E,Analisis_grupo!$C$4),""))</f>
        <v/>
      </c>
      <c r="L202" s="18" t="str">
        <f aca="false">IF($B202="","",IFERROR(SUMIFS(Datos_items!$Z:$Z,Datos_items!$B:$B,$B202,Datos_items!$O:$O,L$4,Datos_items!$E:$E,Analisis_grupo!$C$4)/COUNTIFS(Datos_items!$B:$B,$B202,Datos_items!$O:$O,L$4,Datos_items!$E:$E,Analisis_grupo!$C$4),""))</f>
        <v/>
      </c>
      <c r="M202" s="18" t="str">
        <f aca="false">IF($B202="","",IFERROR(SUMIFS(Datos_items!$Z:$Z,Datos_items!$B:$B,$B202,Datos_items!$O:$O,M$4,Datos_items!$E:$E,Analisis_grupo!$C$4)/COUNTIFS(Datos_items!$B:$B,$B202,Datos_items!$O:$O,M$4,Datos_items!$E:$E,Analisis_grupo!$C$4),""))</f>
        <v/>
      </c>
      <c r="N202" s="18" t="str">
        <f aca="false">IF($B202="","",IFERROR(SUMIFS(Datos_items!$Z:$Z,Datos_items!$B:$B,$B202,Datos_items!$O:$O,N$4,Datos_items!$E:$E,Analisis_grupo!$C$4)/COUNTIFS(Datos_items!$B:$B,$B202,Datos_items!$O:$O,N$4,Datos_items!$E:$E,Analisis_grupo!$C$4),""))</f>
        <v/>
      </c>
      <c r="O202" s="18" t="str">
        <f aca="false">IF($B202="","",IFERROR(SUMIFS(Datos_items!$Z:$Z,Datos_items!$B:$B,$B202,Datos_items!$O:$O,O$4,Datos_items!$E:$E,Analisis_grupo!$C$4)/COUNTIFS(Datos_items!$B:$B,$B202,Datos_items!$O:$O,O$4,Datos_items!$E:$E,Analisis_grupo!$C$4),""))</f>
        <v/>
      </c>
      <c r="P202" s="18" t="str">
        <f aca="false">IF($B202="","",IFERROR(SUMIFS(Datos_items!$Z:$Z,Datos_items!$B:$B,$B202,Datos_items!$O:$O,P$4,Datos_items!$E:$E,Analisis_grupo!$C$4)/COUNTIFS(Datos_items!$B:$B,$B202,Datos_items!$O:$O,P$4,Datos_items!$E:$E,Analisis_grupo!$C$4),""))</f>
        <v/>
      </c>
      <c r="Q202" s="18" t="str">
        <f aca="false">IF($B202="","",IFERROR(SUMIFS(Datos_items!$Z:$Z,Datos_items!$B:$B,$B202,Datos_items!$O:$O,Q$4,Datos_items!$E:$E,Analisis_grupo!$C$4)/COUNTIFS(Datos_items!$B:$B,$B202,Datos_items!$O:$O,Q$4,Datos_items!$E:$E,Analisis_grupo!$C$4),""))</f>
        <v/>
      </c>
      <c r="R202" s="2" t="str">
        <f aca="false">IF(COUNT(J202:Q202)=0,"",IF(MIN(J202:Q202)&gt;=Analisis_grupo!$B$7,"(ninguna)",INDEX($J$4:$Q$4,MATCH(MIN(J202:Q202),J202:Q202,0))))</f>
        <v/>
      </c>
      <c r="S202" s="2" t="str">
        <f aca="false">IF($B202="","",COUNTIF(J202:Q202,"&lt;"&amp;Analisis_grupo!$B$7))</f>
        <v/>
      </c>
      <c r="T202" s="2" t="str">
        <f aca="false">IF($B202="","",COUNTIFS(Datos_items!$B:$B,$B202,Datos_items!$AA:$AA,T$4,Datos_items!$E:$E,Analisis_grupo!$C$4))</f>
        <v/>
      </c>
      <c r="U202" s="2" t="str">
        <f aca="false">IF($B202="","",COUNTIFS(Datos_items!$B:$B,$B202,Datos_items!$AA:$AA,U$4,Datos_items!$E:$E,Analisis_grupo!$C$4))</f>
        <v/>
      </c>
      <c r="V202" s="2" t="str">
        <f aca="false">IF($B202="","",COUNTIFS(Datos_items!$B:$B,$B202,Datos_items!$AA:$AA,V$4,Datos_items!$E:$E,Analisis_grupo!$C$4))</f>
        <v/>
      </c>
      <c r="W202" s="2" t="str">
        <f aca="false">IF($B202="","",COUNTIFS(Datos_items!$B:$B,$B202,Datos_items!$AA:$AA,W$4,Datos_items!$E:$E,Analisis_grupo!$C$4))</f>
        <v/>
      </c>
      <c r="X202" s="2" t="str">
        <f aca="false">IF($B202="","",COUNTIFS(Datos_items!$B:$B,$B202,Datos_items!$AA:$AA,X$4,Datos_items!$E:$E,Analisis_grupo!$C$4))</f>
        <v/>
      </c>
      <c r="Y202" s="2" t="str">
        <f aca="false">IF($B202="","",COUNTIFS(Datos_items!$B:$B,$B202,Datos_items!$AA:$AA,Y$4,Datos_items!$E:$E,Analisis_grupo!$C$4))</f>
        <v/>
      </c>
      <c r="Z202" s="2" t="str">
        <f aca="false">IF($B202="","",COUNTIFS(Datos_items!$B:$B,$B202,Datos_items!$AA:$AA,Z$4,Datos_items!$E:$E,Analisis_grupo!$C$4))</f>
        <v/>
      </c>
      <c r="AA202" s="2" t="str">
        <f aca="false">IF($B202="","",COUNTIFS(Datos_items!$B:$B,$B202,Datos_items!$AA:$AA,AA$4,Datos_items!$E:$E,Analisis_grupo!$C$4))</f>
        <v/>
      </c>
      <c r="AB202" s="2" t="str">
        <f aca="false">IF($B202="","",COUNTIFS(Datos_items!$B:$B,$B202,Datos_items!$AA:$AA,AB$4,Datos_items!$E:$E,Analisis_grupo!$C$4))</f>
        <v/>
      </c>
      <c r="AC202" s="2" t="str">
        <f aca="false">IF($B202="","",COUNTIFS(Datos_items!$B:$B,$B202,Datos_items!$AA:$AA,AC$4,Datos_items!$E:$E,Analisis_grupo!$C$4))</f>
        <v/>
      </c>
      <c r="AD202" s="2" t="str">
        <f aca="false">IF($B202="","",COUNTIFS(Datos_items!$B:$B,$B202,Datos_items!$AA:$AA,AD$4,Datos_items!$E:$E,Analisis_grupo!$C$4))</f>
        <v/>
      </c>
      <c r="AE202" s="2" t="str">
        <f aca="false">IF($B202="","",COUNTIFS(Datos_items!$B:$B,$B202,Datos_items!$AA:$AA,AE$4,Datos_items!$E:$E,Analisis_grupo!$C$4))</f>
        <v/>
      </c>
      <c r="AF202" s="2" t="str">
        <f aca="false">IF($B202="","",COUNTIFS(Datos_items!$B:$B,$B202,Datos_items!$AA:$AA,AF$4,Datos_items!$E:$E,Analisis_grupo!$C$4))</f>
        <v/>
      </c>
      <c r="AG202" s="2" t="str">
        <f aca="false">IF($B202="","",COUNTIFS(Datos_items!$B:$B,$B202,Datos_items!$AA:$AA,AG$4,Datos_items!$E:$E,Analisis_grupo!$C$4))</f>
        <v/>
      </c>
      <c r="AH202" s="2" t="str">
        <f aca="false">IF($B202="","",COUNTIFS(Datos_items!$B:$B,$B202,Datos_items!$AA:$AA,AH$4,Datos_items!$E:$E,Analisis_grupo!$C$4))</f>
        <v/>
      </c>
      <c r="AI202" s="2" t="str">
        <f aca="false">IF($B202="","",COUNTIFS(Datos_items!$B:$B,$B202,Datos_items!$AA:$AA,AI$4,Datos_items!$E:$E,Analisis_grupo!$C$4))</f>
        <v/>
      </c>
      <c r="AJ202" s="2" t="str">
        <f aca="false">IF($B202="","",COUNTIFS(Datos_items!$B:$B,$B202,Datos_items!$AA:$AA,AJ$4,Datos_items!$E:$E,Analisis_grupo!$C$4))</f>
        <v/>
      </c>
      <c r="AK202" s="2" t="str">
        <f aca="false">IF($B202="","",COUNTIFS(Datos_items!$B:$B,$B202,Datos_items!$AA:$AA,AK$4,Datos_items!$E:$E,Analisis_grupo!$C$4))</f>
        <v/>
      </c>
      <c r="AL202" s="2" t="str">
        <f aca="false">IF($B202="","",COUNTIFS(Datos_items!$B:$B,$B202,Datos_items!$AA:$AA,AL$4,Datos_items!$E:$E,Analisis_grupo!$C$4))</f>
        <v/>
      </c>
      <c r="AM202" s="2" t="str">
        <f aca="false">IF($B202="","",IF(MAX(Y202:AL202)=0,"",INDEX($Y$4:$AL$4,MATCH(MAX(Y202:AL202),Y202:AL202,0))))</f>
        <v/>
      </c>
      <c r="AN202" s="2" t="str">
        <f aca="false">IF($B202="","",COUNTIFS(Datos_problemas!$B:$B,$B202,Datos_problemas!$F:$F,"Práctica"))</f>
        <v/>
      </c>
      <c r="AO202" s="2" t="str">
        <f aca="false">IF($B202="","",SUMIFS(Datos_problemas!$AQ:$AQ,Datos_problemas!$B:$B,$B202,Datos_problemas!$F:$F,"Práctica"))</f>
        <v/>
      </c>
      <c r="AP202" s="2" t="str">
        <f aca="false">IF($B202="","",COUNTIFS(Datos_problemas!$B:$B,$B202,Datos_problemas!$F:$F,"Práctica",Datos_problemas!$AS:$AS,"Sí"))</f>
        <v/>
      </c>
    </row>
    <row r="203" customFormat="false" ht="15" hidden="false" customHeight="false" outlineLevel="0" collapsed="false">
      <c r="A203" s="2" t="n">
        <v>199</v>
      </c>
      <c r="B203" s="2" t="str">
        <f aca="false">IFERROR(INDEX(Datos_problemas!$B:$B,MATCH($A203,Datos_problemas!$AV:$AV,0)),"")</f>
        <v/>
      </c>
      <c r="C203" s="2" t="str">
        <f aca="false">IF($B203="","",INDEX(Datos_problemas!$C:$C,MATCH($A203,Datos_problemas!$AV:$AV,0)))</f>
        <v/>
      </c>
      <c r="D203" s="2" t="str">
        <f aca="false">IF($B203="","",INDEX(Datos_problemas!$D:$D,MATCH($A203,Datos_problemas!$AV:$AV,0)))</f>
        <v/>
      </c>
      <c r="E203" s="2" t="str">
        <f aca="false">IF($B203="","",COUNTIFS(Datos_problemas!$B:$B,$B203,Datos_problemas!$F:$F,"Evaluación"))</f>
        <v/>
      </c>
      <c r="F203" s="20" t="str">
        <f aca="false">IF($B203="","",IFERROR(AVERAGEIFS(Datos_problemas!$AE:$AE,Datos_problemas!$B:$B,$B203,Datos_problemas!$F:$F,"Evaluación"),""))</f>
        <v/>
      </c>
      <c r="G203" s="20" t="str">
        <f aca="false">IF($B203="","",IFERROR(AVERAGEIFS(Datos_problemas!$AE:$AE,Datos_problemas!$B:$B,$B203,Datos_problemas!$F:$F,"Evaluación",Datos_problemas!$E:$E,"Diagnóstico"),""))</f>
        <v/>
      </c>
      <c r="H203" s="20" t="str">
        <f aca="false">IF($B203="","",IFERROR(AVERAGEIFS(Datos_problemas!$AE:$AE,Datos_problemas!$B:$B,$B203,Datos_problemas!$F:$F,"Evaluación",Datos_problemas!$E:$E,"Final"),""))</f>
        <v/>
      </c>
      <c r="I203" s="21" t="str">
        <f aca="false">IF(OR(G203="",H203=""),"",IF(G203&gt;=10,"",(H203-G203)/(10-G203)))</f>
        <v/>
      </c>
      <c r="J203" s="18" t="str">
        <f aca="false">IF($B203="","",IFERROR(SUMIFS(Datos_items!$Z:$Z,Datos_items!$B:$B,$B203,Datos_items!$O:$O,J$4,Datos_items!$E:$E,Analisis_grupo!$C$4)/COUNTIFS(Datos_items!$B:$B,$B203,Datos_items!$O:$O,J$4,Datos_items!$E:$E,Analisis_grupo!$C$4),""))</f>
        <v/>
      </c>
      <c r="K203" s="18" t="str">
        <f aca="false">IF($B203="","",IFERROR(SUMIFS(Datos_items!$Z:$Z,Datos_items!$B:$B,$B203,Datos_items!$O:$O,K$4,Datos_items!$E:$E,Analisis_grupo!$C$4)/COUNTIFS(Datos_items!$B:$B,$B203,Datos_items!$O:$O,K$4,Datos_items!$E:$E,Analisis_grupo!$C$4),""))</f>
        <v/>
      </c>
      <c r="L203" s="18" t="str">
        <f aca="false">IF($B203="","",IFERROR(SUMIFS(Datos_items!$Z:$Z,Datos_items!$B:$B,$B203,Datos_items!$O:$O,L$4,Datos_items!$E:$E,Analisis_grupo!$C$4)/COUNTIFS(Datos_items!$B:$B,$B203,Datos_items!$O:$O,L$4,Datos_items!$E:$E,Analisis_grupo!$C$4),""))</f>
        <v/>
      </c>
      <c r="M203" s="18" t="str">
        <f aca="false">IF($B203="","",IFERROR(SUMIFS(Datos_items!$Z:$Z,Datos_items!$B:$B,$B203,Datos_items!$O:$O,M$4,Datos_items!$E:$E,Analisis_grupo!$C$4)/COUNTIFS(Datos_items!$B:$B,$B203,Datos_items!$O:$O,M$4,Datos_items!$E:$E,Analisis_grupo!$C$4),""))</f>
        <v/>
      </c>
      <c r="N203" s="18" t="str">
        <f aca="false">IF($B203="","",IFERROR(SUMIFS(Datos_items!$Z:$Z,Datos_items!$B:$B,$B203,Datos_items!$O:$O,N$4,Datos_items!$E:$E,Analisis_grupo!$C$4)/COUNTIFS(Datos_items!$B:$B,$B203,Datos_items!$O:$O,N$4,Datos_items!$E:$E,Analisis_grupo!$C$4),""))</f>
        <v/>
      </c>
      <c r="O203" s="18" t="str">
        <f aca="false">IF($B203="","",IFERROR(SUMIFS(Datos_items!$Z:$Z,Datos_items!$B:$B,$B203,Datos_items!$O:$O,O$4,Datos_items!$E:$E,Analisis_grupo!$C$4)/COUNTIFS(Datos_items!$B:$B,$B203,Datos_items!$O:$O,O$4,Datos_items!$E:$E,Analisis_grupo!$C$4),""))</f>
        <v/>
      </c>
      <c r="P203" s="18" t="str">
        <f aca="false">IF($B203="","",IFERROR(SUMIFS(Datos_items!$Z:$Z,Datos_items!$B:$B,$B203,Datos_items!$O:$O,P$4,Datos_items!$E:$E,Analisis_grupo!$C$4)/COUNTIFS(Datos_items!$B:$B,$B203,Datos_items!$O:$O,P$4,Datos_items!$E:$E,Analisis_grupo!$C$4),""))</f>
        <v/>
      </c>
      <c r="Q203" s="18" t="str">
        <f aca="false">IF($B203="","",IFERROR(SUMIFS(Datos_items!$Z:$Z,Datos_items!$B:$B,$B203,Datos_items!$O:$O,Q$4,Datos_items!$E:$E,Analisis_grupo!$C$4)/COUNTIFS(Datos_items!$B:$B,$B203,Datos_items!$O:$O,Q$4,Datos_items!$E:$E,Analisis_grupo!$C$4),""))</f>
        <v/>
      </c>
      <c r="R203" s="2" t="str">
        <f aca="false">IF(COUNT(J203:Q203)=0,"",IF(MIN(J203:Q203)&gt;=Analisis_grupo!$B$7,"(ninguna)",INDEX($J$4:$Q$4,MATCH(MIN(J203:Q203),J203:Q203,0))))</f>
        <v/>
      </c>
      <c r="S203" s="2" t="str">
        <f aca="false">IF($B203="","",COUNTIF(J203:Q203,"&lt;"&amp;Analisis_grupo!$B$7))</f>
        <v/>
      </c>
      <c r="T203" s="2" t="str">
        <f aca="false">IF($B203="","",COUNTIFS(Datos_items!$B:$B,$B203,Datos_items!$AA:$AA,T$4,Datos_items!$E:$E,Analisis_grupo!$C$4))</f>
        <v/>
      </c>
      <c r="U203" s="2" t="str">
        <f aca="false">IF($B203="","",COUNTIFS(Datos_items!$B:$B,$B203,Datos_items!$AA:$AA,U$4,Datos_items!$E:$E,Analisis_grupo!$C$4))</f>
        <v/>
      </c>
      <c r="V203" s="2" t="str">
        <f aca="false">IF($B203="","",COUNTIFS(Datos_items!$B:$B,$B203,Datos_items!$AA:$AA,V$4,Datos_items!$E:$E,Analisis_grupo!$C$4))</f>
        <v/>
      </c>
      <c r="W203" s="2" t="str">
        <f aca="false">IF($B203="","",COUNTIFS(Datos_items!$B:$B,$B203,Datos_items!$AA:$AA,W$4,Datos_items!$E:$E,Analisis_grupo!$C$4))</f>
        <v/>
      </c>
      <c r="X203" s="2" t="str">
        <f aca="false">IF($B203="","",COUNTIFS(Datos_items!$B:$B,$B203,Datos_items!$AA:$AA,X$4,Datos_items!$E:$E,Analisis_grupo!$C$4))</f>
        <v/>
      </c>
      <c r="Y203" s="2" t="str">
        <f aca="false">IF($B203="","",COUNTIFS(Datos_items!$B:$B,$B203,Datos_items!$AA:$AA,Y$4,Datos_items!$E:$E,Analisis_grupo!$C$4))</f>
        <v/>
      </c>
      <c r="Z203" s="2" t="str">
        <f aca="false">IF($B203="","",COUNTIFS(Datos_items!$B:$B,$B203,Datos_items!$AA:$AA,Z$4,Datos_items!$E:$E,Analisis_grupo!$C$4))</f>
        <v/>
      </c>
      <c r="AA203" s="2" t="str">
        <f aca="false">IF($B203="","",COUNTIFS(Datos_items!$B:$B,$B203,Datos_items!$AA:$AA,AA$4,Datos_items!$E:$E,Analisis_grupo!$C$4))</f>
        <v/>
      </c>
      <c r="AB203" s="2" t="str">
        <f aca="false">IF($B203="","",COUNTIFS(Datos_items!$B:$B,$B203,Datos_items!$AA:$AA,AB$4,Datos_items!$E:$E,Analisis_grupo!$C$4))</f>
        <v/>
      </c>
      <c r="AC203" s="2" t="str">
        <f aca="false">IF($B203="","",COUNTIFS(Datos_items!$B:$B,$B203,Datos_items!$AA:$AA,AC$4,Datos_items!$E:$E,Analisis_grupo!$C$4))</f>
        <v/>
      </c>
      <c r="AD203" s="2" t="str">
        <f aca="false">IF($B203="","",COUNTIFS(Datos_items!$B:$B,$B203,Datos_items!$AA:$AA,AD$4,Datos_items!$E:$E,Analisis_grupo!$C$4))</f>
        <v/>
      </c>
      <c r="AE203" s="2" t="str">
        <f aca="false">IF($B203="","",COUNTIFS(Datos_items!$B:$B,$B203,Datos_items!$AA:$AA,AE$4,Datos_items!$E:$E,Analisis_grupo!$C$4))</f>
        <v/>
      </c>
      <c r="AF203" s="2" t="str">
        <f aca="false">IF($B203="","",COUNTIFS(Datos_items!$B:$B,$B203,Datos_items!$AA:$AA,AF$4,Datos_items!$E:$E,Analisis_grupo!$C$4))</f>
        <v/>
      </c>
      <c r="AG203" s="2" t="str">
        <f aca="false">IF($B203="","",COUNTIFS(Datos_items!$B:$B,$B203,Datos_items!$AA:$AA,AG$4,Datos_items!$E:$E,Analisis_grupo!$C$4))</f>
        <v/>
      </c>
      <c r="AH203" s="2" t="str">
        <f aca="false">IF($B203="","",COUNTIFS(Datos_items!$B:$B,$B203,Datos_items!$AA:$AA,AH$4,Datos_items!$E:$E,Analisis_grupo!$C$4))</f>
        <v/>
      </c>
      <c r="AI203" s="2" t="str">
        <f aca="false">IF($B203="","",COUNTIFS(Datos_items!$B:$B,$B203,Datos_items!$AA:$AA,AI$4,Datos_items!$E:$E,Analisis_grupo!$C$4))</f>
        <v/>
      </c>
      <c r="AJ203" s="2" t="str">
        <f aca="false">IF($B203="","",COUNTIFS(Datos_items!$B:$B,$B203,Datos_items!$AA:$AA,AJ$4,Datos_items!$E:$E,Analisis_grupo!$C$4))</f>
        <v/>
      </c>
      <c r="AK203" s="2" t="str">
        <f aca="false">IF($B203="","",COUNTIFS(Datos_items!$B:$B,$B203,Datos_items!$AA:$AA,AK$4,Datos_items!$E:$E,Analisis_grupo!$C$4))</f>
        <v/>
      </c>
      <c r="AL203" s="2" t="str">
        <f aca="false">IF($B203="","",COUNTIFS(Datos_items!$B:$B,$B203,Datos_items!$AA:$AA,AL$4,Datos_items!$E:$E,Analisis_grupo!$C$4))</f>
        <v/>
      </c>
      <c r="AM203" s="2" t="str">
        <f aca="false">IF($B203="","",IF(MAX(Y203:AL203)=0,"",INDEX($Y$4:$AL$4,MATCH(MAX(Y203:AL203),Y203:AL203,0))))</f>
        <v/>
      </c>
      <c r="AN203" s="2" t="str">
        <f aca="false">IF($B203="","",COUNTIFS(Datos_problemas!$B:$B,$B203,Datos_problemas!$F:$F,"Práctica"))</f>
        <v/>
      </c>
      <c r="AO203" s="2" t="str">
        <f aca="false">IF($B203="","",SUMIFS(Datos_problemas!$AQ:$AQ,Datos_problemas!$B:$B,$B203,Datos_problemas!$F:$F,"Práctica"))</f>
        <v/>
      </c>
      <c r="AP203" s="2" t="str">
        <f aca="false">IF($B203="","",COUNTIFS(Datos_problemas!$B:$B,$B203,Datos_problemas!$F:$F,"Práctica",Datos_problemas!$AS:$AS,"Sí"))</f>
        <v/>
      </c>
    </row>
    <row r="204" customFormat="false" ht="15" hidden="false" customHeight="false" outlineLevel="0" collapsed="false">
      <c r="A204" s="2" t="n">
        <v>200</v>
      </c>
      <c r="B204" s="2" t="str">
        <f aca="false">IFERROR(INDEX(Datos_problemas!$B:$B,MATCH($A204,Datos_problemas!$AV:$AV,0)),"")</f>
        <v/>
      </c>
      <c r="C204" s="2" t="str">
        <f aca="false">IF($B204="","",INDEX(Datos_problemas!$C:$C,MATCH($A204,Datos_problemas!$AV:$AV,0)))</f>
        <v/>
      </c>
      <c r="D204" s="2" t="str">
        <f aca="false">IF($B204="","",INDEX(Datos_problemas!$D:$D,MATCH($A204,Datos_problemas!$AV:$AV,0)))</f>
        <v/>
      </c>
      <c r="E204" s="2" t="str">
        <f aca="false">IF($B204="","",COUNTIFS(Datos_problemas!$B:$B,$B204,Datos_problemas!$F:$F,"Evaluación"))</f>
        <v/>
      </c>
      <c r="F204" s="20" t="str">
        <f aca="false">IF($B204="","",IFERROR(AVERAGEIFS(Datos_problemas!$AE:$AE,Datos_problemas!$B:$B,$B204,Datos_problemas!$F:$F,"Evaluación"),""))</f>
        <v/>
      </c>
      <c r="G204" s="20" t="str">
        <f aca="false">IF($B204="","",IFERROR(AVERAGEIFS(Datos_problemas!$AE:$AE,Datos_problemas!$B:$B,$B204,Datos_problemas!$F:$F,"Evaluación",Datos_problemas!$E:$E,"Diagnóstico"),""))</f>
        <v/>
      </c>
      <c r="H204" s="20" t="str">
        <f aca="false">IF($B204="","",IFERROR(AVERAGEIFS(Datos_problemas!$AE:$AE,Datos_problemas!$B:$B,$B204,Datos_problemas!$F:$F,"Evaluación",Datos_problemas!$E:$E,"Final"),""))</f>
        <v/>
      </c>
      <c r="I204" s="21" t="str">
        <f aca="false">IF(OR(G204="",H204=""),"",IF(G204&gt;=10,"",(H204-G204)/(10-G204)))</f>
        <v/>
      </c>
      <c r="J204" s="18" t="str">
        <f aca="false">IF($B204="","",IFERROR(SUMIFS(Datos_items!$Z:$Z,Datos_items!$B:$B,$B204,Datos_items!$O:$O,J$4,Datos_items!$E:$E,Analisis_grupo!$C$4)/COUNTIFS(Datos_items!$B:$B,$B204,Datos_items!$O:$O,J$4,Datos_items!$E:$E,Analisis_grupo!$C$4),""))</f>
        <v/>
      </c>
      <c r="K204" s="18" t="str">
        <f aca="false">IF($B204="","",IFERROR(SUMIFS(Datos_items!$Z:$Z,Datos_items!$B:$B,$B204,Datos_items!$O:$O,K$4,Datos_items!$E:$E,Analisis_grupo!$C$4)/COUNTIFS(Datos_items!$B:$B,$B204,Datos_items!$O:$O,K$4,Datos_items!$E:$E,Analisis_grupo!$C$4),""))</f>
        <v/>
      </c>
      <c r="L204" s="18" t="str">
        <f aca="false">IF($B204="","",IFERROR(SUMIFS(Datos_items!$Z:$Z,Datos_items!$B:$B,$B204,Datos_items!$O:$O,L$4,Datos_items!$E:$E,Analisis_grupo!$C$4)/COUNTIFS(Datos_items!$B:$B,$B204,Datos_items!$O:$O,L$4,Datos_items!$E:$E,Analisis_grupo!$C$4),""))</f>
        <v/>
      </c>
      <c r="M204" s="18" t="str">
        <f aca="false">IF($B204="","",IFERROR(SUMIFS(Datos_items!$Z:$Z,Datos_items!$B:$B,$B204,Datos_items!$O:$O,M$4,Datos_items!$E:$E,Analisis_grupo!$C$4)/COUNTIFS(Datos_items!$B:$B,$B204,Datos_items!$O:$O,M$4,Datos_items!$E:$E,Analisis_grupo!$C$4),""))</f>
        <v/>
      </c>
      <c r="N204" s="18" t="str">
        <f aca="false">IF($B204="","",IFERROR(SUMIFS(Datos_items!$Z:$Z,Datos_items!$B:$B,$B204,Datos_items!$O:$O,N$4,Datos_items!$E:$E,Analisis_grupo!$C$4)/COUNTIFS(Datos_items!$B:$B,$B204,Datos_items!$O:$O,N$4,Datos_items!$E:$E,Analisis_grupo!$C$4),""))</f>
        <v/>
      </c>
      <c r="O204" s="18" t="str">
        <f aca="false">IF($B204="","",IFERROR(SUMIFS(Datos_items!$Z:$Z,Datos_items!$B:$B,$B204,Datos_items!$O:$O,O$4,Datos_items!$E:$E,Analisis_grupo!$C$4)/COUNTIFS(Datos_items!$B:$B,$B204,Datos_items!$O:$O,O$4,Datos_items!$E:$E,Analisis_grupo!$C$4),""))</f>
        <v/>
      </c>
      <c r="P204" s="18" t="str">
        <f aca="false">IF($B204="","",IFERROR(SUMIFS(Datos_items!$Z:$Z,Datos_items!$B:$B,$B204,Datos_items!$O:$O,P$4,Datos_items!$E:$E,Analisis_grupo!$C$4)/COUNTIFS(Datos_items!$B:$B,$B204,Datos_items!$O:$O,P$4,Datos_items!$E:$E,Analisis_grupo!$C$4),""))</f>
        <v/>
      </c>
      <c r="Q204" s="18" t="str">
        <f aca="false">IF($B204="","",IFERROR(SUMIFS(Datos_items!$Z:$Z,Datos_items!$B:$B,$B204,Datos_items!$O:$O,Q$4,Datos_items!$E:$E,Analisis_grupo!$C$4)/COUNTIFS(Datos_items!$B:$B,$B204,Datos_items!$O:$O,Q$4,Datos_items!$E:$E,Analisis_grupo!$C$4),""))</f>
        <v/>
      </c>
      <c r="R204" s="2" t="str">
        <f aca="false">IF(COUNT(J204:Q204)=0,"",IF(MIN(J204:Q204)&gt;=Analisis_grupo!$B$7,"(ninguna)",INDEX($J$4:$Q$4,MATCH(MIN(J204:Q204),J204:Q204,0))))</f>
        <v/>
      </c>
      <c r="S204" s="2" t="str">
        <f aca="false">IF($B204="","",COUNTIF(J204:Q204,"&lt;"&amp;Analisis_grupo!$B$7))</f>
        <v/>
      </c>
      <c r="T204" s="2" t="str">
        <f aca="false">IF($B204="","",COUNTIFS(Datos_items!$B:$B,$B204,Datos_items!$AA:$AA,T$4,Datos_items!$E:$E,Analisis_grupo!$C$4))</f>
        <v/>
      </c>
      <c r="U204" s="2" t="str">
        <f aca="false">IF($B204="","",COUNTIFS(Datos_items!$B:$B,$B204,Datos_items!$AA:$AA,U$4,Datos_items!$E:$E,Analisis_grupo!$C$4))</f>
        <v/>
      </c>
      <c r="V204" s="2" t="str">
        <f aca="false">IF($B204="","",COUNTIFS(Datos_items!$B:$B,$B204,Datos_items!$AA:$AA,V$4,Datos_items!$E:$E,Analisis_grupo!$C$4))</f>
        <v/>
      </c>
      <c r="W204" s="2" t="str">
        <f aca="false">IF($B204="","",COUNTIFS(Datos_items!$B:$B,$B204,Datos_items!$AA:$AA,W$4,Datos_items!$E:$E,Analisis_grupo!$C$4))</f>
        <v/>
      </c>
      <c r="X204" s="2" t="str">
        <f aca="false">IF($B204="","",COUNTIFS(Datos_items!$B:$B,$B204,Datos_items!$AA:$AA,X$4,Datos_items!$E:$E,Analisis_grupo!$C$4))</f>
        <v/>
      </c>
      <c r="Y204" s="2" t="str">
        <f aca="false">IF($B204="","",COUNTIFS(Datos_items!$B:$B,$B204,Datos_items!$AA:$AA,Y$4,Datos_items!$E:$E,Analisis_grupo!$C$4))</f>
        <v/>
      </c>
      <c r="Z204" s="2" t="str">
        <f aca="false">IF($B204="","",COUNTIFS(Datos_items!$B:$B,$B204,Datos_items!$AA:$AA,Z$4,Datos_items!$E:$E,Analisis_grupo!$C$4))</f>
        <v/>
      </c>
      <c r="AA204" s="2" t="str">
        <f aca="false">IF($B204="","",COUNTIFS(Datos_items!$B:$B,$B204,Datos_items!$AA:$AA,AA$4,Datos_items!$E:$E,Analisis_grupo!$C$4))</f>
        <v/>
      </c>
      <c r="AB204" s="2" t="str">
        <f aca="false">IF($B204="","",COUNTIFS(Datos_items!$B:$B,$B204,Datos_items!$AA:$AA,AB$4,Datos_items!$E:$E,Analisis_grupo!$C$4))</f>
        <v/>
      </c>
      <c r="AC204" s="2" t="str">
        <f aca="false">IF($B204="","",COUNTIFS(Datos_items!$B:$B,$B204,Datos_items!$AA:$AA,AC$4,Datos_items!$E:$E,Analisis_grupo!$C$4))</f>
        <v/>
      </c>
      <c r="AD204" s="2" t="str">
        <f aca="false">IF($B204="","",COUNTIFS(Datos_items!$B:$B,$B204,Datos_items!$AA:$AA,AD$4,Datos_items!$E:$E,Analisis_grupo!$C$4))</f>
        <v/>
      </c>
      <c r="AE204" s="2" t="str">
        <f aca="false">IF($B204="","",COUNTIFS(Datos_items!$B:$B,$B204,Datos_items!$AA:$AA,AE$4,Datos_items!$E:$E,Analisis_grupo!$C$4))</f>
        <v/>
      </c>
      <c r="AF204" s="2" t="str">
        <f aca="false">IF($B204="","",COUNTIFS(Datos_items!$B:$B,$B204,Datos_items!$AA:$AA,AF$4,Datos_items!$E:$E,Analisis_grupo!$C$4))</f>
        <v/>
      </c>
      <c r="AG204" s="2" t="str">
        <f aca="false">IF($B204="","",COUNTIFS(Datos_items!$B:$B,$B204,Datos_items!$AA:$AA,AG$4,Datos_items!$E:$E,Analisis_grupo!$C$4))</f>
        <v/>
      </c>
      <c r="AH204" s="2" t="str">
        <f aca="false">IF($B204="","",COUNTIFS(Datos_items!$B:$B,$B204,Datos_items!$AA:$AA,AH$4,Datos_items!$E:$E,Analisis_grupo!$C$4))</f>
        <v/>
      </c>
      <c r="AI204" s="2" t="str">
        <f aca="false">IF($B204="","",COUNTIFS(Datos_items!$B:$B,$B204,Datos_items!$AA:$AA,AI$4,Datos_items!$E:$E,Analisis_grupo!$C$4))</f>
        <v/>
      </c>
      <c r="AJ204" s="2" t="str">
        <f aca="false">IF($B204="","",COUNTIFS(Datos_items!$B:$B,$B204,Datos_items!$AA:$AA,AJ$4,Datos_items!$E:$E,Analisis_grupo!$C$4))</f>
        <v/>
      </c>
      <c r="AK204" s="2" t="str">
        <f aca="false">IF($B204="","",COUNTIFS(Datos_items!$B:$B,$B204,Datos_items!$AA:$AA,AK$4,Datos_items!$E:$E,Analisis_grupo!$C$4))</f>
        <v/>
      </c>
      <c r="AL204" s="2" t="str">
        <f aca="false">IF($B204="","",COUNTIFS(Datos_items!$B:$B,$B204,Datos_items!$AA:$AA,AL$4,Datos_items!$E:$E,Analisis_grupo!$C$4))</f>
        <v/>
      </c>
      <c r="AM204" s="2" t="str">
        <f aca="false">IF($B204="","",IF(MAX(Y204:AL204)=0,"",INDEX($Y$4:$AL$4,MATCH(MAX(Y204:AL204),Y204:AL204,0))))</f>
        <v/>
      </c>
      <c r="AN204" s="2" t="str">
        <f aca="false">IF($B204="","",COUNTIFS(Datos_problemas!$B:$B,$B204,Datos_problemas!$F:$F,"Práctica"))</f>
        <v/>
      </c>
      <c r="AO204" s="2" t="str">
        <f aca="false">IF($B204="","",SUMIFS(Datos_problemas!$AQ:$AQ,Datos_problemas!$B:$B,$B204,Datos_problemas!$F:$F,"Práctica"))</f>
        <v/>
      </c>
      <c r="AP204" s="2" t="str">
        <f aca="false">IF($B204="","",COUNTIFS(Datos_problemas!$B:$B,$B204,Datos_problemas!$F:$F,"Práctica",Datos_problemas!$AS:$AS,"Sí"))</f>
        <v/>
      </c>
    </row>
    <row r="205" customFormat="false" ht="15" hidden="false" customHeight="false" outlineLevel="0" collapsed="false">
      <c r="A205" s="2" t="n">
        <v>201</v>
      </c>
      <c r="B205" s="2" t="str">
        <f aca="false">IFERROR(INDEX(Datos_problemas!$B:$B,MATCH($A205,Datos_problemas!$AV:$AV,0)),"")</f>
        <v/>
      </c>
      <c r="C205" s="2" t="str">
        <f aca="false">IF($B205="","",INDEX(Datos_problemas!$C:$C,MATCH($A205,Datos_problemas!$AV:$AV,0)))</f>
        <v/>
      </c>
      <c r="D205" s="2" t="str">
        <f aca="false">IF($B205="","",INDEX(Datos_problemas!$D:$D,MATCH($A205,Datos_problemas!$AV:$AV,0)))</f>
        <v/>
      </c>
      <c r="E205" s="2" t="str">
        <f aca="false">IF($B205="","",COUNTIFS(Datos_problemas!$B:$B,$B205,Datos_problemas!$F:$F,"Evaluación"))</f>
        <v/>
      </c>
      <c r="F205" s="20" t="str">
        <f aca="false">IF($B205="","",IFERROR(AVERAGEIFS(Datos_problemas!$AE:$AE,Datos_problemas!$B:$B,$B205,Datos_problemas!$F:$F,"Evaluación"),""))</f>
        <v/>
      </c>
      <c r="G205" s="20" t="str">
        <f aca="false">IF($B205="","",IFERROR(AVERAGEIFS(Datos_problemas!$AE:$AE,Datos_problemas!$B:$B,$B205,Datos_problemas!$F:$F,"Evaluación",Datos_problemas!$E:$E,"Diagnóstico"),""))</f>
        <v/>
      </c>
      <c r="H205" s="20" t="str">
        <f aca="false">IF($B205="","",IFERROR(AVERAGEIFS(Datos_problemas!$AE:$AE,Datos_problemas!$B:$B,$B205,Datos_problemas!$F:$F,"Evaluación",Datos_problemas!$E:$E,"Final"),""))</f>
        <v/>
      </c>
      <c r="I205" s="21" t="str">
        <f aca="false">IF(OR(G205="",H205=""),"",IF(G205&gt;=10,"",(H205-G205)/(10-G205)))</f>
        <v/>
      </c>
      <c r="J205" s="18" t="str">
        <f aca="false">IF($B205="","",IFERROR(SUMIFS(Datos_items!$Z:$Z,Datos_items!$B:$B,$B205,Datos_items!$O:$O,J$4,Datos_items!$E:$E,Analisis_grupo!$C$4)/COUNTIFS(Datos_items!$B:$B,$B205,Datos_items!$O:$O,J$4,Datos_items!$E:$E,Analisis_grupo!$C$4),""))</f>
        <v/>
      </c>
      <c r="K205" s="18" t="str">
        <f aca="false">IF($B205="","",IFERROR(SUMIFS(Datos_items!$Z:$Z,Datos_items!$B:$B,$B205,Datos_items!$O:$O,K$4,Datos_items!$E:$E,Analisis_grupo!$C$4)/COUNTIFS(Datos_items!$B:$B,$B205,Datos_items!$O:$O,K$4,Datos_items!$E:$E,Analisis_grupo!$C$4),""))</f>
        <v/>
      </c>
      <c r="L205" s="18" t="str">
        <f aca="false">IF($B205="","",IFERROR(SUMIFS(Datos_items!$Z:$Z,Datos_items!$B:$B,$B205,Datos_items!$O:$O,L$4,Datos_items!$E:$E,Analisis_grupo!$C$4)/COUNTIFS(Datos_items!$B:$B,$B205,Datos_items!$O:$O,L$4,Datos_items!$E:$E,Analisis_grupo!$C$4),""))</f>
        <v/>
      </c>
      <c r="M205" s="18" t="str">
        <f aca="false">IF($B205="","",IFERROR(SUMIFS(Datos_items!$Z:$Z,Datos_items!$B:$B,$B205,Datos_items!$O:$O,M$4,Datos_items!$E:$E,Analisis_grupo!$C$4)/COUNTIFS(Datos_items!$B:$B,$B205,Datos_items!$O:$O,M$4,Datos_items!$E:$E,Analisis_grupo!$C$4),""))</f>
        <v/>
      </c>
      <c r="N205" s="18" t="str">
        <f aca="false">IF($B205="","",IFERROR(SUMIFS(Datos_items!$Z:$Z,Datos_items!$B:$B,$B205,Datos_items!$O:$O,N$4,Datos_items!$E:$E,Analisis_grupo!$C$4)/COUNTIFS(Datos_items!$B:$B,$B205,Datos_items!$O:$O,N$4,Datos_items!$E:$E,Analisis_grupo!$C$4),""))</f>
        <v/>
      </c>
      <c r="O205" s="18" t="str">
        <f aca="false">IF($B205="","",IFERROR(SUMIFS(Datos_items!$Z:$Z,Datos_items!$B:$B,$B205,Datos_items!$O:$O,O$4,Datos_items!$E:$E,Analisis_grupo!$C$4)/COUNTIFS(Datos_items!$B:$B,$B205,Datos_items!$O:$O,O$4,Datos_items!$E:$E,Analisis_grupo!$C$4),""))</f>
        <v/>
      </c>
      <c r="P205" s="18" t="str">
        <f aca="false">IF($B205="","",IFERROR(SUMIFS(Datos_items!$Z:$Z,Datos_items!$B:$B,$B205,Datos_items!$O:$O,P$4,Datos_items!$E:$E,Analisis_grupo!$C$4)/COUNTIFS(Datos_items!$B:$B,$B205,Datos_items!$O:$O,P$4,Datos_items!$E:$E,Analisis_grupo!$C$4),""))</f>
        <v/>
      </c>
      <c r="Q205" s="18" t="str">
        <f aca="false">IF($B205="","",IFERROR(SUMIFS(Datos_items!$Z:$Z,Datos_items!$B:$B,$B205,Datos_items!$O:$O,Q$4,Datos_items!$E:$E,Analisis_grupo!$C$4)/COUNTIFS(Datos_items!$B:$B,$B205,Datos_items!$O:$O,Q$4,Datos_items!$E:$E,Analisis_grupo!$C$4),""))</f>
        <v/>
      </c>
      <c r="R205" s="2" t="str">
        <f aca="false">IF(COUNT(J205:Q205)=0,"",IF(MIN(J205:Q205)&gt;=Analisis_grupo!$B$7,"(ninguna)",INDEX($J$4:$Q$4,MATCH(MIN(J205:Q205),J205:Q205,0))))</f>
        <v/>
      </c>
      <c r="S205" s="2" t="str">
        <f aca="false">IF($B205="","",COUNTIF(J205:Q205,"&lt;"&amp;Analisis_grupo!$B$7))</f>
        <v/>
      </c>
      <c r="T205" s="2" t="str">
        <f aca="false">IF($B205="","",COUNTIFS(Datos_items!$B:$B,$B205,Datos_items!$AA:$AA,T$4,Datos_items!$E:$E,Analisis_grupo!$C$4))</f>
        <v/>
      </c>
      <c r="U205" s="2" t="str">
        <f aca="false">IF($B205="","",COUNTIFS(Datos_items!$B:$B,$B205,Datos_items!$AA:$AA,U$4,Datos_items!$E:$E,Analisis_grupo!$C$4))</f>
        <v/>
      </c>
      <c r="V205" s="2" t="str">
        <f aca="false">IF($B205="","",COUNTIFS(Datos_items!$B:$B,$B205,Datos_items!$AA:$AA,V$4,Datos_items!$E:$E,Analisis_grupo!$C$4))</f>
        <v/>
      </c>
      <c r="W205" s="2" t="str">
        <f aca="false">IF($B205="","",COUNTIFS(Datos_items!$B:$B,$B205,Datos_items!$AA:$AA,W$4,Datos_items!$E:$E,Analisis_grupo!$C$4))</f>
        <v/>
      </c>
      <c r="X205" s="2" t="str">
        <f aca="false">IF($B205="","",COUNTIFS(Datos_items!$B:$B,$B205,Datos_items!$AA:$AA,X$4,Datos_items!$E:$E,Analisis_grupo!$C$4))</f>
        <v/>
      </c>
      <c r="Y205" s="2" t="str">
        <f aca="false">IF($B205="","",COUNTIFS(Datos_items!$B:$B,$B205,Datos_items!$AA:$AA,Y$4,Datos_items!$E:$E,Analisis_grupo!$C$4))</f>
        <v/>
      </c>
      <c r="Z205" s="2" t="str">
        <f aca="false">IF($B205="","",COUNTIFS(Datos_items!$B:$B,$B205,Datos_items!$AA:$AA,Z$4,Datos_items!$E:$E,Analisis_grupo!$C$4))</f>
        <v/>
      </c>
      <c r="AA205" s="2" t="str">
        <f aca="false">IF($B205="","",COUNTIFS(Datos_items!$B:$B,$B205,Datos_items!$AA:$AA,AA$4,Datos_items!$E:$E,Analisis_grupo!$C$4))</f>
        <v/>
      </c>
      <c r="AB205" s="2" t="str">
        <f aca="false">IF($B205="","",COUNTIFS(Datos_items!$B:$B,$B205,Datos_items!$AA:$AA,AB$4,Datos_items!$E:$E,Analisis_grupo!$C$4))</f>
        <v/>
      </c>
      <c r="AC205" s="2" t="str">
        <f aca="false">IF($B205="","",COUNTIFS(Datos_items!$B:$B,$B205,Datos_items!$AA:$AA,AC$4,Datos_items!$E:$E,Analisis_grupo!$C$4))</f>
        <v/>
      </c>
      <c r="AD205" s="2" t="str">
        <f aca="false">IF($B205="","",COUNTIFS(Datos_items!$B:$B,$B205,Datos_items!$AA:$AA,AD$4,Datos_items!$E:$E,Analisis_grupo!$C$4))</f>
        <v/>
      </c>
      <c r="AE205" s="2" t="str">
        <f aca="false">IF($B205="","",COUNTIFS(Datos_items!$B:$B,$B205,Datos_items!$AA:$AA,AE$4,Datos_items!$E:$E,Analisis_grupo!$C$4))</f>
        <v/>
      </c>
      <c r="AF205" s="2" t="str">
        <f aca="false">IF($B205="","",COUNTIFS(Datos_items!$B:$B,$B205,Datos_items!$AA:$AA,AF$4,Datos_items!$E:$E,Analisis_grupo!$C$4))</f>
        <v/>
      </c>
      <c r="AG205" s="2" t="str">
        <f aca="false">IF($B205="","",COUNTIFS(Datos_items!$B:$B,$B205,Datos_items!$AA:$AA,AG$4,Datos_items!$E:$E,Analisis_grupo!$C$4))</f>
        <v/>
      </c>
      <c r="AH205" s="2" t="str">
        <f aca="false">IF($B205="","",COUNTIFS(Datos_items!$B:$B,$B205,Datos_items!$AA:$AA,AH$4,Datos_items!$E:$E,Analisis_grupo!$C$4))</f>
        <v/>
      </c>
      <c r="AI205" s="2" t="str">
        <f aca="false">IF($B205="","",COUNTIFS(Datos_items!$B:$B,$B205,Datos_items!$AA:$AA,AI$4,Datos_items!$E:$E,Analisis_grupo!$C$4))</f>
        <v/>
      </c>
      <c r="AJ205" s="2" t="str">
        <f aca="false">IF($B205="","",COUNTIFS(Datos_items!$B:$B,$B205,Datos_items!$AA:$AA,AJ$4,Datos_items!$E:$E,Analisis_grupo!$C$4))</f>
        <v/>
      </c>
      <c r="AK205" s="2" t="str">
        <f aca="false">IF($B205="","",COUNTIFS(Datos_items!$B:$B,$B205,Datos_items!$AA:$AA,AK$4,Datos_items!$E:$E,Analisis_grupo!$C$4))</f>
        <v/>
      </c>
      <c r="AL205" s="2" t="str">
        <f aca="false">IF($B205="","",COUNTIFS(Datos_items!$B:$B,$B205,Datos_items!$AA:$AA,AL$4,Datos_items!$E:$E,Analisis_grupo!$C$4))</f>
        <v/>
      </c>
      <c r="AM205" s="2" t="str">
        <f aca="false">IF($B205="","",IF(MAX(Y205:AL205)=0,"",INDEX($Y$4:$AL$4,MATCH(MAX(Y205:AL205),Y205:AL205,0))))</f>
        <v/>
      </c>
      <c r="AN205" s="2" t="str">
        <f aca="false">IF($B205="","",COUNTIFS(Datos_problemas!$B:$B,$B205,Datos_problemas!$F:$F,"Práctica"))</f>
        <v/>
      </c>
      <c r="AO205" s="2" t="str">
        <f aca="false">IF($B205="","",SUMIFS(Datos_problemas!$AQ:$AQ,Datos_problemas!$B:$B,$B205,Datos_problemas!$F:$F,"Práctica"))</f>
        <v/>
      </c>
      <c r="AP205" s="2" t="str">
        <f aca="false">IF($B205="","",COUNTIFS(Datos_problemas!$B:$B,$B205,Datos_problemas!$F:$F,"Práctica",Datos_problemas!$AS:$AS,"Sí"))</f>
        <v/>
      </c>
    </row>
    <row r="206" customFormat="false" ht="15" hidden="false" customHeight="false" outlineLevel="0" collapsed="false">
      <c r="A206" s="2" t="n">
        <v>202</v>
      </c>
      <c r="B206" s="2" t="str">
        <f aca="false">IFERROR(INDEX(Datos_problemas!$B:$B,MATCH($A206,Datos_problemas!$AV:$AV,0)),"")</f>
        <v/>
      </c>
      <c r="C206" s="2" t="str">
        <f aca="false">IF($B206="","",INDEX(Datos_problemas!$C:$C,MATCH($A206,Datos_problemas!$AV:$AV,0)))</f>
        <v/>
      </c>
      <c r="D206" s="2" t="str">
        <f aca="false">IF($B206="","",INDEX(Datos_problemas!$D:$D,MATCH($A206,Datos_problemas!$AV:$AV,0)))</f>
        <v/>
      </c>
      <c r="E206" s="2" t="str">
        <f aca="false">IF($B206="","",COUNTIFS(Datos_problemas!$B:$B,$B206,Datos_problemas!$F:$F,"Evaluación"))</f>
        <v/>
      </c>
      <c r="F206" s="20" t="str">
        <f aca="false">IF($B206="","",IFERROR(AVERAGEIFS(Datos_problemas!$AE:$AE,Datos_problemas!$B:$B,$B206,Datos_problemas!$F:$F,"Evaluación"),""))</f>
        <v/>
      </c>
      <c r="G206" s="20" t="str">
        <f aca="false">IF($B206="","",IFERROR(AVERAGEIFS(Datos_problemas!$AE:$AE,Datos_problemas!$B:$B,$B206,Datos_problemas!$F:$F,"Evaluación",Datos_problemas!$E:$E,"Diagnóstico"),""))</f>
        <v/>
      </c>
      <c r="H206" s="20" t="str">
        <f aca="false">IF($B206="","",IFERROR(AVERAGEIFS(Datos_problemas!$AE:$AE,Datos_problemas!$B:$B,$B206,Datos_problemas!$F:$F,"Evaluación",Datos_problemas!$E:$E,"Final"),""))</f>
        <v/>
      </c>
      <c r="I206" s="21" t="str">
        <f aca="false">IF(OR(G206="",H206=""),"",IF(G206&gt;=10,"",(H206-G206)/(10-G206)))</f>
        <v/>
      </c>
      <c r="J206" s="18" t="str">
        <f aca="false">IF($B206="","",IFERROR(SUMIFS(Datos_items!$Z:$Z,Datos_items!$B:$B,$B206,Datos_items!$O:$O,J$4,Datos_items!$E:$E,Analisis_grupo!$C$4)/COUNTIFS(Datos_items!$B:$B,$B206,Datos_items!$O:$O,J$4,Datos_items!$E:$E,Analisis_grupo!$C$4),""))</f>
        <v/>
      </c>
      <c r="K206" s="18" t="str">
        <f aca="false">IF($B206="","",IFERROR(SUMIFS(Datos_items!$Z:$Z,Datos_items!$B:$B,$B206,Datos_items!$O:$O,K$4,Datos_items!$E:$E,Analisis_grupo!$C$4)/COUNTIFS(Datos_items!$B:$B,$B206,Datos_items!$O:$O,K$4,Datos_items!$E:$E,Analisis_grupo!$C$4),""))</f>
        <v/>
      </c>
      <c r="L206" s="18" t="str">
        <f aca="false">IF($B206="","",IFERROR(SUMIFS(Datos_items!$Z:$Z,Datos_items!$B:$B,$B206,Datos_items!$O:$O,L$4,Datos_items!$E:$E,Analisis_grupo!$C$4)/COUNTIFS(Datos_items!$B:$B,$B206,Datos_items!$O:$O,L$4,Datos_items!$E:$E,Analisis_grupo!$C$4),""))</f>
        <v/>
      </c>
      <c r="M206" s="18" t="str">
        <f aca="false">IF($B206="","",IFERROR(SUMIFS(Datos_items!$Z:$Z,Datos_items!$B:$B,$B206,Datos_items!$O:$O,M$4,Datos_items!$E:$E,Analisis_grupo!$C$4)/COUNTIFS(Datos_items!$B:$B,$B206,Datos_items!$O:$O,M$4,Datos_items!$E:$E,Analisis_grupo!$C$4),""))</f>
        <v/>
      </c>
      <c r="N206" s="18" t="str">
        <f aca="false">IF($B206="","",IFERROR(SUMIFS(Datos_items!$Z:$Z,Datos_items!$B:$B,$B206,Datos_items!$O:$O,N$4,Datos_items!$E:$E,Analisis_grupo!$C$4)/COUNTIFS(Datos_items!$B:$B,$B206,Datos_items!$O:$O,N$4,Datos_items!$E:$E,Analisis_grupo!$C$4),""))</f>
        <v/>
      </c>
      <c r="O206" s="18" t="str">
        <f aca="false">IF($B206="","",IFERROR(SUMIFS(Datos_items!$Z:$Z,Datos_items!$B:$B,$B206,Datos_items!$O:$O,O$4,Datos_items!$E:$E,Analisis_grupo!$C$4)/COUNTIFS(Datos_items!$B:$B,$B206,Datos_items!$O:$O,O$4,Datos_items!$E:$E,Analisis_grupo!$C$4),""))</f>
        <v/>
      </c>
      <c r="P206" s="18" t="str">
        <f aca="false">IF($B206="","",IFERROR(SUMIFS(Datos_items!$Z:$Z,Datos_items!$B:$B,$B206,Datos_items!$O:$O,P$4,Datos_items!$E:$E,Analisis_grupo!$C$4)/COUNTIFS(Datos_items!$B:$B,$B206,Datos_items!$O:$O,P$4,Datos_items!$E:$E,Analisis_grupo!$C$4),""))</f>
        <v/>
      </c>
      <c r="Q206" s="18" t="str">
        <f aca="false">IF($B206="","",IFERROR(SUMIFS(Datos_items!$Z:$Z,Datos_items!$B:$B,$B206,Datos_items!$O:$O,Q$4,Datos_items!$E:$E,Analisis_grupo!$C$4)/COUNTIFS(Datos_items!$B:$B,$B206,Datos_items!$O:$O,Q$4,Datos_items!$E:$E,Analisis_grupo!$C$4),""))</f>
        <v/>
      </c>
      <c r="R206" s="2" t="str">
        <f aca="false">IF(COUNT(J206:Q206)=0,"",IF(MIN(J206:Q206)&gt;=Analisis_grupo!$B$7,"(ninguna)",INDEX($J$4:$Q$4,MATCH(MIN(J206:Q206),J206:Q206,0))))</f>
        <v/>
      </c>
      <c r="S206" s="2" t="str">
        <f aca="false">IF($B206="","",COUNTIF(J206:Q206,"&lt;"&amp;Analisis_grupo!$B$7))</f>
        <v/>
      </c>
      <c r="T206" s="2" t="str">
        <f aca="false">IF($B206="","",COUNTIFS(Datos_items!$B:$B,$B206,Datos_items!$AA:$AA,T$4,Datos_items!$E:$E,Analisis_grupo!$C$4))</f>
        <v/>
      </c>
      <c r="U206" s="2" t="str">
        <f aca="false">IF($B206="","",COUNTIFS(Datos_items!$B:$B,$B206,Datos_items!$AA:$AA,U$4,Datos_items!$E:$E,Analisis_grupo!$C$4))</f>
        <v/>
      </c>
      <c r="V206" s="2" t="str">
        <f aca="false">IF($B206="","",COUNTIFS(Datos_items!$B:$B,$B206,Datos_items!$AA:$AA,V$4,Datos_items!$E:$E,Analisis_grupo!$C$4))</f>
        <v/>
      </c>
      <c r="W206" s="2" t="str">
        <f aca="false">IF($B206="","",COUNTIFS(Datos_items!$B:$B,$B206,Datos_items!$AA:$AA,W$4,Datos_items!$E:$E,Analisis_grupo!$C$4))</f>
        <v/>
      </c>
      <c r="X206" s="2" t="str">
        <f aca="false">IF($B206="","",COUNTIFS(Datos_items!$B:$B,$B206,Datos_items!$AA:$AA,X$4,Datos_items!$E:$E,Analisis_grupo!$C$4))</f>
        <v/>
      </c>
      <c r="Y206" s="2" t="str">
        <f aca="false">IF($B206="","",COUNTIFS(Datos_items!$B:$B,$B206,Datos_items!$AA:$AA,Y$4,Datos_items!$E:$E,Analisis_grupo!$C$4))</f>
        <v/>
      </c>
      <c r="Z206" s="2" t="str">
        <f aca="false">IF($B206="","",COUNTIFS(Datos_items!$B:$B,$B206,Datos_items!$AA:$AA,Z$4,Datos_items!$E:$E,Analisis_grupo!$C$4))</f>
        <v/>
      </c>
      <c r="AA206" s="2" t="str">
        <f aca="false">IF($B206="","",COUNTIFS(Datos_items!$B:$B,$B206,Datos_items!$AA:$AA,AA$4,Datos_items!$E:$E,Analisis_grupo!$C$4))</f>
        <v/>
      </c>
      <c r="AB206" s="2" t="str">
        <f aca="false">IF($B206="","",COUNTIFS(Datos_items!$B:$B,$B206,Datos_items!$AA:$AA,AB$4,Datos_items!$E:$E,Analisis_grupo!$C$4))</f>
        <v/>
      </c>
      <c r="AC206" s="2" t="str">
        <f aca="false">IF($B206="","",COUNTIFS(Datos_items!$B:$B,$B206,Datos_items!$AA:$AA,AC$4,Datos_items!$E:$E,Analisis_grupo!$C$4))</f>
        <v/>
      </c>
      <c r="AD206" s="2" t="str">
        <f aca="false">IF($B206="","",COUNTIFS(Datos_items!$B:$B,$B206,Datos_items!$AA:$AA,AD$4,Datos_items!$E:$E,Analisis_grupo!$C$4))</f>
        <v/>
      </c>
      <c r="AE206" s="2" t="str">
        <f aca="false">IF($B206="","",COUNTIFS(Datos_items!$B:$B,$B206,Datos_items!$AA:$AA,AE$4,Datos_items!$E:$E,Analisis_grupo!$C$4))</f>
        <v/>
      </c>
      <c r="AF206" s="2" t="str">
        <f aca="false">IF($B206="","",COUNTIFS(Datos_items!$B:$B,$B206,Datos_items!$AA:$AA,AF$4,Datos_items!$E:$E,Analisis_grupo!$C$4))</f>
        <v/>
      </c>
      <c r="AG206" s="2" t="str">
        <f aca="false">IF($B206="","",COUNTIFS(Datos_items!$B:$B,$B206,Datos_items!$AA:$AA,AG$4,Datos_items!$E:$E,Analisis_grupo!$C$4))</f>
        <v/>
      </c>
      <c r="AH206" s="2" t="str">
        <f aca="false">IF($B206="","",COUNTIFS(Datos_items!$B:$B,$B206,Datos_items!$AA:$AA,AH$4,Datos_items!$E:$E,Analisis_grupo!$C$4))</f>
        <v/>
      </c>
      <c r="AI206" s="2" t="str">
        <f aca="false">IF($B206="","",COUNTIFS(Datos_items!$B:$B,$B206,Datos_items!$AA:$AA,AI$4,Datos_items!$E:$E,Analisis_grupo!$C$4))</f>
        <v/>
      </c>
      <c r="AJ206" s="2" t="str">
        <f aca="false">IF($B206="","",COUNTIFS(Datos_items!$B:$B,$B206,Datos_items!$AA:$AA,AJ$4,Datos_items!$E:$E,Analisis_grupo!$C$4))</f>
        <v/>
      </c>
      <c r="AK206" s="2" t="str">
        <f aca="false">IF($B206="","",COUNTIFS(Datos_items!$B:$B,$B206,Datos_items!$AA:$AA,AK$4,Datos_items!$E:$E,Analisis_grupo!$C$4))</f>
        <v/>
      </c>
      <c r="AL206" s="2" t="str">
        <f aca="false">IF($B206="","",COUNTIFS(Datos_items!$B:$B,$B206,Datos_items!$AA:$AA,AL$4,Datos_items!$E:$E,Analisis_grupo!$C$4))</f>
        <v/>
      </c>
      <c r="AM206" s="2" t="str">
        <f aca="false">IF($B206="","",IF(MAX(Y206:AL206)=0,"",INDEX($Y$4:$AL$4,MATCH(MAX(Y206:AL206),Y206:AL206,0))))</f>
        <v/>
      </c>
      <c r="AN206" s="2" t="str">
        <f aca="false">IF($B206="","",COUNTIFS(Datos_problemas!$B:$B,$B206,Datos_problemas!$F:$F,"Práctica"))</f>
        <v/>
      </c>
      <c r="AO206" s="2" t="str">
        <f aca="false">IF($B206="","",SUMIFS(Datos_problemas!$AQ:$AQ,Datos_problemas!$B:$B,$B206,Datos_problemas!$F:$F,"Práctica"))</f>
        <v/>
      </c>
      <c r="AP206" s="2" t="str">
        <f aca="false">IF($B206="","",COUNTIFS(Datos_problemas!$B:$B,$B206,Datos_problemas!$F:$F,"Práctica",Datos_problemas!$AS:$AS,"Sí"))</f>
        <v/>
      </c>
    </row>
    <row r="207" customFormat="false" ht="15" hidden="false" customHeight="false" outlineLevel="0" collapsed="false">
      <c r="A207" s="2" t="n">
        <v>203</v>
      </c>
      <c r="B207" s="2" t="str">
        <f aca="false">IFERROR(INDEX(Datos_problemas!$B:$B,MATCH($A207,Datos_problemas!$AV:$AV,0)),"")</f>
        <v/>
      </c>
      <c r="C207" s="2" t="str">
        <f aca="false">IF($B207="","",INDEX(Datos_problemas!$C:$C,MATCH($A207,Datos_problemas!$AV:$AV,0)))</f>
        <v/>
      </c>
      <c r="D207" s="2" t="str">
        <f aca="false">IF($B207="","",INDEX(Datos_problemas!$D:$D,MATCH($A207,Datos_problemas!$AV:$AV,0)))</f>
        <v/>
      </c>
      <c r="E207" s="2" t="str">
        <f aca="false">IF($B207="","",COUNTIFS(Datos_problemas!$B:$B,$B207,Datos_problemas!$F:$F,"Evaluación"))</f>
        <v/>
      </c>
      <c r="F207" s="20" t="str">
        <f aca="false">IF($B207="","",IFERROR(AVERAGEIFS(Datos_problemas!$AE:$AE,Datos_problemas!$B:$B,$B207,Datos_problemas!$F:$F,"Evaluación"),""))</f>
        <v/>
      </c>
      <c r="G207" s="20" t="str">
        <f aca="false">IF($B207="","",IFERROR(AVERAGEIFS(Datos_problemas!$AE:$AE,Datos_problemas!$B:$B,$B207,Datos_problemas!$F:$F,"Evaluación",Datos_problemas!$E:$E,"Diagnóstico"),""))</f>
        <v/>
      </c>
      <c r="H207" s="20" t="str">
        <f aca="false">IF($B207="","",IFERROR(AVERAGEIFS(Datos_problemas!$AE:$AE,Datos_problemas!$B:$B,$B207,Datos_problemas!$F:$F,"Evaluación",Datos_problemas!$E:$E,"Final"),""))</f>
        <v/>
      </c>
      <c r="I207" s="21" t="str">
        <f aca="false">IF(OR(G207="",H207=""),"",IF(G207&gt;=10,"",(H207-G207)/(10-G207)))</f>
        <v/>
      </c>
      <c r="J207" s="18" t="str">
        <f aca="false">IF($B207="","",IFERROR(SUMIFS(Datos_items!$Z:$Z,Datos_items!$B:$B,$B207,Datos_items!$O:$O,J$4,Datos_items!$E:$E,Analisis_grupo!$C$4)/COUNTIFS(Datos_items!$B:$B,$B207,Datos_items!$O:$O,J$4,Datos_items!$E:$E,Analisis_grupo!$C$4),""))</f>
        <v/>
      </c>
      <c r="K207" s="18" t="str">
        <f aca="false">IF($B207="","",IFERROR(SUMIFS(Datos_items!$Z:$Z,Datos_items!$B:$B,$B207,Datos_items!$O:$O,K$4,Datos_items!$E:$E,Analisis_grupo!$C$4)/COUNTIFS(Datos_items!$B:$B,$B207,Datos_items!$O:$O,K$4,Datos_items!$E:$E,Analisis_grupo!$C$4),""))</f>
        <v/>
      </c>
      <c r="L207" s="18" t="str">
        <f aca="false">IF($B207="","",IFERROR(SUMIFS(Datos_items!$Z:$Z,Datos_items!$B:$B,$B207,Datos_items!$O:$O,L$4,Datos_items!$E:$E,Analisis_grupo!$C$4)/COUNTIFS(Datos_items!$B:$B,$B207,Datos_items!$O:$O,L$4,Datos_items!$E:$E,Analisis_grupo!$C$4),""))</f>
        <v/>
      </c>
      <c r="M207" s="18" t="str">
        <f aca="false">IF($B207="","",IFERROR(SUMIFS(Datos_items!$Z:$Z,Datos_items!$B:$B,$B207,Datos_items!$O:$O,M$4,Datos_items!$E:$E,Analisis_grupo!$C$4)/COUNTIFS(Datos_items!$B:$B,$B207,Datos_items!$O:$O,M$4,Datos_items!$E:$E,Analisis_grupo!$C$4),""))</f>
        <v/>
      </c>
      <c r="N207" s="18" t="str">
        <f aca="false">IF($B207="","",IFERROR(SUMIFS(Datos_items!$Z:$Z,Datos_items!$B:$B,$B207,Datos_items!$O:$O,N$4,Datos_items!$E:$E,Analisis_grupo!$C$4)/COUNTIFS(Datos_items!$B:$B,$B207,Datos_items!$O:$O,N$4,Datos_items!$E:$E,Analisis_grupo!$C$4),""))</f>
        <v/>
      </c>
      <c r="O207" s="18" t="str">
        <f aca="false">IF($B207="","",IFERROR(SUMIFS(Datos_items!$Z:$Z,Datos_items!$B:$B,$B207,Datos_items!$O:$O,O$4,Datos_items!$E:$E,Analisis_grupo!$C$4)/COUNTIFS(Datos_items!$B:$B,$B207,Datos_items!$O:$O,O$4,Datos_items!$E:$E,Analisis_grupo!$C$4),""))</f>
        <v/>
      </c>
      <c r="P207" s="18" t="str">
        <f aca="false">IF($B207="","",IFERROR(SUMIFS(Datos_items!$Z:$Z,Datos_items!$B:$B,$B207,Datos_items!$O:$O,P$4,Datos_items!$E:$E,Analisis_grupo!$C$4)/COUNTIFS(Datos_items!$B:$B,$B207,Datos_items!$O:$O,P$4,Datos_items!$E:$E,Analisis_grupo!$C$4),""))</f>
        <v/>
      </c>
      <c r="Q207" s="18" t="str">
        <f aca="false">IF($B207="","",IFERROR(SUMIFS(Datos_items!$Z:$Z,Datos_items!$B:$B,$B207,Datos_items!$O:$O,Q$4,Datos_items!$E:$E,Analisis_grupo!$C$4)/COUNTIFS(Datos_items!$B:$B,$B207,Datos_items!$O:$O,Q$4,Datos_items!$E:$E,Analisis_grupo!$C$4),""))</f>
        <v/>
      </c>
      <c r="R207" s="2" t="str">
        <f aca="false">IF(COUNT(J207:Q207)=0,"",IF(MIN(J207:Q207)&gt;=Analisis_grupo!$B$7,"(ninguna)",INDEX($J$4:$Q$4,MATCH(MIN(J207:Q207),J207:Q207,0))))</f>
        <v/>
      </c>
      <c r="S207" s="2" t="str">
        <f aca="false">IF($B207="","",COUNTIF(J207:Q207,"&lt;"&amp;Analisis_grupo!$B$7))</f>
        <v/>
      </c>
      <c r="T207" s="2" t="str">
        <f aca="false">IF($B207="","",COUNTIFS(Datos_items!$B:$B,$B207,Datos_items!$AA:$AA,T$4,Datos_items!$E:$E,Analisis_grupo!$C$4))</f>
        <v/>
      </c>
      <c r="U207" s="2" t="str">
        <f aca="false">IF($B207="","",COUNTIFS(Datos_items!$B:$B,$B207,Datos_items!$AA:$AA,U$4,Datos_items!$E:$E,Analisis_grupo!$C$4))</f>
        <v/>
      </c>
      <c r="V207" s="2" t="str">
        <f aca="false">IF($B207="","",COUNTIFS(Datos_items!$B:$B,$B207,Datos_items!$AA:$AA,V$4,Datos_items!$E:$E,Analisis_grupo!$C$4))</f>
        <v/>
      </c>
      <c r="W207" s="2" t="str">
        <f aca="false">IF($B207="","",COUNTIFS(Datos_items!$B:$B,$B207,Datos_items!$AA:$AA,W$4,Datos_items!$E:$E,Analisis_grupo!$C$4))</f>
        <v/>
      </c>
      <c r="X207" s="2" t="str">
        <f aca="false">IF($B207="","",COUNTIFS(Datos_items!$B:$B,$B207,Datos_items!$AA:$AA,X$4,Datos_items!$E:$E,Analisis_grupo!$C$4))</f>
        <v/>
      </c>
      <c r="Y207" s="2" t="str">
        <f aca="false">IF($B207="","",COUNTIFS(Datos_items!$B:$B,$B207,Datos_items!$AA:$AA,Y$4,Datos_items!$E:$E,Analisis_grupo!$C$4))</f>
        <v/>
      </c>
      <c r="Z207" s="2" t="str">
        <f aca="false">IF($B207="","",COUNTIFS(Datos_items!$B:$B,$B207,Datos_items!$AA:$AA,Z$4,Datos_items!$E:$E,Analisis_grupo!$C$4))</f>
        <v/>
      </c>
      <c r="AA207" s="2" t="str">
        <f aca="false">IF($B207="","",COUNTIFS(Datos_items!$B:$B,$B207,Datos_items!$AA:$AA,AA$4,Datos_items!$E:$E,Analisis_grupo!$C$4))</f>
        <v/>
      </c>
      <c r="AB207" s="2" t="str">
        <f aca="false">IF($B207="","",COUNTIFS(Datos_items!$B:$B,$B207,Datos_items!$AA:$AA,AB$4,Datos_items!$E:$E,Analisis_grupo!$C$4))</f>
        <v/>
      </c>
      <c r="AC207" s="2" t="str">
        <f aca="false">IF($B207="","",COUNTIFS(Datos_items!$B:$B,$B207,Datos_items!$AA:$AA,AC$4,Datos_items!$E:$E,Analisis_grupo!$C$4))</f>
        <v/>
      </c>
      <c r="AD207" s="2" t="str">
        <f aca="false">IF($B207="","",COUNTIFS(Datos_items!$B:$B,$B207,Datos_items!$AA:$AA,AD$4,Datos_items!$E:$E,Analisis_grupo!$C$4))</f>
        <v/>
      </c>
      <c r="AE207" s="2" t="str">
        <f aca="false">IF($B207="","",COUNTIFS(Datos_items!$B:$B,$B207,Datos_items!$AA:$AA,AE$4,Datos_items!$E:$E,Analisis_grupo!$C$4))</f>
        <v/>
      </c>
      <c r="AF207" s="2" t="str">
        <f aca="false">IF($B207="","",COUNTIFS(Datos_items!$B:$B,$B207,Datos_items!$AA:$AA,AF$4,Datos_items!$E:$E,Analisis_grupo!$C$4))</f>
        <v/>
      </c>
      <c r="AG207" s="2" t="str">
        <f aca="false">IF($B207="","",COUNTIFS(Datos_items!$B:$B,$B207,Datos_items!$AA:$AA,AG$4,Datos_items!$E:$E,Analisis_grupo!$C$4))</f>
        <v/>
      </c>
      <c r="AH207" s="2" t="str">
        <f aca="false">IF($B207="","",COUNTIFS(Datos_items!$B:$B,$B207,Datos_items!$AA:$AA,AH$4,Datos_items!$E:$E,Analisis_grupo!$C$4))</f>
        <v/>
      </c>
      <c r="AI207" s="2" t="str">
        <f aca="false">IF($B207="","",COUNTIFS(Datos_items!$B:$B,$B207,Datos_items!$AA:$AA,AI$4,Datos_items!$E:$E,Analisis_grupo!$C$4))</f>
        <v/>
      </c>
      <c r="AJ207" s="2" t="str">
        <f aca="false">IF($B207="","",COUNTIFS(Datos_items!$B:$B,$B207,Datos_items!$AA:$AA,AJ$4,Datos_items!$E:$E,Analisis_grupo!$C$4))</f>
        <v/>
      </c>
      <c r="AK207" s="2" t="str">
        <f aca="false">IF($B207="","",COUNTIFS(Datos_items!$B:$B,$B207,Datos_items!$AA:$AA,AK$4,Datos_items!$E:$E,Analisis_grupo!$C$4))</f>
        <v/>
      </c>
      <c r="AL207" s="2" t="str">
        <f aca="false">IF($B207="","",COUNTIFS(Datos_items!$B:$B,$B207,Datos_items!$AA:$AA,AL$4,Datos_items!$E:$E,Analisis_grupo!$C$4))</f>
        <v/>
      </c>
      <c r="AM207" s="2" t="str">
        <f aca="false">IF($B207="","",IF(MAX(Y207:AL207)=0,"",INDEX($Y$4:$AL$4,MATCH(MAX(Y207:AL207),Y207:AL207,0))))</f>
        <v/>
      </c>
      <c r="AN207" s="2" t="str">
        <f aca="false">IF($B207="","",COUNTIFS(Datos_problemas!$B:$B,$B207,Datos_problemas!$F:$F,"Práctica"))</f>
        <v/>
      </c>
      <c r="AO207" s="2" t="str">
        <f aca="false">IF($B207="","",SUMIFS(Datos_problemas!$AQ:$AQ,Datos_problemas!$B:$B,$B207,Datos_problemas!$F:$F,"Práctica"))</f>
        <v/>
      </c>
      <c r="AP207" s="2" t="str">
        <f aca="false">IF($B207="","",COUNTIFS(Datos_problemas!$B:$B,$B207,Datos_problemas!$F:$F,"Práctica",Datos_problemas!$AS:$AS,"Sí"))</f>
        <v/>
      </c>
    </row>
    <row r="208" customFormat="false" ht="15" hidden="false" customHeight="false" outlineLevel="0" collapsed="false">
      <c r="A208" s="2" t="n">
        <v>204</v>
      </c>
      <c r="B208" s="2" t="str">
        <f aca="false">IFERROR(INDEX(Datos_problemas!$B:$B,MATCH($A208,Datos_problemas!$AV:$AV,0)),"")</f>
        <v/>
      </c>
      <c r="C208" s="2" t="str">
        <f aca="false">IF($B208="","",INDEX(Datos_problemas!$C:$C,MATCH($A208,Datos_problemas!$AV:$AV,0)))</f>
        <v/>
      </c>
      <c r="D208" s="2" t="str">
        <f aca="false">IF($B208="","",INDEX(Datos_problemas!$D:$D,MATCH($A208,Datos_problemas!$AV:$AV,0)))</f>
        <v/>
      </c>
      <c r="E208" s="2" t="str">
        <f aca="false">IF($B208="","",COUNTIFS(Datos_problemas!$B:$B,$B208,Datos_problemas!$F:$F,"Evaluación"))</f>
        <v/>
      </c>
      <c r="F208" s="20" t="str">
        <f aca="false">IF($B208="","",IFERROR(AVERAGEIFS(Datos_problemas!$AE:$AE,Datos_problemas!$B:$B,$B208,Datos_problemas!$F:$F,"Evaluación"),""))</f>
        <v/>
      </c>
      <c r="G208" s="20" t="str">
        <f aca="false">IF($B208="","",IFERROR(AVERAGEIFS(Datos_problemas!$AE:$AE,Datos_problemas!$B:$B,$B208,Datos_problemas!$F:$F,"Evaluación",Datos_problemas!$E:$E,"Diagnóstico"),""))</f>
        <v/>
      </c>
      <c r="H208" s="20" t="str">
        <f aca="false">IF($B208="","",IFERROR(AVERAGEIFS(Datos_problemas!$AE:$AE,Datos_problemas!$B:$B,$B208,Datos_problemas!$F:$F,"Evaluación",Datos_problemas!$E:$E,"Final"),""))</f>
        <v/>
      </c>
      <c r="I208" s="21" t="str">
        <f aca="false">IF(OR(G208="",H208=""),"",IF(G208&gt;=10,"",(H208-G208)/(10-G208)))</f>
        <v/>
      </c>
      <c r="J208" s="18" t="str">
        <f aca="false">IF($B208="","",IFERROR(SUMIFS(Datos_items!$Z:$Z,Datos_items!$B:$B,$B208,Datos_items!$O:$O,J$4,Datos_items!$E:$E,Analisis_grupo!$C$4)/COUNTIFS(Datos_items!$B:$B,$B208,Datos_items!$O:$O,J$4,Datos_items!$E:$E,Analisis_grupo!$C$4),""))</f>
        <v/>
      </c>
      <c r="K208" s="18" t="str">
        <f aca="false">IF($B208="","",IFERROR(SUMIFS(Datos_items!$Z:$Z,Datos_items!$B:$B,$B208,Datos_items!$O:$O,K$4,Datos_items!$E:$E,Analisis_grupo!$C$4)/COUNTIFS(Datos_items!$B:$B,$B208,Datos_items!$O:$O,K$4,Datos_items!$E:$E,Analisis_grupo!$C$4),""))</f>
        <v/>
      </c>
      <c r="L208" s="18" t="str">
        <f aca="false">IF($B208="","",IFERROR(SUMIFS(Datos_items!$Z:$Z,Datos_items!$B:$B,$B208,Datos_items!$O:$O,L$4,Datos_items!$E:$E,Analisis_grupo!$C$4)/COUNTIFS(Datos_items!$B:$B,$B208,Datos_items!$O:$O,L$4,Datos_items!$E:$E,Analisis_grupo!$C$4),""))</f>
        <v/>
      </c>
      <c r="M208" s="18" t="str">
        <f aca="false">IF($B208="","",IFERROR(SUMIFS(Datos_items!$Z:$Z,Datos_items!$B:$B,$B208,Datos_items!$O:$O,M$4,Datos_items!$E:$E,Analisis_grupo!$C$4)/COUNTIFS(Datos_items!$B:$B,$B208,Datos_items!$O:$O,M$4,Datos_items!$E:$E,Analisis_grupo!$C$4),""))</f>
        <v/>
      </c>
      <c r="N208" s="18" t="str">
        <f aca="false">IF($B208="","",IFERROR(SUMIFS(Datos_items!$Z:$Z,Datos_items!$B:$B,$B208,Datos_items!$O:$O,N$4,Datos_items!$E:$E,Analisis_grupo!$C$4)/COUNTIFS(Datos_items!$B:$B,$B208,Datos_items!$O:$O,N$4,Datos_items!$E:$E,Analisis_grupo!$C$4),""))</f>
        <v/>
      </c>
      <c r="O208" s="18" t="str">
        <f aca="false">IF($B208="","",IFERROR(SUMIFS(Datos_items!$Z:$Z,Datos_items!$B:$B,$B208,Datos_items!$O:$O,O$4,Datos_items!$E:$E,Analisis_grupo!$C$4)/COUNTIFS(Datos_items!$B:$B,$B208,Datos_items!$O:$O,O$4,Datos_items!$E:$E,Analisis_grupo!$C$4),""))</f>
        <v/>
      </c>
      <c r="P208" s="18" t="str">
        <f aca="false">IF($B208="","",IFERROR(SUMIFS(Datos_items!$Z:$Z,Datos_items!$B:$B,$B208,Datos_items!$O:$O,P$4,Datos_items!$E:$E,Analisis_grupo!$C$4)/COUNTIFS(Datos_items!$B:$B,$B208,Datos_items!$O:$O,P$4,Datos_items!$E:$E,Analisis_grupo!$C$4),""))</f>
        <v/>
      </c>
      <c r="Q208" s="18" t="str">
        <f aca="false">IF($B208="","",IFERROR(SUMIFS(Datos_items!$Z:$Z,Datos_items!$B:$B,$B208,Datos_items!$O:$O,Q$4,Datos_items!$E:$E,Analisis_grupo!$C$4)/COUNTIFS(Datos_items!$B:$B,$B208,Datos_items!$O:$O,Q$4,Datos_items!$E:$E,Analisis_grupo!$C$4),""))</f>
        <v/>
      </c>
      <c r="R208" s="2" t="str">
        <f aca="false">IF(COUNT(J208:Q208)=0,"",IF(MIN(J208:Q208)&gt;=Analisis_grupo!$B$7,"(ninguna)",INDEX($J$4:$Q$4,MATCH(MIN(J208:Q208),J208:Q208,0))))</f>
        <v/>
      </c>
      <c r="S208" s="2" t="str">
        <f aca="false">IF($B208="","",COUNTIF(J208:Q208,"&lt;"&amp;Analisis_grupo!$B$7))</f>
        <v/>
      </c>
      <c r="T208" s="2" t="str">
        <f aca="false">IF($B208="","",COUNTIFS(Datos_items!$B:$B,$B208,Datos_items!$AA:$AA,T$4,Datos_items!$E:$E,Analisis_grupo!$C$4))</f>
        <v/>
      </c>
      <c r="U208" s="2" t="str">
        <f aca="false">IF($B208="","",COUNTIFS(Datos_items!$B:$B,$B208,Datos_items!$AA:$AA,U$4,Datos_items!$E:$E,Analisis_grupo!$C$4))</f>
        <v/>
      </c>
      <c r="V208" s="2" t="str">
        <f aca="false">IF($B208="","",COUNTIFS(Datos_items!$B:$B,$B208,Datos_items!$AA:$AA,V$4,Datos_items!$E:$E,Analisis_grupo!$C$4))</f>
        <v/>
      </c>
      <c r="W208" s="2" t="str">
        <f aca="false">IF($B208="","",COUNTIFS(Datos_items!$B:$B,$B208,Datos_items!$AA:$AA,W$4,Datos_items!$E:$E,Analisis_grupo!$C$4))</f>
        <v/>
      </c>
      <c r="X208" s="2" t="str">
        <f aca="false">IF($B208="","",COUNTIFS(Datos_items!$B:$B,$B208,Datos_items!$AA:$AA,X$4,Datos_items!$E:$E,Analisis_grupo!$C$4))</f>
        <v/>
      </c>
      <c r="Y208" s="2" t="str">
        <f aca="false">IF($B208="","",COUNTIFS(Datos_items!$B:$B,$B208,Datos_items!$AA:$AA,Y$4,Datos_items!$E:$E,Analisis_grupo!$C$4))</f>
        <v/>
      </c>
      <c r="Z208" s="2" t="str">
        <f aca="false">IF($B208="","",COUNTIFS(Datos_items!$B:$B,$B208,Datos_items!$AA:$AA,Z$4,Datos_items!$E:$E,Analisis_grupo!$C$4))</f>
        <v/>
      </c>
      <c r="AA208" s="2" t="str">
        <f aca="false">IF($B208="","",COUNTIFS(Datos_items!$B:$B,$B208,Datos_items!$AA:$AA,AA$4,Datos_items!$E:$E,Analisis_grupo!$C$4))</f>
        <v/>
      </c>
      <c r="AB208" s="2" t="str">
        <f aca="false">IF($B208="","",COUNTIFS(Datos_items!$B:$B,$B208,Datos_items!$AA:$AA,AB$4,Datos_items!$E:$E,Analisis_grupo!$C$4))</f>
        <v/>
      </c>
      <c r="AC208" s="2" t="str">
        <f aca="false">IF($B208="","",COUNTIFS(Datos_items!$B:$B,$B208,Datos_items!$AA:$AA,AC$4,Datos_items!$E:$E,Analisis_grupo!$C$4))</f>
        <v/>
      </c>
      <c r="AD208" s="2" t="str">
        <f aca="false">IF($B208="","",COUNTIFS(Datos_items!$B:$B,$B208,Datos_items!$AA:$AA,AD$4,Datos_items!$E:$E,Analisis_grupo!$C$4))</f>
        <v/>
      </c>
      <c r="AE208" s="2" t="str">
        <f aca="false">IF($B208="","",COUNTIFS(Datos_items!$B:$B,$B208,Datos_items!$AA:$AA,AE$4,Datos_items!$E:$E,Analisis_grupo!$C$4))</f>
        <v/>
      </c>
      <c r="AF208" s="2" t="str">
        <f aca="false">IF($B208="","",COUNTIFS(Datos_items!$B:$B,$B208,Datos_items!$AA:$AA,AF$4,Datos_items!$E:$E,Analisis_grupo!$C$4))</f>
        <v/>
      </c>
      <c r="AG208" s="2" t="str">
        <f aca="false">IF($B208="","",COUNTIFS(Datos_items!$B:$B,$B208,Datos_items!$AA:$AA,AG$4,Datos_items!$E:$E,Analisis_grupo!$C$4))</f>
        <v/>
      </c>
      <c r="AH208" s="2" t="str">
        <f aca="false">IF($B208="","",COUNTIFS(Datos_items!$B:$B,$B208,Datos_items!$AA:$AA,AH$4,Datos_items!$E:$E,Analisis_grupo!$C$4))</f>
        <v/>
      </c>
      <c r="AI208" s="2" t="str">
        <f aca="false">IF($B208="","",COUNTIFS(Datos_items!$B:$B,$B208,Datos_items!$AA:$AA,AI$4,Datos_items!$E:$E,Analisis_grupo!$C$4))</f>
        <v/>
      </c>
      <c r="AJ208" s="2" t="str">
        <f aca="false">IF($B208="","",COUNTIFS(Datos_items!$B:$B,$B208,Datos_items!$AA:$AA,AJ$4,Datos_items!$E:$E,Analisis_grupo!$C$4))</f>
        <v/>
      </c>
      <c r="AK208" s="2" t="str">
        <f aca="false">IF($B208="","",COUNTIFS(Datos_items!$B:$B,$B208,Datos_items!$AA:$AA,AK$4,Datos_items!$E:$E,Analisis_grupo!$C$4))</f>
        <v/>
      </c>
      <c r="AL208" s="2" t="str">
        <f aca="false">IF($B208="","",COUNTIFS(Datos_items!$B:$B,$B208,Datos_items!$AA:$AA,AL$4,Datos_items!$E:$E,Analisis_grupo!$C$4))</f>
        <v/>
      </c>
      <c r="AM208" s="2" t="str">
        <f aca="false">IF($B208="","",IF(MAX(Y208:AL208)=0,"",INDEX($Y$4:$AL$4,MATCH(MAX(Y208:AL208),Y208:AL208,0))))</f>
        <v/>
      </c>
      <c r="AN208" s="2" t="str">
        <f aca="false">IF($B208="","",COUNTIFS(Datos_problemas!$B:$B,$B208,Datos_problemas!$F:$F,"Práctica"))</f>
        <v/>
      </c>
      <c r="AO208" s="2" t="str">
        <f aca="false">IF($B208="","",SUMIFS(Datos_problemas!$AQ:$AQ,Datos_problemas!$B:$B,$B208,Datos_problemas!$F:$F,"Práctica"))</f>
        <v/>
      </c>
      <c r="AP208" s="2" t="str">
        <f aca="false">IF($B208="","",COUNTIFS(Datos_problemas!$B:$B,$B208,Datos_problemas!$F:$F,"Práctica",Datos_problemas!$AS:$AS,"Sí"))</f>
        <v/>
      </c>
    </row>
    <row r="209" customFormat="false" ht="15" hidden="false" customHeight="false" outlineLevel="0" collapsed="false">
      <c r="A209" s="2" t="n">
        <v>205</v>
      </c>
      <c r="B209" s="2" t="str">
        <f aca="false">IFERROR(INDEX(Datos_problemas!$B:$B,MATCH($A209,Datos_problemas!$AV:$AV,0)),"")</f>
        <v/>
      </c>
      <c r="C209" s="2" t="str">
        <f aca="false">IF($B209="","",INDEX(Datos_problemas!$C:$C,MATCH($A209,Datos_problemas!$AV:$AV,0)))</f>
        <v/>
      </c>
      <c r="D209" s="2" t="str">
        <f aca="false">IF($B209="","",INDEX(Datos_problemas!$D:$D,MATCH($A209,Datos_problemas!$AV:$AV,0)))</f>
        <v/>
      </c>
      <c r="E209" s="2" t="str">
        <f aca="false">IF($B209="","",COUNTIFS(Datos_problemas!$B:$B,$B209,Datos_problemas!$F:$F,"Evaluación"))</f>
        <v/>
      </c>
      <c r="F209" s="20" t="str">
        <f aca="false">IF($B209="","",IFERROR(AVERAGEIFS(Datos_problemas!$AE:$AE,Datos_problemas!$B:$B,$B209,Datos_problemas!$F:$F,"Evaluación"),""))</f>
        <v/>
      </c>
      <c r="G209" s="20" t="str">
        <f aca="false">IF($B209="","",IFERROR(AVERAGEIFS(Datos_problemas!$AE:$AE,Datos_problemas!$B:$B,$B209,Datos_problemas!$F:$F,"Evaluación",Datos_problemas!$E:$E,"Diagnóstico"),""))</f>
        <v/>
      </c>
      <c r="H209" s="20" t="str">
        <f aca="false">IF($B209="","",IFERROR(AVERAGEIFS(Datos_problemas!$AE:$AE,Datos_problemas!$B:$B,$B209,Datos_problemas!$F:$F,"Evaluación",Datos_problemas!$E:$E,"Final"),""))</f>
        <v/>
      </c>
      <c r="I209" s="21" t="str">
        <f aca="false">IF(OR(G209="",H209=""),"",IF(G209&gt;=10,"",(H209-G209)/(10-G209)))</f>
        <v/>
      </c>
      <c r="J209" s="18" t="str">
        <f aca="false">IF($B209="","",IFERROR(SUMIFS(Datos_items!$Z:$Z,Datos_items!$B:$B,$B209,Datos_items!$O:$O,J$4,Datos_items!$E:$E,Analisis_grupo!$C$4)/COUNTIFS(Datos_items!$B:$B,$B209,Datos_items!$O:$O,J$4,Datos_items!$E:$E,Analisis_grupo!$C$4),""))</f>
        <v/>
      </c>
      <c r="K209" s="18" t="str">
        <f aca="false">IF($B209="","",IFERROR(SUMIFS(Datos_items!$Z:$Z,Datos_items!$B:$B,$B209,Datos_items!$O:$O,K$4,Datos_items!$E:$E,Analisis_grupo!$C$4)/COUNTIFS(Datos_items!$B:$B,$B209,Datos_items!$O:$O,K$4,Datos_items!$E:$E,Analisis_grupo!$C$4),""))</f>
        <v/>
      </c>
      <c r="L209" s="18" t="str">
        <f aca="false">IF($B209="","",IFERROR(SUMIFS(Datos_items!$Z:$Z,Datos_items!$B:$B,$B209,Datos_items!$O:$O,L$4,Datos_items!$E:$E,Analisis_grupo!$C$4)/COUNTIFS(Datos_items!$B:$B,$B209,Datos_items!$O:$O,L$4,Datos_items!$E:$E,Analisis_grupo!$C$4),""))</f>
        <v/>
      </c>
      <c r="M209" s="18" t="str">
        <f aca="false">IF($B209="","",IFERROR(SUMIFS(Datos_items!$Z:$Z,Datos_items!$B:$B,$B209,Datos_items!$O:$O,M$4,Datos_items!$E:$E,Analisis_grupo!$C$4)/COUNTIFS(Datos_items!$B:$B,$B209,Datos_items!$O:$O,M$4,Datos_items!$E:$E,Analisis_grupo!$C$4),""))</f>
        <v/>
      </c>
      <c r="N209" s="18" t="str">
        <f aca="false">IF($B209="","",IFERROR(SUMIFS(Datos_items!$Z:$Z,Datos_items!$B:$B,$B209,Datos_items!$O:$O,N$4,Datos_items!$E:$E,Analisis_grupo!$C$4)/COUNTIFS(Datos_items!$B:$B,$B209,Datos_items!$O:$O,N$4,Datos_items!$E:$E,Analisis_grupo!$C$4),""))</f>
        <v/>
      </c>
      <c r="O209" s="18" t="str">
        <f aca="false">IF($B209="","",IFERROR(SUMIFS(Datos_items!$Z:$Z,Datos_items!$B:$B,$B209,Datos_items!$O:$O,O$4,Datos_items!$E:$E,Analisis_grupo!$C$4)/COUNTIFS(Datos_items!$B:$B,$B209,Datos_items!$O:$O,O$4,Datos_items!$E:$E,Analisis_grupo!$C$4),""))</f>
        <v/>
      </c>
      <c r="P209" s="18" t="str">
        <f aca="false">IF($B209="","",IFERROR(SUMIFS(Datos_items!$Z:$Z,Datos_items!$B:$B,$B209,Datos_items!$O:$O,P$4,Datos_items!$E:$E,Analisis_grupo!$C$4)/COUNTIFS(Datos_items!$B:$B,$B209,Datos_items!$O:$O,P$4,Datos_items!$E:$E,Analisis_grupo!$C$4),""))</f>
        <v/>
      </c>
      <c r="Q209" s="18" t="str">
        <f aca="false">IF($B209="","",IFERROR(SUMIFS(Datos_items!$Z:$Z,Datos_items!$B:$B,$B209,Datos_items!$O:$O,Q$4,Datos_items!$E:$E,Analisis_grupo!$C$4)/COUNTIFS(Datos_items!$B:$B,$B209,Datos_items!$O:$O,Q$4,Datos_items!$E:$E,Analisis_grupo!$C$4),""))</f>
        <v/>
      </c>
      <c r="R209" s="2" t="str">
        <f aca="false">IF(COUNT(J209:Q209)=0,"",IF(MIN(J209:Q209)&gt;=Analisis_grupo!$B$7,"(ninguna)",INDEX($J$4:$Q$4,MATCH(MIN(J209:Q209),J209:Q209,0))))</f>
        <v/>
      </c>
      <c r="S209" s="2" t="str">
        <f aca="false">IF($B209="","",COUNTIF(J209:Q209,"&lt;"&amp;Analisis_grupo!$B$7))</f>
        <v/>
      </c>
      <c r="T209" s="2" t="str">
        <f aca="false">IF($B209="","",COUNTIFS(Datos_items!$B:$B,$B209,Datos_items!$AA:$AA,T$4,Datos_items!$E:$E,Analisis_grupo!$C$4))</f>
        <v/>
      </c>
      <c r="U209" s="2" t="str">
        <f aca="false">IF($B209="","",COUNTIFS(Datos_items!$B:$B,$B209,Datos_items!$AA:$AA,U$4,Datos_items!$E:$E,Analisis_grupo!$C$4))</f>
        <v/>
      </c>
      <c r="V209" s="2" t="str">
        <f aca="false">IF($B209="","",COUNTIFS(Datos_items!$B:$B,$B209,Datos_items!$AA:$AA,V$4,Datos_items!$E:$E,Analisis_grupo!$C$4))</f>
        <v/>
      </c>
      <c r="W209" s="2" t="str">
        <f aca="false">IF($B209="","",COUNTIFS(Datos_items!$B:$B,$B209,Datos_items!$AA:$AA,W$4,Datos_items!$E:$E,Analisis_grupo!$C$4))</f>
        <v/>
      </c>
      <c r="X209" s="2" t="str">
        <f aca="false">IF($B209="","",COUNTIFS(Datos_items!$B:$B,$B209,Datos_items!$AA:$AA,X$4,Datos_items!$E:$E,Analisis_grupo!$C$4))</f>
        <v/>
      </c>
      <c r="Y209" s="2" t="str">
        <f aca="false">IF($B209="","",COUNTIFS(Datos_items!$B:$B,$B209,Datos_items!$AA:$AA,Y$4,Datos_items!$E:$E,Analisis_grupo!$C$4))</f>
        <v/>
      </c>
      <c r="Z209" s="2" t="str">
        <f aca="false">IF($B209="","",COUNTIFS(Datos_items!$B:$B,$B209,Datos_items!$AA:$AA,Z$4,Datos_items!$E:$E,Analisis_grupo!$C$4))</f>
        <v/>
      </c>
      <c r="AA209" s="2" t="str">
        <f aca="false">IF($B209="","",COUNTIFS(Datos_items!$B:$B,$B209,Datos_items!$AA:$AA,AA$4,Datos_items!$E:$E,Analisis_grupo!$C$4))</f>
        <v/>
      </c>
      <c r="AB209" s="2" t="str">
        <f aca="false">IF($B209="","",COUNTIFS(Datos_items!$B:$B,$B209,Datos_items!$AA:$AA,AB$4,Datos_items!$E:$E,Analisis_grupo!$C$4))</f>
        <v/>
      </c>
      <c r="AC209" s="2" t="str">
        <f aca="false">IF($B209="","",COUNTIFS(Datos_items!$B:$B,$B209,Datos_items!$AA:$AA,AC$4,Datos_items!$E:$E,Analisis_grupo!$C$4))</f>
        <v/>
      </c>
      <c r="AD209" s="2" t="str">
        <f aca="false">IF($B209="","",COUNTIFS(Datos_items!$B:$B,$B209,Datos_items!$AA:$AA,AD$4,Datos_items!$E:$E,Analisis_grupo!$C$4))</f>
        <v/>
      </c>
      <c r="AE209" s="2" t="str">
        <f aca="false">IF($B209="","",COUNTIFS(Datos_items!$B:$B,$B209,Datos_items!$AA:$AA,AE$4,Datos_items!$E:$E,Analisis_grupo!$C$4))</f>
        <v/>
      </c>
      <c r="AF209" s="2" t="str">
        <f aca="false">IF($B209="","",COUNTIFS(Datos_items!$B:$B,$B209,Datos_items!$AA:$AA,AF$4,Datos_items!$E:$E,Analisis_grupo!$C$4))</f>
        <v/>
      </c>
      <c r="AG209" s="2" t="str">
        <f aca="false">IF($B209="","",COUNTIFS(Datos_items!$B:$B,$B209,Datos_items!$AA:$AA,AG$4,Datos_items!$E:$E,Analisis_grupo!$C$4))</f>
        <v/>
      </c>
      <c r="AH209" s="2" t="str">
        <f aca="false">IF($B209="","",COUNTIFS(Datos_items!$B:$B,$B209,Datos_items!$AA:$AA,AH$4,Datos_items!$E:$E,Analisis_grupo!$C$4))</f>
        <v/>
      </c>
      <c r="AI209" s="2" t="str">
        <f aca="false">IF($B209="","",COUNTIFS(Datos_items!$B:$B,$B209,Datos_items!$AA:$AA,AI$4,Datos_items!$E:$E,Analisis_grupo!$C$4))</f>
        <v/>
      </c>
      <c r="AJ209" s="2" t="str">
        <f aca="false">IF($B209="","",COUNTIFS(Datos_items!$B:$B,$B209,Datos_items!$AA:$AA,AJ$4,Datos_items!$E:$E,Analisis_grupo!$C$4))</f>
        <v/>
      </c>
      <c r="AK209" s="2" t="str">
        <f aca="false">IF($B209="","",COUNTIFS(Datos_items!$B:$B,$B209,Datos_items!$AA:$AA,AK$4,Datos_items!$E:$E,Analisis_grupo!$C$4))</f>
        <v/>
      </c>
      <c r="AL209" s="2" t="str">
        <f aca="false">IF($B209="","",COUNTIFS(Datos_items!$B:$B,$B209,Datos_items!$AA:$AA,AL$4,Datos_items!$E:$E,Analisis_grupo!$C$4))</f>
        <v/>
      </c>
      <c r="AM209" s="2" t="str">
        <f aca="false">IF($B209="","",IF(MAX(Y209:AL209)=0,"",INDEX($Y$4:$AL$4,MATCH(MAX(Y209:AL209),Y209:AL209,0))))</f>
        <v/>
      </c>
      <c r="AN209" s="2" t="str">
        <f aca="false">IF($B209="","",COUNTIFS(Datos_problemas!$B:$B,$B209,Datos_problemas!$F:$F,"Práctica"))</f>
        <v/>
      </c>
      <c r="AO209" s="2" t="str">
        <f aca="false">IF($B209="","",SUMIFS(Datos_problemas!$AQ:$AQ,Datos_problemas!$B:$B,$B209,Datos_problemas!$F:$F,"Práctica"))</f>
        <v/>
      </c>
      <c r="AP209" s="2" t="str">
        <f aca="false">IF($B209="","",COUNTIFS(Datos_problemas!$B:$B,$B209,Datos_problemas!$F:$F,"Práctica",Datos_problemas!$AS:$AS,"Sí"))</f>
        <v/>
      </c>
    </row>
    <row r="210" customFormat="false" ht="15" hidden="false" customHeight="false" outlineLevel="0" collapsed="false">
      <c r="A210" s="2" t="n">
        <v>206</v>
      </c>
      <c r="B210" s="2" t="str">
        <f aca="false">IFERROR(INDEX(Datos_problemas!$B:$B,MATCH($A210,Datos_problemas!$AV:$AV,0)),"")</f>
        <v/>
      </c>
      <c r="C210" s="2" t="str">
        <f aca="false">IF($B210="","",INDEX(Datos_problemas!$C:$C,MATCH($A210,Datos_problemas!$AV:$AV,0)))</f>
        <v/>
      </c>
      <c r="D210" s="2" t="str">
        <f aca="false">IF($B210="","",INDEX(Datos_problemas!$D:$D,MATCH($A210,Datos_problemas!$AV:$AV,0)))</f>
        <v/>
      </c>
      <c r="E210" s="2" t="str">
        <f aca="false">IF($B210="","",COUNTIFS(Datos_problemas!$B:$B,$B210,Datos_problemas!$F:$F,"Evaluación"))</f>
        <v/>
      </c>
      <c r="F210" s="20" t="str">
        <f aca="false">IF($B210="","",IFERROR(AVERAGEIFS(Datos_problemas!$AE:$AE,Datos_problemas!$B:$B,$B210,Datos_problemas!$F:$F,"Evaluación"),""))</f>
        <v/>
      </c>
      <c r="G210" s="20" t="str">
        <f aca="false">IF($B210="","",IFERROR(AVERAGEIFS(Datos_problemas!$AE:$AE,Datos_problemas!$B:$B,$B210,Datos_problemas!$F:$F,"Evaluación",Datos_problemas!$E:$E,"Diagnóstico"),""))</f>
        <v/>
      </c>
      <c r="H210" s="20" t="str">
        <f aca="false">IF($B210="","",IFERROR(AVERAGEIFS(Datos_problemas!$AE:$AE,Datos_problemas!$B:$B,$B210,Datos_problemas!$F:$F,"Evaluación",Datos_problemas!$E:$E,"Final"),""))</f>
        <v/>
      </c>
      <c r="I210" s="21" t="str">
        <f aca="false">IF(OR(G210="",H210=""),"",IF(G210&gt;=10,"",(H210-G210)/(10-G210)))</f>
        <v/>
      </c>
      <c r="J210" s="18" t="str">
        <f aca="false">IF($B210="","",IFERROR(SUMIFS(Datos_items!$Z:$Z,Datos_items!$B:$B,$B210,Datos_items!$O:$O,J$4,Datos_items!$E:$E,Analisis_grupo!$C$4)/COUNTIFS(Datos_items!$B:$B,$B210,Datos_items!$O:$O,J$4,Datos_items!$E:$E,Analisis_grupo!$C$4),""))</f>
        <v/>
      </c>
      <c r="K210" s="18" t="str">
        <f aca="false">IF($B210="","",IFERROR(SUMIFS(Datos_items!$Z:$Z,Datos_items!$B:$B,$B210,Datos_items!$O:$O,K$4,Datos_items!$E:$E,Analisis_grupo!$C$4)/COUNTIFS(Datos_items!$B:$B,$B210,Datos_items!$O:$O,K$4,Datos_items!$E:$E,Analisis_grupo!$C$4),""))</f>
        <v/>
      </c>
      <c r="L210" s="18" t="str">
        <f aca="false">IF($B210="","",IFERROR(SUMIFS(Datos_items!$Z:$Z,Datos_items!$B:$B,$B210,Datos_items!$O:$O,L$4,Datos_items!$E:$E,Analisis_grupo!$C$4)/COUNTIFS(Datos_items!$B:$B,$B210,Datos_items!$O:$O,L$4,Datos_items!$E:$E,Analisis_grupo!$C$4),""))</f>
        <v/>
      </c>
      <c r="M210" s="18" t="str">
        <f aca="false">IF($B210="","",IFERROR(SUMIFS(Datos_items!$Z:$Z,Datos_items!$B:$B,$B210,Datos_items!$O:$O,M$4,Datos_items!$E:$E,Analisis_grupo!$C$4)/COUNTIFS(Datos_items!$B:$B,$B210,Datos_items!$O:$O,M$4,Datos_items!$E:$E,Analisis_grupo!$C$4),""))</f>
        <v/>
      </c>
      <c r="N210" s="18" t="str">
        <f aca="false">IF($B210="","",IFERROR(SUMIFS(Datos_items!$Z:$Z,Datos_items!$B:$B,$B210,Datos_items!$O:$O,N$4,Datos_items!$E:$E,Analisis_grupo!$C$4)/COUNTIFS(Datos_items!$B:$B,$B210,Datos_items!$O:$O,N$4,Datos_items!$E:$E,Analisis_grupo!$C$4),""))</f>
        <v/>
      </c>
      <c r="O210" s="18" t="str">
        <f aca="false">IF($B210="","",IFERROR(SUMIFS(Datos_items!$Z:$Z,Datos_items!$B:$B,$B210,Datos_items!$O:$O,O$4,Datos_items!$E:$E,Analisis_grupo!$C$4)/COUNTIFS(Datos_items!$B:$B,$B210,Datos_items!$O:$O,O$4,Datos_items!$E:$E,Analisis_grupo!$C$4),""))</f>
        <v/>
      </c>
      <c r="P210" s="18" t="str">
        <f aca="false">IF($B210="","",IFERROR(SUMIFS(Datos_items!$Z:$Z,Datos_items!$B:$B,$B210,Datos_items!$O:$O,P$4,Datos_items!$E:$E,Analisis_grupo!$C$4)/COUNTIFS(Datos_items!$B:$B,$B210,Datos_items!$O:$O,P$4,Datos_items!$E:$E,Analisis_grupo!$C$4),""))</f>
        <v/>
      </c>
      <c r="Q210" s="18" t="str">
        <f aca="false">IF($B210="","",IFERROR(SUMIFS(Datos_items!$Z:$Z,Datos_items!$B:$B,$B210,Datos_items!$O:$O,Q$4,Datos_items!$E:$E,Analisis_grupo!$C$4)/COUNTIFS(Datos_items!$B:$B,$B210,Datos_items!$O:$O,Q$4,Datos_items!$E:$E,Analisis_grupo!$C$4),""))</f>
        <v/>
      </c>
      <c r="R210" s="2" t="str">
        <f aca="false">IF(COUNT(J210:Q210)=0,"",IF(MIN(J210:Q210)&gt;=Analisis_grupo!$B$7,"(ninguna)",INDEX($J$4:$Q$4,MATCH(MIN(J210:Q210),J210:Q210,0))))</f>
        <v/>
      </c>
      <c r="S210" s="2" t="str">
        <f aca="false">IF($B210="","",COUNTIF(J210:Q210,"&lt;"&amp;Analisis_grupo!$B$7))</f>
        <v/>
      </c>
      <c r="T210" s="2" t="str">
        <f aca="false">IF($B210="","",COUNTIFS(Datos_items!$B:$B,$B210,Datos_items!$AA:$AA,T$4,Datos_items!$E:$E,Analisis_grupo!$C$4))</f>
        <v/>
      </c>
      <c r="U210" s="2" t="str">
        <f aca="false">IF($B210="","",COUNTIFS(Datos_items!$B:$B,$B210,Datos_items!$AA:$AA,U$4,Datos_items!$E:$E,Analisis_grupo!$C$4))</f>
        <v/>
      </c>
      <c r="V210" s="2" t="str">
        <f aca="false">IF($B210="","",COUNTIFS(Datos_items!$B:$B,$B210,Datos_items!$AA:$AA,V$4,Datos_items!$E:$E,Analisis_grupo!$C$4))</f>
        <v/>
      </c>
      <c r="W210" s="2" t="str">
        <f aca="false">IF($B210="","",COUNTIFS(Datos_items!$B:$B,$B210,Datos_items!$AA:$AA,W$4,Datos_items!$E:$E,Analisis_grupo!$C$4))</f>
        <v/>
      </c>
      <c r="X210" s="2" t="str">
        <f aca="false">IF($B210="","",COUNTIFS(Datos_items!$B:$B,$B210,Datos_items!$AA:$AA,X$4,Datos_items!$E:$E,Analisis_grupo!$C$4))</f>
        <v/>
      </c>
      <c r="Y210" s="2" t="str">
        <f aca="false">IF($B210="","",COUNTIFS(Datos_items!$B:$B,$B210,Datos_items!$AA:$AA,Y$4,Datos_items!$E:$E,Analisis_grupo!$C$4))</f>
        <v/>
      </c>
      <c r="Z210" s="2" t="str">
        <f aca="false">IF($B210="","",COUNTIFS(Datos_items!$B:$B,$B210,Datos_items!$AA:$AA,Z$4,Datos_items!$E:$E,Analisis_grupo!$C$4))</f>
        <v/>
      </c>
      <c r="AA210" s="2" t="str">
        <f aca="false">IF($B210="","",COUNTIFS(Datos_items!$B:$B,$B210,Datos_items!$AA:$AA,AA$4,Datos_items!$E:$E,Analisis_grupo!$C$4))</f>
        <v/>
      </c>
      <c r="AB210" s="2" t="str">
        <f aca="false">IF($B210="","",COUNTIFS(Datos_items!$B:$B,$B210,Datos_items!$AA:$AA,AB$4,Datos_items!$E:$E,Analisis_grupo!$C$4))</f>
        <v/>
      </c>
      <c r="AC210" s="2" t="str">
        <f aca="false">IF($B210="","",COUNTIFS(Datos_items!$B:$B,$B210,Datos_items!$AA:$AA,AC$4,Datos_items!$E:$E,Analisis_grupo!$C$4))</f>
        <v/>
      </c>
      <c r="AD210" s="2" t="str">
        <f aca="false">IF($B210="","",COUNTIFS(Datos_items!$B:$B,$B210,Datos_items!$AA:$AA,AD$4,Datos_items!$E:$E,Analisis_grupo!$C$4))</f>
        <v/>
      </c>
      <c r="AE210" s="2" t="str">
        <f aca="false">IF($B210="","",COUNTIFS(Datos_items!$B:$B,$B210,Datos_items!$AA:$AA,AE$4,Datos_items!$E:$E,Analisis_grupo!$C$4))</f>
        <v/>
      </c>
      <c r="AF210" s="2" t="str">
        <f aca="false">IF($B210="","",COUNTIFS(Datos_items!$B:$B,$B210,Datos_items!$AA:$AA,AF$4,Datos_items!$E:$E,Analisis_grupo!$C$4))</f>
        <v/>
      </c>
      <c r="AG210" s="2" t="str">
        <f aca="false">IF($B210="","",COUNTIFS(Datos_items!$B:$B,$B210,Datos_items!$AA:$AA,AG$4,Datos_items!$E:$E,Analisis_grupo!$C$4))</f>
        <v/>
      </c>
      <c r="AH210" s="2" t="str">
        <f aca="false">IF($B210="","",COUNTIFS(Datos_items!$B:$B,$B210,Datos_items!$AA:$AA,AH$4,Datos_items!$E:$E,Analisis_grupo!$C$4))</f>
        <v/>
      </c>
      <c r="AI210" s="2" t="str">
        <f aca="false">IF($B210="","",COUNTIFS(Datos_items!$B:$B,$B210,Datos_items!$AA:$AA,AI$4,Datos_items!$E:$E,Analisis_grupo!$C$4))</f>
        <v/>
      </c>
      <c r="AJ210" s="2" t="str">
        <f aca="false">IF($B210="","",COUNTIFS(Datos_items!$B:$B,$B210,Datos_items!$AA:$AA,AJ$4,Datos_items!$E:$E,Analisis_grupo!$C$4))</f>
        <v/>
      </c>
      <c r="AK210" s="2" t="str">
        <f aca="false">IF($B210="","",COUNTIFS(Datos_items!$B:$B,$B210,Datos_items!$AA:$AA,AK$4,Datos_items!$E:$E,Analisis_grupo!$C$4))</f>
        <v/>
      </c>
      <c r="AL210" s="2" t="str">
        <f aca="false">IF($B210="","",COUNTIFS(Datos_items!$B:$B,$B210,Datos_items!$AA:$AA,AL$4,Datos_items!$E:$E,Analisis_grupo!$C$4))</f>
        <v/>
      </c>
      <c r="AM210" s="2" t="str">
        <f aca="false">IF($B210="","",IF(MAX(Y210:AL210)=0,"",INDEX($Y$4:$AL$4,MATCH(MAX(Y210:AL210),Y210:AL210,0))))</f>
        <v/>
      </c>
      <c r="AN210" s="2" t="str">
        <f aca="false">IF($B210="","",COUNTIFS(Datos_problemas!$B:$B,$B210,Datos_problemas!$F:$F,"Práctica"))</f>
        <v/>
      </c>
      <c r="AO210" s="2" t="str">
        <f aca="false">IF($B210="","",SUMIFS(Datos_problemas!$AQ:$AQ,Datos_problemas!$B:$B,$B210,Datos_problemas!$F:$F,"Práctica"))</f>
        <v/>
      </c>
      <c r="AP210" s="2" t="str">
        <f aca="false">IF($B210="","",COUNTIFS(Datos_problemas!$B:$B,$B210,Datos_problemas!$F:$F,"Práctica",Datos_problemas!$AS:$AS,"Sí"))</f>
        <v/>
      </c>
    </row>
    <row r="211" customFormat="false" ht="15" hidden="false" customHeight="false" outlineLevel="0" collapsed="false">
      <c r="A211" s="2" t="n">
        <v>207</v>
      </c>
      <c r="B211" s="2" t="str">
        <f aca="false">IFERROR(INDEX(Datos_problemas!$B:$B,MATCH($A211,Datos_problemas!$AV:$AV,0)),"")</f>
        <v/>
      </c>
      <c r="C211" s="2" t="str">
        <f aca="false">IF($B211="","",INDEX(Datos_problemas!$C:$C,MATCH($A211,Datos_problemas!$AV:$AV,0)))</f>
        <v/>
      </c>
      <c r="D211" s="2" t="str">
        <f aca="false">IF($B211="","",INDEX(Datos_problemas!$D:$D,MATCH($A211,Datos_problemas!$AV:$AV,0)))</f>
        <v/>
      </c>
      <c r="E211" s="2" t="str">
        <f aca="false">IF($B211="","",COUNTIFS(Datos_problemas!$B:$B,$B211,Datos_problemas!$F:$F,"Evaluación"))</f>
        <v/>
      </c>
      <c r="F211" s="20" t="str">
        <f aca="false">IF($B211="","",IFERROR(AVERAGEIFS(Datos_problemas!$AE:$AE,Datos_problemas!$B:$B,$B211,Datos_problemas!$F:$F,"Evaluación"),""))</f>
        <v/>
      </c>
      <c r="G211" s="20" t="str">
        <f aca="false">IF($B211="","",IFERROR(AVERAGEIFS(Datos_problemas!$AE:$AE,Datos_problemas!$B:$B,$B211,Datos_problemas!$F:$F,"Evaluación",Datos_problemas!$E:$E,"Diagnóstico"),""))</f>
        <v/>
      </c>
      <c r="H211" s="20" t="str">
        <f aca="false">IF($B211="","",IFERROR(AVERAGEIFS(Datos_problemas!$AE:$AE,Datos_problemas!$B:$B,$B211,Datos_problemas!$F:$F,"Evaluación",Datos_problemas!$E:$E,"Final"),""))</f>
        <v/>
      </c>
      <c r="I211" s="21" t="str">
        <f aca="false">IF(OR(G211="",H211=""),"",IF(G211&gt;=10,"",(H211-G211)/(10-G211)))</f>
        <v/>
      </c>
      <c r="J211" s="18" t="str">
        <f aca="false">IF($B211="","",IFERROR(SUMIFS(Datos_items!$Z:$Z,Datos_items!$B:$B,$B211,Datos_items!$O:$O,J$4,Datos_items!$E:$E,Analisis_grupo!$C$4)/COUNTIFS(Datos_items!$B:$B,$B211,Datos_items!$O:$O,J$4,Datos_items!$E:$E,Analisis_grupo!$C$4),""))</f>
        <v/>
      </c>
      <c r="K211" s="18" t="str">
        <f aca="false">IF($B211="","",IFERROR(SUMIFS(Datos_items!$Z:$Z,Datos_items!$B:$B,$B211,Datos_items!$O:$O,K$4,Datos_items!$E:$E,Analisis_grupo!$C$4)/COUNTIFS(Datos_items!$B:$B,$B211,Datos_items!$O:$O,K$4,Datos_items!$E:$E,Analisis_grupo!$C$4),""))</f>
        <v/>
      </c>
      <c r="L211" s="18" t="str">
        <f aca="false">IF($B211="","",IFERROR(SUMIFS(Datos_items!$Z:$Z,Datos_items!$B:$B,$B211,Datos_items!$O:$O,L$4,Datos_items!$E:$E,Analisis_grupo!$C$4)/COUNTIFS(Datos_items!$B:$B,$B211,Datos_items!$O:$O,L$4,Datos_items!$E:$E,Analisis_grupo!$C$4),""))</f>
        <v/>
      </c>
      <c r="M211" s="18" t="str">
        <f aca="false">IF($B211="","",IFERROR(SUMIFS(Datos_items!$Z:$Z,Datos_items!$B:$B,$B211,Datos_items!$O:$O,M$4,Datos_items!$E:$E,Analisis_grupo!$C$4)/COUNTIFS(Datos_items!$B:$B,$B211,Datos_items!$O:$O,M$4,Datos_items!$E:$E,Analisis_grupo!$C$4),""))</f>
        <v/>
      </c>
      <c r="N211" s="18" t="str">
        <f aca="false">IF($B211="","",IFERROR(SUMIFS(Datos_items!$Z:$Z,Datos_items!$B:$B,$B211,Datos_items!$O:$O,N$4,Datos_items!$E:$E,Analisis_grupo!$C$4)/COUNTIFS(Datos_items!$B:$B,$B211,Datos_items!$O:$O,N$4,Datos_items!$E:$E,Analisis_grupo!$C$4),""))</f>
        <v/>
      </c>
      <c r="O211" s="18" t="str">
        <f aca="false">IF($B211="","",IFERROR(SUMIFS(Datos_items!$Z:$Z,Datos_items!$B:$B,$B211,Datos_items!$O:$O,O$4,Datos_items!$E:$E,Analisis_grupo!$C$4)/COUNTIFS(Datos_items!$B:$B,$B211,Datos_items!$O:$O,O$4,Datos_items!$E:$E,Analisis_grupo!$C$4),""))</f>
        <v/>
      </c>
      <c r="P211" s="18" t="str">
        <f aca="false">IF($B211="","",IFERROR(SUMIFS(Datos_items!$Z:$Z,Datos_items!$B:$B,$B211,Datos_items!$O:$O,P$4,Datos_items!$E:$E,Analisis_grupo!$C$4)/COUNTIFS(Datos_items!$B:$B,$B211,Datos_items!$O:$O,P$4,Datos_items!$E:$E,Analisis_grupo!$C$4),""))</f>
        <v/>
      </c>
      <c r="Q211" s="18" t="str">
        <f aca="false">IF($B211="","",IFERROR(SUMIFS(Datos_items!$Z:$Z,Datos_items!$B:$B,$B211,Datos_items!$O:$O,Q$4,Datos_items!$E:$E,Analisis_grupo!$C$4)/COUNTIFS(Datos_items!$B:$B,$B211,Datos_items!$O:$O,Q$4,Datos_items!$E:$E,Analisis_grupo!$C$4),""))</f>
        <v/>
      </c>
      <c r="R211" s="2" t="str">
        <f aca="false">IF(COUNT(J211:Q211)=0,"",IF(MIN(J211:Q211)&gt;=Analisis_grupo!$B$7,"(ninguna)",INDEX($J$4:$Q$4,MATCH(MIN(J211:Q211),J211:Q211,0))))</f>
        <v/>
      </c>
      <c r="S211" s="2" t="str">
        <f aca="false">IF($B211="","",COUNTIF(J211:Q211,"&lt;"&amp;Analisis_grupo!$B$7))</f>
        <v/>
      </c>
      <c r="T211" s="2" t="str">
        <f aca="false">IF($B211="","",COUNTIFS(Datos_items!$B:$B,$B211,Datos_items!$AA:$AA,T$4,Datos_items!$E:$E,Analisis_grupo!$C$4))</f>
        <v/>
      </c>
      <c r="U211" s="2" t="str">
        <f aca="false">IF($B211="","",COUNTIFS(Datos_items!$B:$B,$B211,Datos_items!$AA:$AA,U$4,Datos_items!$E:$E,Analisis_grupo!$C$4))</f>
        <v/>
      </c>
      <c r="V211" s="2" t="str">
        <f aca="false">IF($B211="","",COUNTIFS(Datos_items!$B:$B,$B211,Datos_items!$AA:$AA,V$4,Datos_items!$E:$E,Analisis_grupo!$C$4))</f>
        <v/>
      </c>
      <c r="W211" s="2" t="str">
        <f aca="false">IF($B211="","",COUNTIFS(Datos_items!$B:$B,$B211,Datos_items!$AA:$AA,W$4,Datos_items!$E:$E,Analisis_grupo!$C$4))</f>
        <v/>
      </c>
      <c r="X211" s="2" t="str">
        <f aca="false">IF($B211="","",COUNTIFS(Datos_items!$B:$B,$B211,Datos_items!$AA:$AA,X$4,Datos_items!$E:$E,Analisis_grupo!$C$4))</f>
        <v/>
      </c>
      <c r="Y211" s="2" t="str">
        <f aca="false">IF($B211="","",COUNTIFS(Datos_items!$B:$B,$B211,Datos_items!$AA:$AA,Y$4,Datos_items!$E:$E,Analisis_grupo!$C$4))</f>
        <v/>
      </c>
      <c r="Z211" s="2" t="str">
        <f aca="false">IF($B211="","",COUNTIFS(Datos_items!$B:$B,$B211,Datos_items!$AA:$AA,Z$4,Datos_items!$E:$E,Analisis_grupo!$C$4))</f>
        <v/>
      </c>
      <c r="AA211" s="2" t="str">
        <f aca="false">IF($B211="","",COUNTIFS(Datos_items!$B:$B,$B211,Datos_items!$AA:$AA,AA$4,Datos_items!$E:$E,Analisis_grupo!$C$4))</f>
        <v/>
      </c>
      <c r="AB211" s="2" t="str">
        <f aca="false">IF($B211="","",COUNTIFS(Datos_items!$B:$B,$B211,Datos_items!$AA:$AA,AB$4,Datos_items!$E:$E,Analisis_grupo!$C$4))</f>
        <v/>
      </c>
      <c r="AC211" s="2" t="str">
        <f aca="false">IF($B211="","",COUNTIFS(Datos_items!$B:$B,$B211,Datos_items!$AA:$AA,AC$4,Datos_items!$E:$E,Analisis_grupo!$C$4))</f>
        <v/>
      </c>
      <c r="AD211" s="2" t="str">
        <f aca="false">IF($B211="","",COUNTIFS(Datos_items!$B:$B,$B211,Datos_items!$AA:$AA,AD$4,Datos_items!$E:$E,Analisis_grupo!$C$4))</f>
        <v/>
      </c>
      <c r="AE211" s="2" t="str">
        <f aca="false">IF($B211="","",COUNTIFS(Datos_items!$B:$B,$B211,Datos_items!$AA:$AA,AE$4,Datos_items!$E:$E,Analisis_grupo!$C$4))</f>
        <v/>
      </c>
      <c r="AF211" s="2" t="str">
        <f aca="false">IF($B211="","",COUNTIFS(Datos_items!$B:$B,$B211,Datos_items!$AA:$AA,AF$4,Datos_items!$E:$E,Analisis_grupo!$C$4))</f>
        <v/>
      </c>
      <c r="AG211" s="2" t="str">
        <f aca="false">IF($B211="","",COUNTIFS(Datos_items!$B:$B,$B211,Datos_items!$AA:$AA,AG$4,Datos_items!$E:$E,Analisis_grupo!$C$4))</f>
        <v/>
      </c>
      <c r="AH211" s="2" t="str">
        <f aca="false">IF($B211="","",COUNTIFS(Datos_items!$B:$B,$B211,Datos_items!$AA:$AA,AH$4,Datos_items!$E:$E,Analisis_grupo!$C$4))</f>
        <v/>
      </c>
      <c r="AI211" s="2" t="str">
        <f aca="false">IF($B211="","",COUNTIFS(Datos_items!$B:$B,$B211,Datos_items!$AA:$AA,AI$4,Datos_items!$E:$E,Analisis_grupo!$C$4))</f>
        <v/>
      </c>
      <c r="AJ211" s="2" t="str">
        <f aca="false">IF($B211="","",COUNTIFS(Datos_items!$B:$B,$B211,Datos_items!$AA:$AA,AJ$4,Datos_items!$E:$E,Analisis_grupo!$C$4))</f>
        <v/>
      </c>
      <c r="AK211" s="2" t="str">
        <f aca="false">IF($B211="","",COUNTIFS(Datos_items!$B:$B,$B211,Datos_items!$AA:$AA,AK$4,Datos_items!$E:$E,Analisis_grupo!$C$4))</f>
        <v/>
      </c>
      <c r="AL211" s="2" t="str">
        <f aca="false">IF($B211="","",COUNTIFS(Datos_items!$B:$B,$B211,Datos_items!$AA:$AA,AL$4,Datos_items!$E:$E,Analisis_grupo!$C$4))</f>
        <v/>
      </c>
      <c r="AM211" s="2" t="str">
        <f aca="false">IF($B211="","",IF(MAX(Y211:AL211)=0,"",INDEX($Y$4:$AL$4,MATCH(MAX(Y211:AL211),Y211:AL211,0))))</f>
        <v/>
      </c>
      <c r="AN211" s="2" t="str">
        <f aca="false">IF($B211="","",COUNTIFS(Datos_problemas!$B:$B,$B211,Datos_problemas!$F:$F,"Práctica"))</f>
        <v/>
      </c>
      <c r="AO211" s="2" t="str">
        <f aca="false">IF($B211="","",SUMIFS(Datos_problemas!$AQ:$AQ,Datos_problemas!$B:$B,$B211,Datos_problemas!$F:$F,"Práctica"))</f>
        <v/>
      </c>
      <c r="AP211" s="2" t="str">
        <f aca="false">IF($B211="","",COUNTIFS(Datos_problemas!$B:$B,$B211,Datos_problemas!$F:$F,"Práctica",Datos_problemas!$AS:$AS,"Sí"))</f>
        <v/>
      </c>
    </row>
    <row r="212" customFormat="false" ht="15" hidden="false" customHeight="false" outlineLevel="0" collapsed="false">
      <c r="A212" s="2" t="n">
        <v>208</v>
      </c>
      <c r="B212" s="2" t="str">
        <f aca="false">IFERROR(INDEX(Datos_problemas!$B:$B,MATCH($A212,Datos_problemas!$AV:$AV,0)),"")</f>
        <v/>
      </c>
      <c r="C212" s="2" t="str">
        <f aca="false">IF($B212="","",INDEX(Datos_problemas!$C:$C,MATCH($A212,Datos_problemas!$AV:$AV,0)))</f>
        <v/>
      </c>
      <c r="D212" s="2" t="str">
        <f aca="false">IF($B212="","",INDEX(Datos_problemas!$D:$D,MATCH($A212,Datos_problemas!$AV:$AV,0)))</f>
        <v/>
      </c>
      <c r="E212" s="2" t="str">
        <f aca="false">IF($B212="","",COUNTIFS(Datos_problemas!$B:$B,$B212,Datos_problemas!$F:$F,"Evaluación"))</f>
        <v/>
      </c>
      <c r="F212" s="20" t="str">
        <f aca="false">IF($B212="","",IFERROR(AVERAGEIFS(Datos_problemas!$AE:$AE,Datos_problemas!$B:$B,$B212,Datos_problemas!$F:$F,"Evaluación"),""))</f>
        <v/>
      </c>
      <c r="G212" s="20" t="str">
        <f aca="false">IF($B212="","",IFERROR(AVERAGEIFS(Datos_problemas!$AE:$AE,Datos_problemas!$B:$B,$B212,Datos_problemas!$F:$F,"Evaluación",Datos_problemas!$E:$E,"Diagnóstico"),""))</f>
        <v/>
      </c>
      <c r="H212" s="20" t="str">
        <f aca="false">IF($B212="","",IFERROR(AVERAGEIFS(Datos_problemas!$AE:$AE,Datos_problemas!$B:$B,$B212,Datos_problemas!$F:$F,"Evaluación",Datos_problemas!$E:$E,"Final"),""))</f>
        <v/>
      </c>
      <c r="I212" s="21" t="str">
        <f aca="false">IF(OR(G212="",H212=""),"",IF(G212&gt;=10,"",(H212-G212)/(10-G212)))</f>
        <v/>
      </c>
      <c r="J212" s="18" t="str">
        <f aca="false">IF($B212="","",IFERROR(SUMIFS(Datos_items!$Z:$Z,Datos_items!$B:$B,$B212,Datos_items!$O:$O,J$4,Datos_items!$E:$E,Analisis_grupo!$C$4)/COUNTIFS(Datos_items!$B:$B,$B212,Datos_items!$O:$O,J$4,Datos_items!$E:$E,Analisis_grupo!$C$4),""))</f>
        <v/>
      </c>
      <c r="K212" s="18" t="str">
        <f aca="false">IF($B212="","",IFERROR(SUMIFS(Datos_items!$Z:$Z,Datos_items!$B:$B,$B212,Datos_items!$O:$O,K$4,Datos_items!$E:$E,Analisis_grupo!$C$4)/COUNTIFS(Datos_items!$B:$B,$B212,Datos_items!$O:$O,K$4,Datos_items!$E:$E,Analisis_grupo!$C$4),""))</f>
        <v/>
      </c>
      <c r="L212" s="18" t="str">
        <f aca="false">IF($B212="","",IFERROR(SUMIFS(Datos_items!$Z:$Z,Datos_items!$B:$B,$B212,Datos_items!$O:$O,L$4,Datos_items!$E:$E,Analisis_grupo!$C$4)/COUNTIFS(Datos_items!$B:$B,$B212,Datos_items!$O:$O,L$4,Datos_items!$E:$E,Analisis_grupo!$C$4),""))</f>
        <v/>
      </c>
      <c r="M212" s="18" t="str">
        <f aca="false">IF($B212="","",IFERROR(SUMIFS(Datos_items!$Z:$Z,Datos_items!$B:$B,$B212,Datos_items!$O:$O,M$4,Datos_items!$E:$E,Analisis_grupo!$C$4)/COUNTIFS(Datos_items!$B:$B,$B212,Datos_items!$O:$O,M$4,Datos_items!$E:$E,Analisis_grupo!$C$4),""))</f>
        <v/>
      </c>
      <c r="N212" s="18" t="str">
        <f aca="false">IF($B212="","",IFERROR(SUMIFS(Datos_items!$Z:$Z,Datos_items!$B:$B,$B212,Datos_items!$O:$O,N$4,Datos_items!$E:$E,Analisis_grupo!$C$4)/COUNTIFS(Datos_items!$B:$B,$B212,Datos_items!$O:$O,N$4,Datos_items!$E:$E,Analisis_grupo!$C$4),""))</f>
        <v/>
      </c>
      <c r="O212" s="18" t="str">
        <f aca="false">IF($B212="","",IFERROR(SUMIFS(Datos_items!$Z:$Z,Datos_items!$B:$B,$B212,Datos_items!$O:$O,O$4,Datos_items!$E:$E,Analisis_grupo!$C$4)/COUNTIFS(Datos_items!$B:$B,$B212,Datos_items!$O:$O,O$4,Datos_items!$E:$E,Analisis_grupo!$C$4),""))</f>
        <v/>
      </c>
      <c r="P212" s="18" t="str">
        <f aca="false">IF($B212="","",IFERROR(SUMIFS(Datos_items!$Z:$Z,Datos_items!$B:$B,$B212,Datos_items!$O:$O,P$4,Datos_items!$E:$E,Analisis_grupo!$C$4)/COUNTIFS(Datos_items!$B:$B,$B212,Datos_items!$O:$O,P$4,Datos_items!$E:$E,Analisis_grupo!$C$4),""))</f>
        <v/>
      </c>
      <c r="Q212" s="18" t="str">
        <f aca="false">IF($B212="","",IFERROR(SUMIFS(Datos_items!$Z:$Z,Datos_items!$B:$B,$B212,Datos_items!$O:$O,Q$4,Datos_items!$E:$E,Analisis_grupo!$C$4)/COUNTIFS(Datos_items!$B:$B,$B212,Datos_items!$O:$O,Q$4,Datos_items!$E:$E,Analisis_grupo!$C$4),""))</f>
        <v/>
      </c>
      <c r="R212" s="2" t="str">
        <f aca="false">IF(COUNT(J212:Q212)=0,"",IF(MIN(J212:Q212)&gt;=Analisis_grupo!$B$7,"(ninguna)",INDEX($J$4:$Q$4,MATCH(MIN(J212:Q212),J212:Q212,0))))</f>
        <v/>
      </c>
      <c r="S212" s="2" t="str">
        <f aca="false">IF($B212="","",COUNTIF(J212:Q212,"&lt;"&amp;Analisis_grupo!$B$7))</f>
        <v/>
      </c>
      <c r="T212" s="2" t="str">
        <f aca="false">IF($B212="","",COUNTIFS(Datos_items!$B:$B,$B212,Datos_items!$AA:$AA,T$4,Datos_items!$E:$E,Analisis_grupo!$C$4))</f>
        <v/>
      </c>
      <c r="U212" s="2" t="str">
        <f aca="false">IF($B212="","",COUNTIFS(Datos_items!$B:$B,$B212,Datos_items!$AA:$AA,U$4,Datos_items!$E:$E,Analisis_grupo!$C$4))</f>
        <v/>
      </c>
      <c r="V212" s="2" t="str">
        <f aca="false">IF($B212="","",COUNTIFS(Datos_items!$B:$B,$B212,Datos_items!$AA:$AA,V$4,Datos_items!$E:$E,Analisis_grupo!$C$4))</f>
        <v/>
      </c>
      <c r="W212" s="2" t="str">
        <f aca="false">IF($B212="","",COUNTIFS(Datos_items!$B:$B,$B212,Datos_items!$AA:$AA,W$4,Datos_items!$E:$E,Analisis_grupo!$C$4))</f>
        <v/>
      </c>
      <c r="X212" s="2" t="str">
        <f aca="false">IF($B212="","",COUNTIFS(Datos_items!$B:$B,$B212,Datos_items!$AA:$AA,X$4,Datos_items!$E:$E,Analisis_grupo!$C$4))</f>
        <v/>
      </c>
      <c r="Y212" s="2" t="str">
        <f aca="false">IF($B212="","",COUNTIFS(Datos_items!$B:$B,$B212,Datos_items!$AA:$AA,Y$4,Datos_items!$E:$E,Analisis_grupo!$C$4))</f>
        <v/>
      </c>
      <c r="Z212" s="2" t="str">
        <f aca="false">IF($B212="","",COUNTIFS(Datos_items!$B:$B,$B212,Datos_items!$AA:$AA,Z$4,Datos_items!$E:$E,Analisis_grupo!$C$4))</f>
        <v/>
      </c>
      <c r="AA212" s="2" t="str">
        <f aca="false">IF($B212="","",COUNTIFS(Datos_items!$B:$B,$B212,Datos_items!$AA:$AA,AA$4,Datos_items!$E:$E,Analisis_grupo!$C$4))</f>
        <v/>
      </c>
      <c r="AB212" s="2" t="str">
        <f aca="false">IF($B212="","",COUNTIFS(Datos_items!$B:$B,$B212,Datos_items!$AA:$AA,AB$4,Datos_items!$E:$E,Analisis_grupo!$C$4))</f>
        <v/>
      </c>
      <c r="AC212" s="2" t="str">
        <f aca="false">IF($B212="","",COUNTIFS(Datos_items!$B:$B,$B212,Datos_items!$AA:$AA,AC$4,Datos_items!$E:$E,Analisis_grupo!$C$4))</f>
        <v/>
      </c>
      <c r="AD212" s="2" t="str">
        <f aca="false">IF($B212="","",COUNTIFS(Datos_items!$B:$B,$B212,Datos_items!$AA:$AA,AD$4,Datos_items!$E:$E,Analisis_grupo!$C$4))</f>
        <v/>
      </c>
      <c r="AE212" s="2" t="str">
        <f aca="false">IF($B212="","",COUNTIFS(Datos_items!$B:$B,$B212,Datos_items!$AA:$AA,AE$4,Datos_items!$E:$E,Analisis_grupo!$C$4))</f>
        <v/>
      </c>
      <c r="AF212" s="2" t="str">
        <f aca="false">IF($B212="","",COUNTIFS(Datos_items!$B:$B,$B212,Datos_items!$AA:$AA,AF$4,Datos_items!$E:$E,Analisis_grupo!$C$4))</f>
        <v/>
      </c>
      <c r="AG212" s="2" t="str">
        <f aca="false">IF($B212="","",COUNTIFS(Datos_items!$B:$B,$B212,Datos_items!$AA:$AA,AG$4,Datos_items!$E:$E,Analisis_grupo!$C$4))</f>
        <v/>
      </c>
      <c r="AH212" s="2" t="str">
        <f aca="false">IF($B212="","",COUNTIFS(Datos_items!$B:$B,$B212,Datos_items!$AA:$AA,AH$4,Datos_items!$E:$E,Analisis_grupo!$C$4))</f>
        <v/>
      </c>
      <c r="AI212" s="2" t="str">
        <f aca="false">IF($B212="","",COUNTIFS(Datos_items!$B:$B,$B212,Datos_items!$AA:$AA,AI$4,Datos_items!$E:$E,Analisis_grupo!$C$4))</f>
        <v/>
      </c>
      <c r="AJ212" s="2" t="str">
        <f aca="false">IF($B212="","",COUNTIFS(Datos_items!$B:$B,$B212,Datos_items!$AA:$AA,AJ$4,Datos_items!$E:$E,Analisis_grupo!$C$4))</f>
        <v/>
      </c>
      <c r="AK212" s="2" t="str">
        <f aca="false">IF($B212="","",COUNTIFS(Datos_items!$B:$B,$B212,Datos_items!$AA:$AA,AK$4,Datos_items!$E:$E,Analisis_grupo!$C$4))</f>
        <v/>
      </c>
      <c r="AL212" s="2" t="str">
        <f aca="false">IF($B212="","",COUNTIFS(Datos_items!$B:$B,$B212,Datos_items!$AA:$AA,AL$4,Datos_items!$E:$E,Analisis_grupo!$C$4))</f>
        <v/>
      </c>
      <c r="AM212" s="2" t="str">
        <f aca="false">IF($B212="","",IF(MAX(Y212:AL212)=0,"",INDEX($Y$4:$AL$4,MATCH(MAX(Y212:AL212),Y212:AL212,0))))</f>
        <v/>
      </c>
      <c r="AN212" s="2" t="str">
        <f aca="false">IF($B212="","",COUNTIFS(Datos_problemas!$B:$B,$B212,Datos_problemas!$F:$F,"Práctica"))</f>
        <v/>
      </c>
      <c r="AO212" s="2" t="str">
        <f aca="false">IF($B212="","",SUMIFS(Datos_problemas!$AQ:$AQ,Datos_problemas!$B:$B,$B212,Datos_problemas!$F:$F,"Práctica"))</f>
        <v/>
      </c>
      <c r="AP212" s="2" t="str">
        <f aca="false">IF($B212="","",COUNTIFS(Datos_problemas!$B:$B,$B212,Datos_problemas!$F:$F,"Práctica",Datos_problemas!$AS:$AS,"Sí"))</f>
        <v/>
      </c>
    </row>
    <row r="213" customFormat="false" ht="15" hidden="false" customHeight="false" outlineLevel="0" collapsed="false">
      <c r="A213" s="2" t="n">
        <v>209</v>
      </c>
      <c r="B213" s="2" t="str">
        <f aca="false">IFERROR(INDEX(Datos_problemas!$B:$B,MATCH($A213,Datos_problemas!$AV:$AV,0)),"")</f>
        <v/>
      </c>
      <c r="C213" s="2" t="str">
        <f aca="false">IF($B213="","",INDEX(Datos_problemas!$C:$C,MATCH($A213,Datos_problemas!$AV:$AV,0)))</f>
        <v/>
      </c>
      <c r="D213" s="2" t="str">
        <f aca="false">IF($B213="","",INDEX(Datos_problemas!$D:$D,MATCH($A213,Datos_problemas!$AV:$AV,0)))</f>
        <v/>
      </c>
      <c r="E213" s="2" t="str">
        <f aca="false">IF($B213="","",COUNTIFS(Datos_problemas!$B:$B,$B213,Datos_problemas!$F:$F,"Evaluación"))</f>
        <v/>
      </c>
      <c r="F213" s="20" t="str">
        <f aca="false">IF($B213="","",IFERROR(AVERAGEIFS(Datos_problemas!$AE:$AE,Datos_problemas!$B:$B,$B213,Datos_problemas!$F:$F,"Evaluación"),""))</f>
        <v/>
      </c>
      <c r="G213" s="20" t="str">
        <f aca="false">IF($B213="","",IFERROR(AVERAGEIFS(Datos_problemas!$AE:$AE,Datos_problemas!$B:$B,$B213,Datos_problemas!$F:$F,"Evaluación",Datos_problemas!$E:$E,"Diagnóstico"),""))</f>
        <v/>
      </c>
      <c r="H213" s="20" t="str">
        <f aca="false">IF($B213="","",IFERROR(AVERAGEIFS(Datos_problemas!$AE:$AE,Datos_problemas!$B:$B,$B213,Datos_problemas!$F:$F,"Evaluación",Datos_problemas!$E:$E,"Final"),""))</f>
        <v/>
      </c>
      <c r="I213" s="21" t="str">
        <f aca="false">IF(OR(G213="",H213=""),"",IF(G213&gt;=10,"",(H213-G213)/(10-G213)))</f>
        <v/>
      </c>
      <c r="J213" s="18" t="str">
        <f aca="false">IF($B213="","",IFERROR(SUMIFS(Datos_items!$Z:$Z,Datos_items!$B:$B,$B213,Datos_items!$O:$O,J$4,Datos_items!$E:$E,Analisis_grupo!$C$4)/COUNTIFS(Datos_items!$B:$B,$B213,Datos_items!$O:$O,J$4,Datos_items!$E:$E,Analisis_grupo!$C$4),""))</f>
        <v/>
      </c>
      <c r="K213" s="18" t="str">
        <f aca="false">IF($B213="","",IFERROR(SUMIFS(Datos_items!$Z:$Z,Datos_items!$B:$B,$B213,Datos_items!$O:$O,K$4,Datos_items!$E:$E,Analisis_grupo!$C$4)/COUNTIFS(Datos_items!$B:$B,$B213,Datos_items!$O:$O,K$4,Datos_items!$E:$E,Analisis_grupo!$C$4),""))</f>
        <v/>
      </c>
      <c r="L213" s="18" t="str">
        <f aca="false">IF($B213="","",IFERROR(SUMIFS(Datos_items!$Z:$Z,Datos_items!$B:$B,$B213,Datos_items!$O:$O,L$4,Datos_items!$E:$E,Analisis_grupo!$C$4)/COUNTIFS(Datos_items!$B:$B,$B213,Datos_items!$O:$O,L$4,Datos_items!$E:$E,Analisis_grupo!$C$4),""))</f>
        <v/>
      </c>
      <c r="M213" s="18" t="str">
        <f aca="false">IF($B213="","",IFERROR(SUMIFS(Datos_items!$Z:$Z,Datos_items!$B:$B,$B213,Datos_items!$O:$O,M$4,Datos_items!$E:$E,Analisis_grupo!$C$4)/COUNTIFS(Datos_items!$B:$B,$B213,Datos_items!$O:$O,M$4,Datos_items!$E:$E,Analisis_grupo!$C$4),""))</f>
        <v/>
      </c>
      <c r="N213" s="18" t="str">
        <f aca="false">IF($B213="","",IFERROR(SUMIFS(Datos_items!$Z:$Z,Datos_items!$B:$B,$B213,Datos_items!$O:$O,N$4,Datos_items!$E:$E,Analisis_grupo!$C$4)/COUNTIFS(Datos_items!$B:$B,$B213,Datos_items!$O:$O,N$4,Datos_items!$E:$E,Analisis_grupo!$C$4),""))</f>
        <v/>
      </c>
      <c r="O213" s="18" t="str">
        <f aca="false">IF($B213="","",IFERROR(SUMIFS(Datos_items!$Z:$Z,Datos_items!$B:$B,$B213,Datos_items!$O:$O,O$4,Datos_items!$E:$E,Analisis_grupo!$C$4)/COUNTIFS(Datos_items!$B:$B,$B213,Datos_items!$O:$O,O$4,Datos_items!$E:$E,Analisis_grupo!$C$4),""))</f>
        <v/>
      </c>
      <c r="P213" s="18" t="str">
        <f aca="false">IF($B213="","",IFERROR(SUMIFS(Datos_items!$Z:$Z,Datos_items!$B:$B,$B213,Datos_items!$O:$O,P$4,Datos_items!$E:$E,Analisis_grupo!$C$4)/COUNTIFS(Datos_items!$B:$B,$B213,Datos_items!$O:$O,P$4,Datos_items!$E:$E,Analisis_grupo!$C$4),""))</f>
        <v/>
      </c>
      <c r="Q213" s="18" t="str">
        <f aca="false">IF($B213="","",IFERROR(SUMIFS(Datos_items!$Z:$Z,Datos_items!$B:$B,$B213,Datos_items!$O:$O,Q$4,Datos_items!$E:$E,Analisis_grupo!$C$4)/COUNTIFS(Datos_items!$B:$B,$B213,Datos_items!$O:$O,Q$4,Datos_items!$E:$E,Analisis_grupo!$C$4),""))</f>
        <v/>
      </c>
      <c r="R213" s="2" t="str">
        <f aca="false">IF(COUNT(J213:Q213)=0,"",IF(MIN(J213:Q213)&gt;=Analisis_grupo!$B$7,"(ninguna)",INDEX($J$4:$Q$4,MATCH(MIN(J213:Q213),J213:Q213,0))))</f>
        <v/>
      </c>
      <c r="S213" s="2" t="str">
        <f aca="false">IF($B213="","",COUNTIF(J213:Q213,"&lt;"&amp;Analisis_grupo!$B$7))</f>
        <v/>
      </c>
      <c r="T213" s="2" t="str">
        <f aca="false">IF($B213="","",COUNTIFS(Datos_items!$B:$B,$B213,Datos_items!$AA:$AA,T$4,Datos_items!$E:$E,Analisis_grupo!$C$4))</f>
        <v/>
      </c>
      <c r="U213" s="2" t="str">
        <f aca="false">IF($B213="","",COUNTIFS(Datos_items!$B:$B,$B213,Datos_items!$AA:$AA,U$4,Datos_items!$E:$E,Analisis_grupo!$C$4))</f>
        <v/>
      </c>
      <c r="V213" s="2" t="str">
        <f aca="false">IF($B213="","",COUNTIFS(Datos_items!$B:$B,$B213,Datos_items!$AA:$AA,V$4,Datos_items!$E:$E,Analisis_grupo!$C$4))</f>
        <v/>
      </c>
      <c r="W213" s="2" t="str">
        <f aca="false">IF($B213="","",COUNTIFS(Datos_items!$B:$B,$B213,Datos_items!$AA:$AA,W$4,Datos_items!$E:$E,Analisis_grupo!$C$4))</f>
        <v/>
      </c>
      <c r="X213" s="2" t="str">
        <f aca="false">IF($B213="","",COUNTIFS(Datos_items!$B:$B,$B213,Datos_items!$AA:$AA,X$4,Datos_items!$E:$E,Analisis_grupo!$C$4))</f>
        <v/>
      </c>
      <c r="Y213" s="2" t="str">
        <f aca="false">IF($B213="","",COUNTIFS(Datos_items!$B:$B,$B213,Datos_items!$AA:$AA,Y$4,Datos_items!$E:$E,Analisis_grupo!$C$4))</f>
        <v/>
      </c>
      <c r="Z213" s="2" t="str">
        <f aca="false">IF($B213="","",COUNTIFS(Datos_items!$B:$B,$B213,Datos_items!$AA:$AA,Z$4,Datos_items!$E:$E,Analisis_grupo!$C$4))</f>
        <v/>
      </c>
      <c r="AA213" s="2" t="str">
        <f aca="false">IF($B213="","",COUNTIFS(Datos_items!$B:$B,$B213,Datos_items!$AA:$AA,AA$4,Datos_items!$E:$E,Analisis_grupo!$C$4))</f>
        <v/>
      </c>
      <c r="AB213" s="2" t="str">
        <f aca="false">IF($B213="","",COUNTIFS(Datos_items!$B:$B,$B213,Datos_items!$AA:$AA,AB$4,Datos_items!$E:$E,Analisis_grupo!$C$4))</f>
        <v/>
      </c>
      <c r="AC213" s="2" t="str">
        <f aca="false">IF($B213="","",COUNTIFS(Datos_items!$B:$B,$B213,Datos_items!$AA:$AA,AC$4,Datos_items!$E:$E,Analisis_grupo!$C$4))</f>
        <v/>
      </c>
      <c r="AD213" s="2" t="str">
        <f aca="false">IF($B213="","",COUNTIFS(Datos_items!$B:$B,$B213,Datos_items!$AA:$AA,AD$4,Datos_items!$E:$E,Analisis_grupo!$C$4))</f>
        <v/>
      </c>
      <c r="AE213" s="2" t="str">
        <f aca="false">IF($B213="","",COUNTIFS(Datos_items!$B:$B,$B213,Datos_items!$AA:$AA,AE$4,Datos_items!$E:$E,Analisis_grupo!$C$4))</f>
        <v/>
      </c>
      <c r="AF213" s="2" t="str">
        <f aca="false">IF($B213="","",COUNTIFS(Datos_items!$B:$B,$B213,Datos_items!$AA:$AA,AF$4,Datos_items!$E:$E,Analisis_grupo!$C$4))</f>
        <v/>
      </c>
      <c r="AG213" s="2" t="str">
        <f aca="false">IF($B213="","",COUNTIFS(Datos_items!$B:$B,$B213,Datos_items!$AA:$AA,AG$4,Datos_items!$E:$E,Analisis_grupo!$C$4))</f>
        <v/>
      </c>
      <c r="AH213" s="2" t="str">
        <f aca="false">IF($B213="","",COUNTIFS(Datos_items!$B:$B,$B213,Datos_items!$AA:$AA,AH$4,Datos_items!$E:$E,Analisis_grupo!$C$4))</f>
        <v/>
      </c>
      <c r="AI213" s="2" t="str">
        <f aca="false">IF($B213="","",COUNTIFS(Datos_items!$B:$B,$B213,Datos_items!$AA:$AA,AI$4,Datos_items!$E:$E,Analisis_grupo!$C$4))</f>
        <v/>
      </c>
      <c r="AJ213" s="2" t="str">
        <f aca="false">IF($B213="","",COUNTIFS(Datos_items!$B:$B,$B213,Datos_items!$AA:$AA,AJ$4,Datos_items!$E:$E,Analisis_grupo!$C$4))</f>
        <v/>
      </c>
      <c r="AK213" s="2" t="str">
        <f aca="false">IF($B213="","",COUNTIFS(Datos_items!$B:$B,$B213,Datos_items!$AA:$AA,AK$4,Datos_items!$E:$E,Analisis_grupo!$C$4))</f>
        <v/>
      </c>
      <c r="AL213" s="2" t="str">
        <f aca="false">IF($B213="","",COUNTIFS(Datos_items!$B:$B,$B213,Datos_items!$AA:$AA,AL$4,Datos_items!$E:$E,Analisis_grupo!$C$4))</f>
        <v/>
      </c>
      <c r="AM213" s="2" t="str">
        <f aca="false">IF($B213="","",IF(MAX(Y213:AL213)=0,"",INDEX($Y$4:$AL$4,MATCH(MAX(Y213:AL213),Y213:AL213,0))))</f>
        <v/>
      </c>
      <c r="AN213" s="2" t="str">
        <f aca="false">IF($B213="","",COUNTIFS(Datos_problemas!$B:$B,$B213,Datos_problemas!$F:$F,"Práctica"))</f>
        <v/>
      </c>
      <c r="AO213" s="2" t="str">
        <f aca="false">IF($B213="","",SUMIFS(Datos_problemas!$AQ:$AQ,Datos_problemas!$B:$B,$B213,Datos_problemas!$F:$F,"Práctica"))</f>
        <v/>
      </c>
      <c r="AP213" s="2" t="str">
        <f aca="false">IF($B213="","",COUNTIFS(Datos_problemas!$B:$B,$B213,Datos_problemas!$F:$F,"Práctica",Datos_problemas!$AS:$AS,"Sí"))</f>
        <v/>
      </c>
    </row>
    <row r="214" customFormat="false" ht="15" hidden="false" customHeight="false" outlineLevel="0" collapsed="false">
      <c r="A214" s="2" t="n">
        <v>210</v>
      </c>
      <c r="B214" s="2" t="str">
        <f aca="false">IFERROR(INDEX(Datos_problemas!$B:$B,MATCH($A214,Datos_problemas!$AV:$AV,0)),"")</f>
        <v/>
      </c>
      <c r="C214" s="2" t="str">
        <f aca="false">IF($B214="","",INDEX(Datos_problemas!$C:$C,MATCH($A214,Datos_problemas!$AV:$AV,0)))</f>
        <v/>
      </c>
      <c r="D214" s="2" t="str">
        <f aca="false">IF($B214="","",INDEX(Datos_problemas!$D:$D,MATCH($A214,Datos_problemas!$AV:$AV,0)))</f>
        <v/>
      </c>
      <c r="E214" s="2" t="str">
        <f aca="false">IF($B214="","",COUNTIFS(Datos_problemas!$B:$B,$B214,Datos_problemas!$F:$F,"Evaluación"))</f>
        <v/>
      </c>
      <c r="F214" s="20" t="str">
        <f aca="false">IF($B214="","",IFERROR(AVERAGEIFS(Datos_problemas!$AE:$AE,Datos_problemas!$B:$B,$B214,Datos_problemas!$F:$F,"Evaluación"),""))</f>
        <v/>
      </c>
      <c r="G214" s="20" t="str">
        <f aca="false">IF($B214="","",IFERROR(AVERAGEIFS(Datos_problemas!$AE:$AE,Datos_problemas!$B:$B,$B214,Datos_problemas!$F:$F,"Evaluación",Datos_problemas!$E:$E,"Diagnóstico"),""))</f>
        <v/>
      </c>
      <c r="H214" s="20" t="str">
        <f aca="false">IF($B214="","",IFERROR(AVERAGEIFS(Datos_problemas!$AE:$AE,Datos_problemas!$B:$B,$B214,Datos_problemas!$F:$F,"Evaluación",Datos_problemas!$E:$E,"Final"),""))</f>
        <v/>
      </c>
      <c r="I214" s="21" t="str">
        <f aca="false">IF(OR(G214="",H214=""),"",IF(G214&gt;=10,"",(H214-G214)/(10-G214)))</f>
        <v/>
      </c>
      <c r="J214" s="18" t="str">
        <f aca="false">IF($B214="","",IFERROR(SUMIFS(Datos_items!$Z:$Z,Datos_items!$B:$B,$B214,Datos_items!$O:$O,J$4,Datos_items!$E:$E,Analisis_grupo!$C$4)/COUNTIFS(Datos_items!$B:$B,$B214,Datos_items!$O:$O,J$4,Datos_items!$E:$E,Analisis_grupo!$C$4),""))</f>
        <v/>
      </c>
      <c r="K214" s="18" t="str">
        <f aca="false">IF($B214="","",IFERROR(SUMIFS(Datos_items!$Z:$Z,Datos_items!$B:$B,$B214,Datos_items!$O:$O,K$4,Datos_items!$E:$E,Analisis_grupo!$C$4)/COUNTIFS(Datos_items!$B:$B,$B214,Datos_items!$O:$O,K$4,Datos_items!$E:$E,Analisis_grupo!$C$4),""))</f>
        <v/>
      </c>
      <c r="L214" s="18" t="str">
        <f aca="false">IF($B214="","",IFERROR(SUMIFS(Datos_items!$Z:$Z,Datos_items!$B:$B,$B214,Datos_items!$O:$O,L$4,Datos_items!$E:$E,Analisis_grupo!$C$4)/COUNTIFS(Datos_items!$B:$B,$B214,Datos_items!$O:$O,L$4,Datos_items!$E:$E,Analisis_grupo!$C$4),""))</f>
        <v/>
      </c>
      <c r="M214" s="18" t="str">
        <f aca="false">IF($B214="","",IFERROR(SUMIFS(Datos_items!$Z:$Z,Datos_items!$B:$B,$B214,Datos_items!$O:$O,M$4,Datos_items!$E:$E,Analisis_grupo!$C$4)/COUNTIFS(Datos_items!$B:$B,$B214,Datos_items!$O:$O,M$4,Datos_items!$E:$E,Analisis_grupo!$C$4),""))</f>
        <v/>
      </c>
      <c r="N214" s="18" t="str">
        <f aca="false">IF($B214="","",IFERROR(SUMIFS(Datos_items!$Z:$Z,Datos_items!$B:$B,$B214,Datos_items!$O:$O,N$4,Datos_items!$E:$E,Analisis_grupo!$C$4)/COUNTIFS(Datos_items!$B:$B,$B214,Datos_items!$O:$O,N$4,Datos_items!$E:$E,Analisis_grupo!$C$4),""))</f>
        <v/>
      </c>
      <c r="O214" s="18" t="str">
        <f aca="false">IF($B214="","",IFERROR(SUMIFS(Datos_items!$Z:$Z,Datos_items!$B:$B,$B214,Datos_items!$O:$O,O$4,Datos_items!$E:$E,Analisis_grupo!$C$4)/COUNTIFS(Datos_items!$B:$B,$B214,Datos_items!$O:$O,O$4,Datos_items!$E:$E,Analisis_grupo!$C$4),""))</f>
        <v/>
      </c>
      <c r="P214" s="18" t="str">
        <f aca="false">IF($B214="","",IFERROR(SUMIFS(Datos_items!$Z:$Z,Datos_items!$B:$B,$B214,Datos_items!$O:$O,P$4,Datos_items!$E:$E,Analisis_grupo!$C$4)/COUNTIFS(Datos_items!$B:$B,$B214,Datos_items!$O:$O,P$4,Datos_items!$E:$E,Analisis_grupo!$C$4),""))</f>
        <v/>
      </c>
      <c r="Q214" s="18" t="str">
        <f aca="false">IF($B214="","",IFERROR(SUMIFS(Datos_items!$Z:$Z,Datos_items!$B:$B,$B214,Datos_items!$O:$O,Q$4,Datos_items!$E:$E,Analisis_grupo!$C$4)/COUNTIFS(Datos_items!$B:$B,$B214,Datos_items!$O:$O,Q$4,Datos_items!$E:$E,Analisis_grupo!$C$4),""))</f>
        <v/>
      </c>
      <c r="R214" s="2" t="str">
        <f aca="false">IF(COUNT(J214:Q214)=0,"",IF(MIN(J214:Q214)&gt;=Analisis_grupo!$B$7,"(ninguna)",INDEX($J$4:$Q$4,MATCH(MIN(J214:Q214),J214:Q214,0))))</f>
        <v/>
      </c>
      <c r="S214" s="2" t="str">
        <f aca="false">IF($B214="","",COUNTIF(J214:Q214,"&lt;"&amp;Analisis_grupo!$B$7))</f>
        <v/>
      </c>
      <c r="T214" s="2" t="str">
        <f aca="false">IF($B214="","",COUNTIFS(Datos_items!$B:$B,$B214,Datos_items!$AA:$AA,T$4,Datos_items!$E:$E,Analisis_grupo!$C$4))</f>
        <v/>
      </c>
      <c r="U214" s="2" t="str">
        <f aca="false">IF($B214="","",COUNTIFS(Datos_items!$B:$B,$B214,Datos_items!$AA:$AA,U$4,Datos_items!$E:$E,Analisis_grupo!$C$4))</f>
        <v/>
      </c>
      <c r="V214" s="2" t="str">
        <f aca="false">IF($B214="","",COUNTIFS(Datos_items!$B:$B,$B214,Datos_items!$AA:$AA,V$4,Datos_items!$E:$E,Analisis_grupo!$C$4))</f>
        <v/>
      </c>
      <c r="W214" s="2" t="str">
        <f aca="false">IF($B214="","",COUNTIFS(Datos_items!$B:$B,$B214,Datos_items!$AA:$AA,W$4,Datos_items!$E:$E,Analisis_grupo!$C$4))</f>
        <v/>
      </c>
      <c r="X214" s="2" t="str">
        <f aca="false">IF($B214="","",COUNTIFS(Datos_items!$B:$B,$B214,Datos_items!$AA:$AA,X$4,Datos_items!$E:$E,Analisis_grupo!$C$4))</f>
        <v/>
      </c>
      <c r="Y214" s="2" t="str">
        <f aca="false">IF($B214="","",COUNTIFS(Datos_items!$B:$B,$B214,Datos_items!$AA:$AA,Y$4,Datos_items!$E:$E,Analisis_grupo!$C$4))</f>
        <v/>
      </c>
      <c r="Z214" s="2" t="str">
        <f aca="false">IF($B214="","",COUNTIFS(Datos_items!$B:$B,$B214,Datos_items!$AA:$AA,Z$4,Datos_items!$E:$E,Analisis_grupo!$C$4))</f>
        <v/>
      </c>
      <c r="AA214" s="2" t="str">
        <f aca="false">IF($B214="","",COUNTIFS(Datos_items!$B:$B,$B214,Datos_items!$AA:$AA,AA$4,Datos_items!$E:$E,Analisis_grupo!$C$4))</f>
        <v/>
      </c>
      <c r="AB214" s="2" t="str">
        <f aca="false">IF($B214="","",COUNTIFS(Datos_items!$B:$B,$B214,Datos_items!$AA:$AA,AB$4,Datos_items!$E:$E,Analisis_grupo!$C$4))</f>
        <v/>
      </c>
      <c r="AC214" s="2" t="str">
        <f aca="false">IF($B214="","",COUNTIFS(Datos_items!$B:$B,$B214,Datos_items!$AA:$AA,AC$4,Datos_items!$E:$E,Analisis_grupo!$C$4))</f>
        <v/>
      </c>
      <c r="AD214" s="2" t="str">
        <f aca="false">IF($B214="","",COUNTIFS(Datos_items!$B:$B,$B214,Datos_items!$AA:$AA,AD$4,Datos_items!$E:$E,Analisis_grupo!$C$4))</f>
        <v/>
      </c>
      <c r="AE214" s="2" t="str">
        <f aca="false">IF($B214="","",COUNTIFS(Datos_items!$B:$B,$B214,Datos_items!$AA:$AA,AE$4,Datos_items!$E:$E,Analisis_grupo!$C$4))</f>
        <v/>
      </c>
      <c r="AF214" s="2" t="str">
        <f aca="false">IF($B214="","",COUNTIFS(Datos_items!$B:$B,$B214,Datos_items!$AA:$AA,AF$4,Datos_items!$E:$E,Analisis_grupo!$C$4))</f>
        <v/>
      </c>
      <c r="AG214" s="2" t="str">
        <f aca="false">IF($B214="","",COUNTIFS(Datos_items!$B:$B,$B214,Datos_items!$AA:$AA,AG$4,Datos_items!$E:$E,Analisis_grupo!$C$4))</f>
        <v/>
      </c>
      <c r="AH214" s="2" t="str">
        <f aca="false">IF($B214="","",COUNTIFS(Datos_items!$B:$B,$B214,Datos_items!$AA:$AA,AH$4,Datos_items!$E:$E,Analisis_grupo!$C$4))</f>
        <v/>
      </c>
      <c r="AI214" s="2" t="str">
        <f aca="false">IF($B214="","",COUNTIFS(Datos_items!$B:$B,$B214,Datos_items!$AA:$AA,AI$4,Datos_items!$E:$E,Analisis_grupo!$C$4))</f>
        <v/>
      </c>
      <c r="AJ214" s="2" t="str">
        <f aca="false">IF($B214="","",COUNTIFS(Datos_items!$B:$B,$B214,Datos_items!$AA:$AA,AJ$4,Datos_items!$E:$E,Analisis_grupo!$C$4))</f>
        <v/>
      </c>
      <c r="AK214" s="2" t="str">
        <f aca="false">IF($B214="","",COUNTIFS(Datos_items!$B:$B,$B214,Datos_items!$AA:$AA,AK$4,Datos_items!$E:$E,Analisis_grupo!$C$4))</f>
        <v/>
      </c>
      <c r="AL214" s="2" t="str">
        <f aca="false">IF($B214="","",COUNTIFS(Datos_items!$B:$B,$B214,Datos_items!$AA:$AA,AL$4,Datos_items!$E:$E,Analisis_grupo!$C$4))</f>
        <v/>
      </c>
      <c r="AM214" s="2" t="str">
        <f aca="false">IF($B214="","",IF(MAX(Y214:AL214)=0,"",INDEX($Y$4:$AL$4,MATCH(MAX(Y214:AL214),Y214:AL214,0))))</f>
        <v/>
      </c>
      <c r="AN214" s="2" t="str">
        <f aca="false">IF($B214="","",COUNTIFS(Datos_problemas!$B:$B,$B214,Datos_problemas!$F:$F,"Práctica"))</f>
        <v/>
      </c>
      <c r="AO214" s="2" t="str">
        <f aca="false">IF($B214="","",SUMIFS(Datos_problemas!$AQ:$AQ,Datos_problemas!$B:$B,$B214,Datos_problemas!$F:$F,"Práctica"))</f>
        <v/>
      </c>
      <c r="AP214" s="2" t="str">
        <f aca="false">IF($B214="","",COUNTIFS(Datos_problemas!$B:$B,$B214,Datos_problemas!$F:$F,"Práctica",Datos_problemas!$AS:$AS,"Sí"))</f>
        <v/>
      </c>
    </row>
    <row r="215" customFormat="false" ht="15" hidden="false" customHeight="false" outlineLevel="0" collapsed="false">
      <c r="A215" s="2" t="n">
        <v>211</v>
      </c>
      <c r="B215" s="2" t="str">
        <f aca="false">IFERROR(INDEX(Datos_problemas!$B:$B,MATCH($A215,Datos_problemas!$AV:$AV,0)),"")</f>
        <v/>
      </c>
      <c r="C215" s="2" t="str">
        <f aca="false">IF($B215="","",INDEX(Datos_problemas!$C:$C,MATCH($A215,Datos_problemas!$AV:$AV,0)))</f>
        <v/>
      </c>
      <c r="D215" s="2" t="str">
        <f aca="false">IF($B215="","",INDEX(Datos_problemas!$D:$D,MATCH($A215,Datos_problemas!$AV:$AV,0)))</f>
        <v/>
      </c>
      <c r="E215" s="2" t="str">
        <f aca="false">IF($B215="","",COUNTIFS(Datos_problemas!$B:$B,$B215,Datos_problemas!$F:$F,"Evaluación"))</f>
        <v/>
      </c>
      <c r="F215" s="20" t="str">
        <f aca="false">IF($B215="","",IFERROR(AVERAGEIFS(Datos_problemas!$AE:$AE,Datos_problemas!$B:$B,$B215,Datos_problemas!$F:$F,"Evaluación"),""))</f>
        <v/>
      </c>
      <c r="G215" s="20" t="str">
        <f aca="false">IF($B215="","",IFERROR(AVERAGEIFS(Datos_problemas!$AE:$AE,Datos_problemas!$B:$B,$B215,Datos_problemas!$F:$F,"Evaluación",Datos_problemas!$E:$E,"Diagnóstico"),""))</f>
        <v/>
      </c>
      <c r="H215" s="20" t="str">
        <f aca="false">IF($B215="","",IFERROR(AVERAGEIFS(Datos_problemas!$AE:$AE,Datos_problemas!$B:$B,$B215,Datos_problemas!$F:$F,"Evaluación",Datos_problemas!$E:$E,"Final"),""))</f>
        <v/>
      </c>
      <c r="I215" s="21" t="str">
        <f aca="false">IF(OR(G215="",H215=""),"",IF(G215&gt;=10,"",(H215-G215)/(10-G215)))</f>
        <v/>
      </c>
      <c r="J215" s="18" t="str">
        <f aca="false">IF($B215="","",IFERROR(SUMIFS(Datos_items!$Z:$Z,Datos_items!$B:$B,$B215,Datos_items!$O:$O,J$4,Datos_items!$E:$E,Analisis_grupo!$C$4)/COUNTIFS(Datos_items!$B:$B,$B215,Datos_items!$O:$O,J$4,Datos_items!$E:$E,Analisis_grupo!$C$4),""))</f>
        <v/>
      </c>
      <c r="K215" s="18" t="str">
        <f aca="false">IF($B215="","",IFERROR(SUMIFS(Datos_items!$Z:$Z,Datos_items!$B:$B,$B215,Datos_items!$O:$O,K$4,Datos_items!$E:$E,Analisis_grupo!$C$4)/COUNTIFS(Datos_items!$B:$B,$B215,Datos_items!$O:$O,K$4,Datos_items!$E:$E,Analisis_grupo!$C$4),""))</f>
        <v/>
      </c>
      <c r="L215" s="18" t="str">
        <f aca="false">IF($B215="","",IFERROR(SUMIFS(Datos_items!$Z:$Z,Datos_items!$B:$B,$B215,Datos_items!$O:$O,L$4,Datos_items!$E:$E,Analisis_grupo!$C$4)/COUNTIFS(Datos_items!$B:$B,$B215,Datos_items!$O:$O,L$4,Datos_items!$E:$E,Analisis_grupo!$C$4),""))</f>
        <v/>
      </c>
      <c r="M215" s="18" t="str">
        <f aca="false">IF($B215="","",IFERROR(SUMIFS(Datos_items!$Z:$Z,Datos_items!$B:$B,$B215,Datos_items!$O:$O,M$4,Datos_items!$E:$E,Analisis_grupo!$C$4)/COUNTIFS(Datos_items!$B:$B,$B215,Datos_items!$O:$O,M$4,Datos_items!$E:$E,Analisis_grupo!$C$4),""))</f>
        <v/>
      </c>
      <c r="N215" s="18" t="str">
        <f aca="false">IF($B215="","",IFERROR(SUMIFS(Datos_items!$Z:$Z,Datos_items!$B:$B,$B215,Datos_items!$O:$O,N$4,Datos_items!$E:$E,Analisis_grupo!$C$4)/COUNTIFS(Datos_items!$B:$B,$B215,Datos_items!$O:$O,N$4,Datos_items!$E:$E,Analisis_grupo!$C$4),""))</f>
        <v/>
      </c>
      <c r="O215" s="18" t="str">
        <f aca="false">IF($B215="","",IFERROR(SUMIFS(Datos_items!$Z:$Z,Datos_items!$B:$B,$B215,Datos_items!$O:$O,O$4,Datos_items!$E:$E,Analisis_grupo!$C$4)/COUNTIFS(Datos_items!$B:$B,$B215,Datos_items!$O:$O,O$4,Datos_items!$E:$E,Analisis_grupo!$C$4),""))</f>
        <v/>
      </c>
      <c r="P215" s="18" t="str">
        <f aca="false">IF($B215="","",IFERROR(SUMIFS(Datos_items!$Z:$Z,Datos_items!$B:$B,$B215,Datos_items!$O:$O,P$4,Datos_items!$E:$E,Analisis_grupo!$C$4)/COUNTIFS(Datos_items!$B:$B,$B215,Datos_items!$O:$O,P$4,Datos_items!$E:$E,Analisis_grupo!$C$4),""))</f>
        <v/>
      </c>
      <c r="Q215" s="18" t="str">
        <f aca="false">IF($B215="","",IFERROR(SUMIFS(Datos_items!$Z:$Z,Datos_items!$B:$B,$B215,Datos_items!$O:$O,Q$4,Datos_items!$E:$E,Analisis_grupo!$C$4)/COUNTIFS(Datos_items!$B:$B,$B215,Datos_items!$O:$O,Q$4,Datos_items!$E:$E,Analisis_grupo!$C$4),""))</f>
        <v/>
      </c>
      <c r="R215" s="2" t="str">
        <f aca="false">IF(COUNT(J215:Q215)=0,"",IF(MIN(J215:Q215)&gt;=Analisis_grupo!$B$7,"(ninguna)",INDEX($J$4:$Q$4,MATCH(MIN(J215:Q215),J215:Q215,0))))</f>
        <v/>
      </c>
      <c r="S215" s="2" t="str">
        <f aca="false">IF($B215="","",COUNTIF(J215:Q215,"&lt;"&amp;Analisis_grupo!$B$7))</f>
        <v/>
      </c>
      <c r="T215" s="2" t="str">
        <f aca="false">IF($B215="","",COUNTIFS(Datos_items!$B:$B,$B215,Datos_items!$AA:$AA,T$4,Datos_items!$E:$E,Analisis_grupo!$C$4))</f>
        <v/>
      </c>
      <c r="U215" s="2" t="str">
        <f aca="false">IF($B215="","",COUNTIFS(Datos_items!$B:$B,$B215,Datos_items!$AA:$AA,U$4,Datos_items!$E:$E,Analisis_grupo!$C$4))</f>
        <v/>
      </c>
      <c r="V215" s="2" t="str">
        <f aca="false">IF($B215="","",COUNTIFS(Datos_items!$B:$B,$B215,Datos_items!$AA:$AA,V$4,Datos_items!$E:$E,Analisis_grupo!$C$4))</f>
        <v/>
      </c>
      <c r="W215" s="2" t="str">
        <f aca="false">IF($B215="","",COUNTIFS(Datos_items!$B:$B,$B215,Datos_items!$AA:$AA,W$4,Datos_items!$E:$E,Analisis_grupo!$C$4))</f>
        <v/>
      </c>
      <c r="X215" s="2" t="str">
        <f aca="false">IF($B215="","",COUNTIFS(Datos_items!$B:$B,$B215,Datos_items!$AA:$AA,X$4,Datos_items!$E:$E,Analisis_grupo!$C$4))</f>
        <v/>
      </c>
      <c r="Y215" s="2" t="str">
        <f aca="false">IF($B215="","",COUNTIFS(Datos_items!$B:$B,$B215,Datos_items!$AA:$AA,Y$4,Datos_items!$E:$E,Analisis_grupo!$C$4))</f>
        <v/>
      </c>
      <c r="Z215" s="2" t="str">
        <f aca="false">IF($B215="","",COUNTIFS(Datos_items!$B:$B,$B215,Datos_items!$AA:$AA,Z$4,Datos_items!$E:$E,Analisis_grupo!$C$4))</f>
        <v/>
      </c>
      <c r="AA215" s="2" t="str">
        <f aca="false">IF($B215="","",COUNTIFS(Datos_items!$B:$B,$B215,Datos_items!$AA:$AA,AA$4,Datos_items!$E:$E,Analisis_grupo!$C$4))</f>
        <v/>
      </c>
      <c r="AB215" s="2" t="str">
        <f aca="false">IF($B215="","",COUNTIFS(Datos_items!$B:$B,$B215,Datos_items!$AA:$AA,AB$4,Datos_items!$E:$E,Analisis_grupo!$C$4))</f>
        <v/>
      </c>
      <c r="AC215" s="2" t="str">
        <f aca="false">IF($B215="","",COUNTIFS(Datos_items!$B:$B,$B215,Datos_items!$AA:$AA,AC$4,Datos_items!$E:$E,Analisis_grupo!$C$4))</f>
        <v/>
      </c>
      <c r="AD215" s="2" t="str">
        <f aca="false">IF($B215="","",COUNTIFS(Datos_items!$B:$B,$B215,Datos_items!$AA:$AA,AD$4,Datos_items!$E:$E,Analisis_grupo!$C$4))</f>
        <v/>
      </c>
      <c r="AE215" s="2" t="str">
        <f aca="false">IF($B215="","",COUNTIFS(Datos_items!$B:$B,$B215,Datos_items!$AA:$AA,AE$4,Datos_items!$E:$E,Analisis_grupo!$C$4))</f>
        <v/>
      </c>
      <c r="AF215" s="2" t="str">
        <f aca="false">IF($B215="","",COUNTIFS(Datos_items!$B:$B,$B215,Datos_items!$AA:$AA,AF$4,Datos_items!$E:$E,Analisis_grupo!$C$4))</f>
        <v/>
      </c>
      <c r="AG215" s="2" t="str">
        <f aca="false">IF($B215="","",COUNTIFS(Datos_items!$B:$B,$B215,Datos_items!$AA:$AA,AG$4,Datos_items!$E:$E,Analisis_grupo!$C$4))</f>
        <v/>
      </c>
      <c r="AH215" s="2" t="str">
        <f aca="false">IF($B215="","",COUNTIFS(Datos_items!$B:$B,$B215,Datos_items!$AA:$AA,AH$4,Datos_items!$E:$E,Analisis_grupo!$C$4))</f>
        <v/>
      </c>
      <c r="AI215" s="2" t="str">
        <f aca="false">IF($B215="","",COUNTIFS(Datos_items!$B:$B,$B215,Datos_items!$AA:$AA,AI$4,Datos_items!$E:$E,Analisis_grupo!$C$4))</f>
        <v/>
      </c>
      <c r="AJ215" s="2" t="str">
        <f aca="false">IF($B215="","",COUNTIFS(Datos_items!$B:$B,$B215,Datos_items!$AA:$AA,AJ$4,Datos_items!$E:$E,Analisis_grupo!$C$4))</f>
        <v/>
      </c>
      <c r="AK215" s="2" t="str">
        <f aca="false">IF($B215="","",COUNTIFS(Datos_items!$B:$B,$B215,Datos_items!$AA:$AA,AK$4,Datos_items!$E:$E,Analisis_grupo!$C$4))</f>
        <v/>
      </c>
      <c r="AL215" s="2" t="str">
        <f aca="false">IF($B215="","",COUNTIFS(Datos_items!$B:$B,$B215,Datos_items!$AA:$AA,AL$4,Datos_items!$E:$E,Analisis_grupo!$C$4))</f>
        <v/>
      </c>
      <c r="AM215" s="2" t="str">
        <f aca="false">IF($B215="","",IF(MAX(Y215:AL215)=0,"",INDEX($Y$4:$AL$4,MATCH(MAX(Y215:AL215),Y215:AL215,0))))</f>
        <v/>
      </c>
      <c r="AN215" s="2" t="str">
        <f aca="false">IF($B215="","",COUNTIFS(Datos_problemas!$B:$B,$B215,Datos_problemas!$F:$F,"Práctica"))</f>
        <v/>
      </c>
      <c r="AO215" s="2" t="str">
        <f aca="false">IF($B215="","",SUMIFS(Datos_problemas!$AQ:$AQ,Datos_problemas!$B:$B,$B215,Datos_problemas!$F:$F,"Práctica"))</f>
        <v/>
      </c>
      <c r="AP215" s="2" t="str">
        <f aca="false">IF($B215="","",COUNTIFS(Datos_problemas!$B:$B,$B215,Datos_problemas!$F:$F,"Práctica",Datos_problemas!$AS:$AS,"Sí"))</f>
        <v/>
      </c>
    </row>
    <row r="216" customFormat="false" ht="15" hidden="false" customHeight="false" outlineLevel="0" collapsed="false">
      <c r="A216" s="2" t="n">
        <v>212</v>
      </c>
      <c r="B216" s="2" t="str">
        <f aca="false">IFERROR(INDEX(Datos_problemas!$B:$B,MATCH($A216,Datos_problemas!$AV:$AV,0)),"")</f>
        <v/>
      </c>
      <c r="C216" s="2" t="str">
        <f aca="false">IF($B216="","",INDEX(Datos_problemas!$C:$C,MATCH($A216,Datos_problemas!$AV:$AV,0)))</f>
        <v/>
      </c>
      <c r="D216" s="2" t="str">
        <f aca="false">IF($B216="","",INDEX(Datos_problemas!$D:$D,MATCH($A216,Datos_problemas!$AV:$AV,0)))</f>
        <v/>
      </c>
      <c r="E216" s="2" t="str">
        <f aca="false">IF($B216="","",COUNTIFS(Datos_problemas!$B:$B,$B216,Datos_problemas!$F:$F,"Evaluación"))</f>
        <v/>
      </c>
      <c r="F216" s="20" t="str">
        <f aca="false">IF($B216="","",IFERROR(AVERAGEIFS(Datos_problemas!$AE:$AE,Datos_problemas!$B:$B,$B216,Datos_problemas!$F:$F,"Evaluación"),""))</f>
        <v/>
      </c>
      <c r="G216" s="20" t="str">
        <f aca="false">IF($B216="","",IFERROR(AVERAGEIFS(Datos_problemas!$AE:$AE,Datos_problemas!$B:$B,$B216,Datos_problemas!$F:$F,"Evaluación",Datos_problemas!$E:$E,"Diagnóstico"),""))</f>
        <v/>
      </c>
      <c r="H216" s="20" t="str">
        <f aca="false">IF($B216="","",IFERROR(AVERAGEIFS(Datos_problemas!$AE:$AE,Datos_problemas!$B:$B,$B216,Datos_problemas!$F:$F,"Evaluación",Datos_problemas!$E:$E,"Final"),""))</f>
        <v/>
      </c>
      <c r="I216" s="21" t="str">
        <f aca="false">IF(OR(G216="",H216=""),"",IF(G216&gt;=10,"",(H216-G216)/(10-G216)))</f>
        <v/>
      </c>
      <c r="J216" s="18" t="str">
        <f aca="false">IF($B216="","",IFERROR(SUMIFS(Datos_items!$Z:$Z,Datos_items!$B:$B,$B216,Datos_items!$O:$O,J$4,Datos_items!$E:$E,Analisis_grupo!$C$4)/COUNTIFS(Datos_items!$B:$B,$B216,Datos_items!$O:$O,J$4,Datos_items!$E:$E,Analisis_grupo!$C$4),""))</f>
        <v/>
      </c>
      <c r="K216" s="18" t="str">
        <f aca="false">IF($B216="","",IFERROR(SUMIFS(Datos_items!$Z:$Z,Datos_items!$B:$B,$B216,Datos_items!$O:$O,K$4,Datos_items!$E:$E,Analisis_grupo!$C$4)/COUNTIFS(Datos_items!$B:$B,$B216,Datos_items!$O:$O,K$4,Datos_items!$E:$E,Analisis_grupo!$C$4),""))</f>
        <v/>
      </c>
      <c r="L216" s="18" t="str">
        <f aca="false">IF($B216="","",IFERROR(SUMIFS(Datos_items!$Z:$Z,Datos_items!$B:$B,$B216,Datos_items!$O:$O,L$4,Datos_items!$E:$E,Analisis_grupo!$C$4)/COUNTIFS(Datos_items!$B:$B,$B216,Datos_items!$O:$O,L$4,Datos_items!$E:$E,Analisis_grupo!$C$4),""))</f>
        <v/>
      </c>
      <c r="M216" s="18" t="str">
        <f aca="false">IF($B216="","",IFERROR(SUMIFS(Datos_items!$Z:$Z,Datos_items!$B:$B,$B216,Datos_items!$O:$O,M$4,Datos_items!$E:$E,Analisis_grupo!$C$4)/COUNTIFS(Datos_items!$B:$B,$B216,Datos_items!$O:$O,M$4,Datos_items!$E:$E,Analisis_grupo!$C$4),""))</f>
        <v/>
      </c>
      <c r="N216" s="18" t="str">
        <f aca="false">IF($B216="","",IFERROR(SUMIFS(Datos_items!$Z:$Z,Datos_items!$B:$B,$B216,Datos_items!$O:$O,N$4,Datos_items!$E:$E,Analisis_grupo!$C$4)/COUNTIFS(Datos_items!$B:$B,$B216,Datos_items!$O:$O,N$4,Datos_items!$E:$E,Analisis_grupo!$C$4),""))</f>
        <v/>
      </c>
      <c r="O216" s="18" t="str">
        <f aca="false">IF($B216="","",IFERROR(SUMIFS(Datos_items!$Z:$Z,Datos_items!$B:$B,$B216,Datos_items!$O:$O,O$4,Datos_items!$E:$E,Analisis_grupo!$C$4)/COUNTIFS(Datos_items!$B:$B,$B216,Datos_items!$O:$O,O$4,Datos_items!$E:$E,Analisis_grupo!$C$4),""))</f>
        <v/>
      </c>
      <c r="P216" s="18" t="str">
        <f aca="false">IF($B216="","",IFERROR(SUMIFS(Datos_items!$Z:$Z,Datos_items!$B:$B,$B216,Datos_items!$O:$O,P$4,Datos_items!$E:$E,Analisis_grupo!$C$4)/COUNTIFS(Datos_items!$B:$B,$B216,Datos_items!$O:$O,P$4,Datos_items!$E:$E,Analisis_grupo!$C$4),""))</f>
        <v/>
      </c>
      <c r="Q216" s="18" t="str">
        <f aca="false">IF($B216="","",IFERROR(SUMIFS(Datos_items!$Z:$Z,Datos_items!$B:$B,$B216,Datos_items!$O:$O,Q$4,Datos_items!$E:$E,Analisis_grupo!$C$4)/COUNTIFS(Datos_items!$B:$B,$B216,Datos_items!$O:$O,Q$4,Datos_items!$E:$E,Analisis_grupo!$C$4),""))</f>
        <v/>
      </c>
      <c r="R216" s="2" t="str">
        <f aca="false">IF(COUNT(J216:Q216)=0,"",IF(MIN(J216:Q216)&gt;=Analisis_grupo!$B$7,"(ninguna)",INDEX($J$4:$Q$4,MATCH(MIN(J216:Q216),J216:Q216,0))))</f>
        <v/>
      </c>
      <c r="S216" s="2" t="str">
        <f aca="false">IF($B216="","",COUNTIF(J216:Q216,"&lt;"&amp;Analisis_grupo!$B$7))</f>
        <v/>
      </c>
      <c r="T216" s="2" t="str">
        <f aca="false">IF($B216="","",COUNTIFS(Datos_items!$B:$B,$B216,Datos_items!$AA:$AA,T$4,Datos_items!$E:$E,Analisis_grupo!$C$4))</f>
        <v/>
      </c>
      <c r="U216" s="2" t="str">
        <f aca="false">IF($B216="","",COUNTIFS(Datos_items!$B:$B,$B216,Datos_items!$AA:$AA,U$4,Datos_items!$E:$E,Analisis_grupo!$C$4))</f>
        <v/>
      </c>
      <c r="V216" s="2" t="str">
        <f aca="false">IF($B216="","",COUNTIFS(Datos_items!$B:$B,$B216,Datos_items!$AA:$AA,V$4,Datos_items!$E:$E,Analisis_grupo!$C$4))</f>
        <v/>
      </c>
      <c r="W216" s="2" t="str">
        <f aca="false">IF($B216="","",COUNTIFS(Datos_items!$B:$B,$B216,Datos_items!$AA:$AA,W$4,Datos_items!$E:$E,Analisis_grupo!$C$4))</f>
        <v/>
      </c>
      <c r="X216" s="2" t="str">
        <f aca="false">IF($B216="","",COUNTIFS(Datos_items!$B:$B,$B216,Datos_items!$AA:$AA,X$4,Datos_items!$E:$E,Analisis_grupo!$C$4))</f>
        <v/>
      </c>
      <c r="Y216" s="2" t="str">
        <f aca="false">IF($B216="","",COUNTIFS(Datos_items!$B:$B,$B216,Datos_items!$AA:$AA,Y$4,Datos_items!$E:$E,Analisis_grupo!$C$4))</f>
        <v/>
      </c>
      <c r="Z216" s="2" t="str">
        <f aca="false">IF($B216="","",COUNTIFS(Datos_items!$B:$B,$B216,Datos_items!$AA:$AA,Z$4,Datos_items!$E:$E,Analisis_grupo!$C$4))</f>
        <v/>
      </c>
      <c r="AA216" s="2" t="str">
        <f aca="false">IF($B216="","",COUNTIFS(Datos_items!$B:$B,$B216,Datos_items!$AA:$AA,AA$4,Datos_items!$E:$E,Analisis_grupo!$C$4))</f>
        <v/>
      </c>
      <c r="AB216" s="2" t="str">
        <f aca="false">IF($B216="","",COUNTIFS(Datos_items!$B:$B,$B216,Datos_items!$AA:$AA,AB$4,Datos_items!$E:$E,Analisis_grupo!$C$4))</f>
        <v/>
      </c>
      <c r="AC216" s="2" t="str">
        <f aca="false">IF($B216="","",COUNTIFS(Datos_items!$B:$B,$B216,Datos_items!$AA:$AA,AC$4,Datos_items!$E:$E,Analisis_grupo!$C$4))</f>
        <v/>
      </c>
      <c r="AD216" s="2" t="str">
        <f aca="false">IF($B216="","",COUNTIFS(Datos_items!$B:$B,$B216,Datos_items!$AA:$AA,AD$4,Datos_items!$E:$E,Analisis_grupo!$C$4))</f>
        <v/>
      </c>
      <c r="AE216" s="2" t="str">
        <f aca="false">IF($B216="","",COUNTIFS(Datos_items!$B:$B,$B216,Datos_items!$AA:$AA,AE$4,Datos_items!$E:$E,Analisis_grupo!$C$4))</f>
        <v/>
      </c>
      <c r="AF216" s="2" t="str">
        <f aca="false">IF($B216="","",COUNTIFS(Datos_items!$B:$B,$B216,Datos_items!$AA:$AA,AF$4,Datos_items!$E:$E,Analisis_grupo!$C$4))</f>
        <v/>
      </c>
      <c r="AG216" s="2" t="str">
        <f aca="false">IF($B216="","",COUNTIFS(Datos_items!$B:$B,$B216,Datos_items!$AA:$AA,AG$4,Datos_items!$E:$E,Analisis_grupo!$C$4))</f>
        <v/>
      </c>
      <c r="AH216" s="2" t="str">
        <f aca="false">IF($B216="","",COUNTIFS(Datos_items!$B:$B,$B216,Datos_items!$AA:$AA,AH$4,Datos_items!$E:$E,Analisis_grupo!$C$4))</f>
        <v/>
      </c>
      <c r="AI216" s="2" t="str">
        <f aca="false">IF($B216="","",COUNTIFS(Datos_items!$B:$B,$B216,Datos_items!$AA:$AA,AI$4,Datos_items!$E:$E,Analisis_grupo!$C$4))</f>
        <v/>
      </c>
      <c r="AJ216" s="2" t="str">
        <f aca="false">IF($B216="","",COUNTIFS(Datos_items!$B:$B,$B216,Datos_items!$AA:$AA,AJ$4,Datos_items!$E:$E,Analisis_grupo!$C$4))</f>
        <v/>
      </c>
      <c r="AK216" s="2" t="str">
        <f aca="false">IF($B216="","",COUNTIFS(Datos_items!$B:$B,$B216,Datos_items!$AA:$AA,AK$4,Datos_items!$E:$E,Analisis_grupo!$C$4))</f>
        <v/>
      </c>
      <c r="AL216" s="2" t="str">
        <f aca="false">IF($B216="","",COUNTIFS(Datos_items!$B:$B,$B216,Datos_items!$AA:$AA,AL$4,Datos_items!$E:$E,Analisis_grupo!$C$4))</f>
        <v/>
      </c>
      <c r="AM216" s="2" t="str">
        <f aca="false">IF($B216="","",IF(MAX(Y216:AL216)=0,"",INDEX($Y$4:$AL$4,MATCH(MAX(Y216:AL216),Y216:AL216,0))))</f>
        <v/>
      </c>
      <c r="AN216" s="2" t="str">
        <f aca="false">IF($B216="","",COUNTIFS(Datos_problemas!$B:$B,$B216,Datos_problemas!$F:$F,"Práctica"))</f>
        <v/>
      </c>
      <c r="AO216" s="2" t="str">
        <f aca="false">IF($B216="","",SUMIFS(Datos_problemas!$AQ:$AQ,Datos_problemas!$B:$B,$B216,Datos_problemas!$F:$F,"Práctica"))</f>
        <v/>
      </c>
      <c r="AP216" s="2" t="str">
        <f aca="false">IF($B216="","",COUNTIFS(Datos_problemas!$B:$B,$B216,Datos_problemas!$F:$F,"Práctica",Datos_problemas!$AS:$AS,"Sí"))</f>
        <v/>
      </c>
    </row>
    <row r="217" customFormat="false" ht="15" hidden="false" customHeight="false" outlineLevel="0" collapsed="false">
      <c r="A217" s="2" t="n">
        <v>213</v>
      </c>
      <c r="B217" s="2" t="str">
        <f aca="false">IFERROR(INDEX(Datos_problemas!$B:$B,MATCH($A217,Datos_problemas!$AV:$AV,0)),"")</f>
        <v/>
      </c>
      <c r="C217" s="2" t="str">
        <f aca="false">IF($B217="","",INDEX(Datos_problemas!$C:$C,MATCH($A217,Datos_problemas!$AV:$AV,0)))</f>
        <v/>
      </c>
      <c r="D217" s="2" t="str">
        <f aca="false">IF($B217="","",INDEX(Datos_problemas!$D:$D,MATCH($A217,Datos_problemas!$AV:$AV,0)))</f>
        <v/>
      </c>
      <c r="E217" s="2" t="str">
        <f aca="false">IF($B217="","",COUNTIFS(Datos_problemas!$B:$B,$B217,Datos_problemas!$F:$F,"Evaluación"))</f>
        <v/>
      </c>
      <c r="F217" s="20" t="str">
        <f aca="false">IF($B217="","",IFERROR(AVERAGEIFS(Datos_problemas!$AE:$AE,Datos_problemas!$B:$B,$B217,Datos_problemas!$F:$F,"Evaluación"),""))</f>
        <v/>
      </c>
      <c r="G217" s="20" t="str">
        <f aca="false">IF($B217="","",IFERROR(AVERAGEIFS(Datos_problemas!$AE:$AE,Datos_problemas!$B:$B,$B217,Datos_problemas!$F:$F,"Evaluación",Datos_problemas!$E:$E,"Diagnóstico"),""))</f>
        <v/>
      </c>
      <c r="H217" s="20" t="str">
        <f aca="false">IF($B217="","",IFERROR(AVERAGEIFS(Datos_problemas!$AE:$AE,Datos_problemas!$B:$B,$B217,Datos_problemas!$F:$F,"Evaluación",Datos_problemas!$E:$E,"Final"),""))</f>
        <v/>
      </c>
      <c r="I217" s="21" t="str">
        <f aca="false">IF(OR(G217="",H217=""),"",IF(G217&gt;=10,"",(H217-G217)/(10-G217)))</f>
        <v/>
      </c>
      <c r="J217" s="18" t="str">
        <f aca="false">IF($B217="","",IFERROR(SUMIFS(Datos_items!$Z:$Z,Datos_items!$B:$B,$B217,Datos_items!$O:$O,J$4,Datos_items!$E:$E,Analisis_grupo!$C$4)/COUNTIFS(Datos_items!$B:$B,$B217,Datos_items!$O:$O,J$4,Datos_items!$E:$E,Analisis_grupo!$C$4),""))</f>
        <v/>
      </c>
      <c r="K217" s="18" t="str">
        <f aca="false">IF($B217="","",IFERROR(SUMIFS(Datos_items!$Z:$Z,Datos_items!$B:$B,$B217,Datos_items!$O:$O,K$4,Datos_items!$E:$E,Analisis_grupo!$C$4)/COUNTIFS(Datos_items!$B:$B,$B217,Datos_items!$O:$O,K$4,Datos_items!$E:$E,Analisis_grupo!$C$4),""))</f>
        <v/>
      </c>
      <c r="L217" s="18" t="str">
        <f aca="false">IF($B217="","",IFERROR(SUMIFS(Datos_items!$Z:$Z,Datos_items!$B:$B,$B217,Datos_items!$O:$O,L$4,Datos_items!$E:$E,Analisis_grupo!$C$4)/COUNTIFS(Datos_items!$B:$B,$B217,Datos_items!$O:$O,L$4,Datos_items!$E:$E,Analisis_grupo!$C$4),""))</f>
        <v/>
      </c>
      <c r="M217" s="18" t="str">
        <f aca="false">IF($B217="","",IFERROR(SUMIFS(Datos_items!$Z:$Z,Datos_items!$B:$B,$B217,Datos_items!$O:$O,M$4,Datos_items!$E:$E,Analisis_grupo!$C$4)/COUNTIFS(Datos_items!$B:$B,$B217,Datos_items!$O:$O,M$4,Datos_items!$E:$E,Analisis_grupo!$C$4),""))</f>
        <v/>
      </c>
      <c r="N217" s="18" t="str">
        <f aca="false">IF($B217="","",IFERROR(SUMIFS(Datos_items!$Z:$Z,Datos_items!$B:$B,$B217,Datos_items!$O:$O,N$4,Datos_items!$E:$E,Analisis_grupo!$C$4)/COUNTIFS(Datos_items!$B:$B,$B217,Datos_items!$O:$O,N$4,Datos_items!$E:$E,Analisis_grupo!$C$4),""))</f>
        <v/>
      </c>
      <c r="O217" s="18" t="str">
        <f aca="false">IF($B217="","",IFERROR(SUMIFS(Datos_items!$Z:$Z,Datos_items!$B:$B,$B217,Datos_items!$O:$O,O$4,Datos_items!$E:$E,Analisis_grupo!$C$4)/COUNTIFS(Datos_items!$B:$B,$B217,Datos_items!$O:$O,O$4,Datos_items!$E:$E,Analisis_grupo!$C$4),""))</f>
        <v/>
      </c>
      <c r="P217" s="18" t="str">
        <f aca="false">IF($B217="","",IFERROR(SUMIFS(Datos_items!$Z:$Z,Datos_items!$B:$B,$B217,Datos_items!$O:$O,P$4,Datos_items!$E:$E,Analisis_grupo!$C$4)/COUNTIFS(Datos_items!$B:$B,$B217,Datos_items!$O:$O,P$4,Datos_items!$E:$E,Analisis_grupo!$C$4),""))</f>
        <v/>
      </c>
      <c r="Q217" s="18" t="str">
        <f aca="false">IF($B217="","",IFERROR(SUMIFS(Datos_items!$Z:$Z,Datos_items!$B:$B,$B217,Datos_items!$O:$O,Q$4,Datos_items!$E:$E,Analisis_grupo!$C$4)/COUNTIFS(Datos_items!$B:$B,$B217,Datos_items!$O:$O,Q$4,Datos_items!$E:$E,Analisis_grupo!$C$4),""))</f>
        <v/>
      </c>
      <c r="R217" s="2" t="str">
        <f aca="false">IF(COUNT(J217:Q217)=0,"",IF(MIN(J217:Q217)&gt;=Analisis_grupo!$B$7,"(ninguna)",INDEX($J$4:$Q$4,MATCH(MIN(J217:Q217),J217:Q217,0))))</f>
        <v/>
      </c>
      <c r="S217" s="2" t="str">
        <f aca="false">IF($B217="","",COUNTIF(J217:Q217,"&lt;"&amp;Analisis_grupo!$B$7))</f>
        <v/>
      </c>
      <c r="T217" s="2" t="str">
        <f aca="false">IF($B217="","",COUNTIFS(Datos_items!$B:$B,$B217,Datos_items!$AA:$AA,T$4,Datos_items!$E:$E,Analisis_grupo!$C$4))</f>
        <v/>
      </c>
      <c r="U217" s="2" t="str">
        <f aca="false">IF($B217="","",COUNTIFS(Datos_items!$B:$B,$B217,Datos_items!$AA:$AA,U$4,Datos_items!$E:$E,Analisis_grupo!$C$4))</f>
        <v/>
      </c>
      <c r="V217" s="2" t="str">
        <f aca="false">IF($B217="","",COUNTIFS(Datos_items!$B:$B,$B217,Datos_items!$AA:$AA,V$4,Datos_items!$E:$E,Analisis_grupo!$C$4))</f>
        <v/>
      </c>
      <c r="W217" s="2" t="str">
        <f aca="false">IF($B217="","",COUNTIFS(Datos_items!$B:$B,$B217,Datos_items!$AA:$AA,W$4,Datos_items!$E:$E,Analisis_grupo!$C$4))</f>
        <v/>
      </c>
      <c r="X217" s="2" t="str">
        <f aca="false">IF($B217="","",COUNTIFS(Datos_items!$B:$B,$B217,Datos_items!$AA:$AA,X$4,Datos_items!$E:$E,Analisis_grupo!$C$4))</f>
        <v/>
      </c>
      <c r="Y217" s="2" t="str">
        <f aca="false">IF($B217="","",COUNTIFS(Datos_items!$B:$B,$B217,Datos_items!$AA:$AA,Y$4,Datos_items!$E:$E,Analisis_grupo!$C$4))</f>
        <v/>
      </c>
      <c r="Z217" s="2" t="str">
        <f aca="false">IF($B217="","",COUNTIFS(Datos_items!$B:$B,$B217,Datos_items!$AA:$AA,Z$4,Datos_items!$E:$E,Analisis_grupo!$C$4))</f>
        <v/>
      </c>
      <c r="AA217" s="2" t="str">
        <f aca="false">IF($B217="","",COUNTIFS(Datos_items!$B:$B,$B217,Datos_items!$AA:$AA,AA$4,Datos_items!$E:$E,Analisis_grupo!$C$4))</f>
        <v/>
      </c>
      <c r="AB217" s="2" t="str">
        <f aca="false">IF($B217="","",COUNTIFS(Datos_items!$B:$B,$B217,Datos_items!$AA:$AA,AB$4,Datos_items!$E:$E,Analisis_grupo!$C$4))</f>
        <v/>
      </c>
      <c r="AC217" s="2" t="str">
        <f aca="false">IF($B217="","",COUNTIFS(Datos_items!$B:$B,$B217,Datos_items!$AA:$AA,AC$4,Datos_items!$E:$E,Analisis_grupo!$C$4))</f>
        <v/>
      </c>
      <c r="AD217" s="2" t="str">
        <f aca="false">IF($B217="","",COUNTIFS(Datos_items!$B:$B,$B217,Datos_items!$AA:$AA,AD$4,Datos_items!$E:$E,Analisis_grupo!$C$4))</f>
        <v/>
      </c>
      <c r="AE217" s="2" t="str">
        <f aca="false">IF($B217="","",COUNTIFS(Datos_items!$B:$B,$B217,Datos_items!$AA:$AA,AE$4,Datos_items!$E:$E,Analisis_grupo!$C$4))</f>
        <v/>
      </c>
      <c r="AF217" s="2" t="str">
        <f aca="false">IF($B217="","",COUNTIFS(Datos_items!$B:$B,$B217,Datos_items!$AA:$AA,AF$4,Datos_items!$E:$E,Analisis_grupo!$C$4))</f>
        <v/>
      </c>
      <c r="AG217" s="2" t="str">
        <f aca="false">IF($B217="","",COUNTIFS(Datos_items!$B:$B,$B217,Datos_items!$AA:$AA,AG$4,Datos_items!$E:$E,Analisis_grupo!$C$4))</f>
        <v/>
      </c>
      <c r="AH217" s="2" t="str">
        <f aca="false">IF($B217="","",COUNTIFS(Datos_items!$B:$B,$B217,Datos_items!$AA:$AA,AH$4,Datos_items!$E:$E,Analisis_grupo!$C$4))</f>
        <v/>
      </c>
      <c r="AI217" s="2" t="str">
        <f aca="false">IF($B217="","",COUNTIFS(Datos_items!$B:$B,$B217,Datos_items!$AA:$AA,AI$4,Datos_items!$E:$E,Analisis_grupo!$C$4))</f>
        <v/>
      </c>
      <c r="AJ217" s="2" t="str">
        <f aca="false">IF($B217="","",COUNTIFS(Datos_items!$B:$B,$B217,Datos_items!$AA:$AA,AJ$4,Datos_items!$E:$E,Analisis_grupo!$C$4))</f>
        <v/>
      </c>
      <c r="AK217" s="2" t="str">
        <f aca="false">IF($B217="","",COUNTIFS(Datos_items!$B:$B,$B217,Datos_items!$AA:$AA,AK$4,Datos_items!$E:$E,Analisis_grupo!$C$4))</f>
        <v/>
      </c>
      <c r="AL217" s="2" t="str">
        <f aca="false">IF($B217="","",COUNTIFS(Datos_items!$B:$B,$B217,Datos_items!$AA:$AA,AL$4,Datos_items!$E:$E,Analisis_grupo!$C$4))</f>
        <v/>
      </c>
      <c r="AM217" s="2" t="str">
        <f aca="false">IF($B217="","",IF(MAX(Y217:AL217)=0,"",INDEX($Y$4:$AL$4,MATCH(MAX(Y217:AL217),Y217:AL217,0))))</f>
        <v/>
      </c>
      <c r="AN217" s="2" t="str">
        <f aca="false">IF($B217="","",COUNTIFS(Datos_problemas!$B:$B,$B217,Datos_problemas!$F:$F,"Práctica"))</f>
        <v/>
      </c>
      <c r="AO217" s="2" t="str">
        <f aca="false">IF($B217="","",SUMIFS(Datos_problemas!$AQ:$AQ,Datos_problemas!$B:$B,$B217,Datos_problemas!$F:$F,"Práctica"))</f>
        <v/>
      </c>
      <c r="AP217" s="2" t="str">
        <f aca="false">IF($B217="","",COUNTIFS(Datos_problemas!$B:$B,$B217,Datos_problemas!$F:$F,"Práctica",Datos_problemas!$AS:$AS,"Sí"))</f>
        <v/>
      </c>
    </row>
    <row r="218" customFormat="false" ht="15" hidden="false" customHeight="false" outlineLevel="0" collapsed="false">
      <c r="A218" s="2" t="n">
        <v>214</v>
      </c>
      <c r="B218" s="2" t="str">
        <f aca="false">IFERROR(INDEX(Datos_problemas!$B:$B,MATCH($A218,Datos_problemas!$AV:$AV,0)),"")</f>
        <v/>
      </c>
      <c r="C218" s="2" t="str">
        <f aca="false">IF($B218="","",INDEX(Datos_problemas!$C:$C,MATCH($A218,Datos_problemas!$AV:$AV,0)))</f>
        <v/>
      </c>
      <c r="D218" s="2" t="str">
        <f aca="false">IF($B218="","",INDEX(Datos_problemas!$D:$D,MATCH($A218,Datos_problemas!$AV:$AV,0)))</f>
        <v/>
      </c>
      <c r="E218" s="2" t="str">
        <f aca="false">IF($B218="","",COUNTIFS(Datos_problemas!$B:$B,$B218,Datos_problemas!$F:$F,"Evaluación"))</f>
        <v/>
      </c>
      <c r="F218" s="20" t="str">
        <f aca="false">IF($B218="","",IFERROR(AVERAGEIFS(Datos_problemas!$AE:$AE,Datos_problemas!$B:$B,$B218,Datos_problemas!$F:$F,"Evaluación"),""))</f>
        <v/>
      </c>
      <c r="G218" s="20" t="str">
        <f aca="false">IF($B218="","",IFERROR(AVERAGEIFS(Datos_problemas!$AE:$AE,Datos_problemas!$B:$B,$B218,Datos_problemas!$F:$F,"Evaluación",Datos_problemas!$E:$E,"Diagnóstico"),""))</f>
        <v/>
      </c>
      <c r="H218" s="20" t="str">
        <f aca="false">IF($B218="","",IFERROR(AVERAGEIFS(Datos_problemas!$AE:$AE,Datos_problemas!$B:$B,$B218,Datos_problemas!$F:$F,"Evaluación",Datos_problemas!$E:$E,"Final"),""))</f>
        <v/>
      </c>
      <c r="I218" s="21" t="str">
        <f aca="false">IF(OR(G218="",H218=""),"",IF(G218&gt;=10,"",(H218-G218)/(10-G218)))</f>
        <v/>
      </c>
      <c r="J218" s="18" t="str">
        <f aca="false">IF($B218="","",IFERROR(SUMIFS(Datos_items!$Z:$Z,Datos_items!$B:$B,$B218,Datos_items!$O:$O,J$4,Datos_items!$E:$E,Analisis_grupo!$C$4)/COUNTIFS(Datos_items!$B:$B,$B218,Datos_items!$O:$O,J$4,Datos_items!$E:$E,Analisis_grupo!$C$4),""))</f>
        <v/>
      </c>
      <c r="K218" s="18" t="str">
        <f aca="false">IF($B218="","",IFERROR(SUMIFS(Datos_items!$Z:$Z,Datos_items!$B:$B,$B218,Datos_items!$O:$O,K$4,Datos_items!$E:$E,Analisis_grupo!$C$4)/COUNTIFS(Datos_items!$B:$B,$B218,Datos_items!$O:$O,K$4,Datos_items!$E:$E,Analisis_grupo!$C$4),""))</f>
        <v/>
      </c>
      <c r="L218" s="18" t="str">
        <f aca="false">IF($B218="","",IFERROR(SUMIFS(Datos_items!$Z:$Z,Datos_items!$B:$B,$B218,Datos_items!$O:$O,L$4,Datos_items!$E:$E,Analisis_grupo!$C$4)/COUNTIFS(Datos_items!$B:$B,$B218,Datos_items!$O:$O,L$4,Datos_items!$E:$E,Analisis_grupo!$C$4),""))</f>
        <v/>
      </c>
      <c r="M218" s="18" t="str">
        <f aca="false">IF($B218="","",IFERROR(SUMIFS(Datos_items!$Z:$Z,Datos_items!$B:$B,$B218,Datos_items!$O:$O,M$4,Datos_items!$E:$E,Analisis_grupo!$C$4)/COUNTIFS(Datos_items!$B:$B,$B218,Datos_items!$O:$O,M$4,Datos_items!$E:$E,Analisis_grupo!$C$4),""))</f>
        <v/>
      </c>
      <c r="N218" s="18" t="str">
        <f aca="false">IF($B218="","",IFERROR(SUMIFS(Datos_items!$Z:$Z,Datos_items!$B:$B,$B218,Datos_items!$O:$O,N$4,Datos_items!$E:$E,Analisis_grupo!$C$4)/COUNTIFS(Datos_items!$B:$B,$B218,Datos_items!$O:$O,N$4,Datos_items!$E:$E,Analisis_grupo!$C$4),""))</f>
        <v/>
      </c>
      <c r="O218" s="18" t="str">
        <f aca="false">IF($B218="","",IFERROR(SUMIFS(Datos_items!$Z:$Z,Datos_items!$B:$B,$B218,Datos_items!$O:$O,O$4,Datos_items!$E:$E,Analisis_grupo!$C$4)/COUNTIFS(Datos_items!$B:$B,$B218,Datos_items!$O:$O,O$4,Datos_items!$E:$E,Analisis_grupo!$C$4),""))</f>
        <v/>
      </c>
      <c r="P218" s="18" t="str">
        <f aca="false">IF($B218="","",IFERROR(SUMIFS(Datos_items!$Z:$Z,Datos_items!$B:$B,$B218,Datos_items!$O:$O,P$4,Datos_items!$E:$E,Analisis_grupo!$C$4)/COUNTIFS(Datos_items!$B:$B,$B218,Datos_items!$O:$O,P$4,Datos_items!$E:$E,Analisis_grupo!$C$4),""))</f>
        <v/>
      </c>
      <c r="Q218" s="18" t="str">
        <f aca="false">IF($B218="","",IFERROR(SUMIFS(Datos_items!$Z:$Z,Datos_items!$B:$B,$B218,Datos_items!$O:$O,Q$4,Datos_items!$E:$E,Analisis_grupo!$C$4)/COUNTIFS(Datos_items!$B:$B,$B218,Datos_items!$O:$O,Q$4,Datos_items!$E:$E,Analisis_grupo!$C$4),""))</f>
        <v/>
      </c>
      <c r="R218" s="2" t="str">
        <f aca="false">IF(COUNT(J218:Q218)=0,"",IF(MIN(J218:Q218)&gt;=Analisis_grupo!$B$7,"(ninguna)",INDEX($J$4:$Q$4,MATCH(MIN(J218:Q218),J218:Q218,0))))</f>
        <v/>
      </c>
      <c r="S218" s="2" t="str">
        <f aca="false">IF($B218="","",COUNTIF(J218:Q218,"&lt;"&amp;Analisis_grupo!$B$7))</f>
        <v/>
      </c>
      <c r="T218" s="2" t="str">
        <f aca="false">IF($B218="","",COUNTIFS(Datos_items!$B:$B,$B218,Datos_items!$AA:$AA,T$4,Datos_items!$E:$E,Analisis_grupo!$C$4))</f>
        <v/>
      </c>
      <c r="U218" s="2" t="str">
        <f aca="false">IF($B218="","",COUNTIFS(Datos_items!$B:$B,$B218,Datos_items!$AA:$AA,U$4,Datos_items!$E:$E,Analisis_grupo!$C$4))</f>
        <v/>
      </c>
      <c r="V218" s="2" t="str">
        <f aca="false">IF($B218="","",COUNTIFS(Datos_items!$B:$B,$B218,Datos_items!$AA:$AA,V$4,Datos_items!$E:$E,Analisis_grupo!$C$4))</f>
        <v/>
      </c>
      <c r="W218" s="2" t="str">
        <f aca="false">IF($B218="","",COUNTIFS(Datos_items!$B:$B,$B218,Datos_items!$AA:$AA,W$4,Datos_items!$E:$E,Analisis_grupo!$C$4))</f>
        <v/>
      </c>
      <c r="X218" s="2" t="str">
        <f aca="false">IF($B218="","",COUNTIFS(Datos_items!$B:$B,$B218,Datos_items!$AA:$AA,X$4,Datos_items!$E:$E,Analisis_grupo!$C$4))</f>
        <v/>
      </c>
      <c r="Y218" s="2" t="str">
        <f aca="false">IF($B218="","",COUNTIFS(Datos_items!$B:$B,$B218,Datos_items!$AA:$AA,Y$4,Datos_items!$E:$E,Analisis_grupo!$C$4))</f>
        <v/>
      </c>
      <c r="Z218" s="2" t="str">
        <f aca="false">IF($B218="","",COUNTIFS(Datos_items!$B:$B,$B218,Datos_items!$AA:$AA,Z$4,Datos_items!$E:$E,Analisis_grupo!$C$4))</f>
        <v/>
      </c>
      <c r="AA218" s="2" t="str">
        <f aca="false">IF($B218="","",COUNTIFS(Datos_items!$B:$B,$B218,Datos_items!$AA:$AA,AA$4,Datos_items!$E:$E,Analisis_grupo!$C$4))</f>
        <v/>
      </c>
      <c r="AB218" s="2" t="str">
        <f aca="false">IF($B218="","",COUNTIFS(Datos_items!$B:$B,$B218,Datos_items!$AA:$AA,AB$4,Datos_items!$E:$E,Analisis_grupo!$C$4))</f>
        <v/>
      </c>
      <c r="AC218" s="2" t="str">
        <f aca="false">IF($B218="","",COUNTIFS(Datos_items!$B:$B,$B218,Datos_items!$AA:$AA,AC$4,Datos_items!$E:$E,Analisis_grupo!$C$4))</f>
        <v/>
      </c>
      <c r="AD218" s="2" t="str">
        <f aca="false">IF($B218="","",COUNTIFS(Datos_items!$B:$B,$B218,Datos_items!$AA:$AA,AD$4,Datos_items!$E:$E,Analisis_grupo!$C$4))</f>
        <v/>
      </c>
      <c r="AE218" s="2" t="str">
        <f aca="false">IF($B218="","",COUNTIFS(Datos_items!$B:$B,$B218,Datos_items!$AA:$AA,AE$4,Datos_items!$E:$E,Analisis_grupo!$C$4))</f>
        <v/>
      </c>
      <c r="AF218" s="2" t="str">
        <f aca="false">IF($B218="","",COUNTIFS(Datos_items!$B:$B,$B218,Datos_items!$AA:$AA,AF$4,Datos_items!$E:$E,Analisis_grupo!$C$4))</f>
        <v/>
      </c>
      <c r="AG218" s="2" t="str">
        <f aca="false">IF($B218="","",COUNTIFS(Datos_items!$B:$B,$B218,Datos_items!$AA:$AA,AG$4,Datos_items!$E:$E,Analisis_grupo!$C$4))</f>
        <v/>
      </c>
      <c r="AH218" s="2" t="str">
        <f aca="false">IF($B218="","",COUNTIFS(Datos_items!$B:$B,$B218,Datos_items!$AA:$AA,AH$4,Datos_items!$E:$E,Analisis_grupo!$C$4))</f>
        <v/>
      </c>
      <c r="AI218" s="2" t="str">
        <f aca="false">IF($B218="","",COUNTIFS(Datos_items!$B:$B,$B218,Datos_items!$AA:$AA,AI$4,Datos_items!$E:$E,Analisis_grupo!$C$4))</f>
        <v/>
      </c>
      <c r="AJ218" s="2" t="str">
        <f aca="false">IF($B218="","",COUNTIFS(Datos_items!$B:$B,$B218,Datos_items!$AA:$AA,AJ$4,Datos_items!$E:$E,Analisis_grupo!$C$4))</f>
        <v/>
      </c>
      <c r="AK218" s="2" t="str">
        <f aca="false">IF($B218="","",COUNTIFS(Datos_items!$B:$B,$B218,Datos_items!$AA:$AA,AK$4,Datos_items!$E:$E,Analisis_grupo!$C$4))</f>
        <v/>
      </c>
      <c r="AL218" s="2" t="str">
        <f aca="false">IF($B218="","",COUNTIFS(Datos_items!$B:$B,$B218,Datos_items!$AA:$AA,AL$4,Datos_items!$E:$E,Analisis_grupo!$C$4))</f>
        <v/>
      </c>
      <c r="AM218" s="2" t="str">
        <f aca="false">IF($B218="","",IF(MAX(Y218:AL218)=0,"",INDEX($Y$4:$AL$4,MATCH(MAX(Y218:AL218),Y218:AL218,0))))</f>
        <v/>
      </c>
      <c r="AN218" s="2" t="str">
        <f aca="false">IF($B218="","",COUNTIFS(Datos_problemas!$B:$B,$B218,Datos_problemas!$F:$F,"Práctica"))</f>
        <v/>
      </c>
      <c r="AO218" s="2" t="str">
        <f aca="false">IF($B218="","",SUMIFS(Datos_problemas!$AQ:$AQ,Datos_problemas!$B:$B,$B218,Datos_problemas!$F:$F,"Práctica"))</f>
        <v/>
      </c>
      <c r="AP218" s="2" t="str">
        <f aca="false">IF($B218="","",COUNTIFS(Datos_problemas!$B:$B,$B218,Datos_problemas!$F:$F,"Práctica",Datos_problemas!$AS:$AS,"Sí"))</f>
        <v/>
      </c>
    </row>
    <row r="219" customFormat="false" ht="15" hidden="false" customHeight="false" outlineLevel="0" collapsed="false">
      <c r="A219" s="2" t="n">
        <v>215</v>
      </c>
      <c r="B219" s="2" t="str">
        <f aca="false">IFERROR(INDEX(Datos_problemas!$B:$B,MATCH($A219,Datos_problemas!$AV:$AV,0)),"")</f>
        <v/>
      </c>
      <c r="C219" s="2" t="str">
        <f aca="false">IF($B219="","",INDEX(Datos_problemas!$C:$C,MATCH($A219,Datos_problemas!$AV:$AV,0)))</f>
        <v/>
      </c>
      <c r="D219" s="2" t="str">
        <f aca="false">IF($B219="","",INDEX(Datos_problemas!$D:$D,MATCH($A219,Datos_problemas!$AV:$AV,0)))</f>
        <v/>
      </c>
      <c r="E219" s="2" t="str">
        <f aca="false">IF($B219="","",COUNTIFS(Datos_problemas!$B:$B,$B219,Datos_problemas!$F:$F,"Evaluación"))</f>
        <v/>
      </c>
      <c r="F219" s="20" t="str">
        <f aca="false">IF($B219="","",IFERROR(AVERAGEIFS(Datos_problemas!$AE:$AE,Datos_problemas!$B:$B,$B219,Datos_problemas!$F:$F,"Evaluación"),""))</f>
        <v/>
      </c>
      <c r="G219" s="20" t="str">
        <f aca="false">IF($B219="","",IFERROR(AVERAGEIFS(Datos_problemas!$AE:$AE,Datos_problemas!$B:$B,$B219,Datos_problemas!$F:$F,"Evaluación",Datos_problemas!$E:$E,"Diagnóstico"),""))</f>
        <v/>
      </c>
      <c r="H219" s="20" t="str">
        <f aca="false">IF($B219="","",IFERROR(AVERAGEIFS(Datos_problemas!$AE:$AE,Datos_problemas!$B:$B,$B219,Datos_problemas!$F:$F,"Evaluación",Datos_problemas!$E:$E,"Final"),""))</f>
        <v/>
      </c>
      <c r="I219" s="21" t="str">
        <f aca="false">IF(OR(G219="",H219=""),"",IF(G219&gt;=10,"",(H219-G219)/(10-G219)))</f>
        <v/>
      </c>
      <c r="J219" s="18" t="str">
        <f aca="false">IF($B219="","",IFERROR(SUMIFS(Datos_items!$Z:$Z,Datos_items!$B:$B,$B219,Datos_items!$O:$O,J$4,Datos_items!$E:$E,Analisis_grupo!$C$4)/COUNTIFS(Datos_items!$B:$B,$B219,Datos_items!$O:$O,J$4,Datos_items!$E:$E,Analisis_grupo!$C$4),""))</f>
        <v/>
      </c>
      <c r="K219" s="18" t="str">
        <f aca="false">IF($B219="","",IFERROR(SUMIFS(Datos_items!$Z:$Z,Datos_items!$B:$B,$B219,Datos_items!$O:$O,K$4,Datos_items!$E:$E,Analisis_grupo!$C$4)/COUNTIFS(Datos_items!$B:$B,$B219,Datos_items!$O:$O,K$4,Datos_items!$E:$E,Analisis_grupo!$C$4),""))</f>
        <v/>
      </c>
      <c r="L219" s="18" t="str">
        <f aca="false">IF($B219="","",IFERROR(SUMIFS(Datos_items!$Z:$Z,Datos_items!$B:$B,$B219,Datos_items!$O:$O,L$4,Datos_items!$E:$E,Analisis_grupo!$C$4)/COUNTIFS(Datos_items!$B:$B,$B219,Datos_items!$O:$O,L$4,Datos_items!$E:$E,Analisis_grupo!$C$4),""))</f>
        <v/>
      </c>
      <c r="M219" s="18" t="str">
        <f aca="false">IF($B219="","",IFERROR(SUMIFS(Datos_items!$Z:$Z,Datos_items!$B:$B,$B219,Datos_items!$O:$O,M$4,Datos_items!$E:$E,Analisis_grupo!$C$4)/COUNTIFS(Datos_items!$B:$B,$B219,Datos_items!$O:$O,M$4,Datos_items!$E:$E,Analisis_grupo!$C$4),""))</f>
        <v/>
      </c>
      <c r="N219" s="18" t="str">
        <f aca="false">IF($B219="","",IFERROR(SUMIFS(Datos_items!$Z:$Z,Datos_items!$B:$B,$B219,Datos_items!$O:$O,N$4,Datos_items!$E:$E,Analisis_grupo!$C$4)/COUNTIFS(Datos_items!$B:$B,$B219,Datos_items!$O:$O,N$4,Datos_items!$E:$E,Analisis_grupo!$C$4),""))</f>
        <v/>
      </c>
      <c r="O219" s="18" t="str">
        <f aca="false">IF($B219="","",IFERROR(SUMIFS(Datos_items!$Z:$Z,Datos_items!$B:$B,$B219,Datos_items!$O:$O,O$4,Datos_items!$E:$E,Analisis_grupo!$C$4)/COUNTIFS(Datos_items!$B:$B,$B219,Datos_items!$O:$O,O$4,Datos_items!$E:$E,Analisis_grupo!$C$4),""))</f>
        <v/>
      </c>
      <c r="P219" s="18" t="str">
        <f aca="false">IF($B219="","",IFERROR(SUMIFS(Datos_items!$Z:$Z,Datos_items!$B:$B,$B219,Datos_items!$O:$O,P$4,Datos_items!$E:$E,Analisis_grupo!$C$4)/COUNTIFS(Datos_items!$B:$B,$B219,Datos_items!$O:$O,P$4,Datos_items!$E:$E,Analisis_grupo!$C$4),""))</f>
        <v/>
      </c>
      <c r="Q219" s="18" t="str">
        <f aca="false">IF($B219="","",IFERROR(SUMIFS(Datos_items!$Z:$Z,Datos_items!$B:$B,$B219,Datos_items!$O:$O,Q$4,Datos_items!$E:$E,Analisis_grupo!$C$4)/COUNTIFS(Datos_items!$B:$B,$B219,Datos_items!$O:$O,Q$4,Datos_items!$E:$E,Analisis_grupo!$C$4),""))</f>
        <v/>
      </c>
      <c r="R219" s="2" t="str">
        <f aca="false">IF(COUNT(J219:Q219)=0,"",IF(MIN(J219:Q219)&gt;=Analisis_grupo!$B$7,"(ninguna)",INDEX($J$4:$Q$4,MATCH(MIN(J219:Q219),J219:Q219,0))))</f>
        <v/>
      </c>
      <c r="S219" s="2" t="str">
        <f aca="false">IF($B219="","",COUNTIF(J219:Q219,"&lt;"&amp;Analisis_grupo!$B$7))</f>
        <v/>
      </c>
      <c r="T219" s="2" t="str">
        <f aca="false">IF($B219="","",COUNTIFS(Datos_items!$B:$B,$B219,Datos_items!$AA:$AA,T$4,Datos_items!$E:$E,Analisis_grupo!$C$4))</f>
        <v/>
      </c>
      <c r="U219" s="2" t="str">
        <f aca="false">IF($B219="","",COUNTIFS(Datos_items!$B:$B,$B219,Datos_items!$AA:$AA,U$4,Datos_items!$E:$E,Analisis_grupo!$C$4))</f>
        <v/>
      </c>
      <c r="V219" s="2" t="str">
        <f aca="false">IF($B219="","",COUNTIFS(Datos_items!$B:$B,$B219,Datos_items!$AA:$AA,V$4,Datos_items!$E:$E,Analisis_grupo!$C$4))</f>
        <v/>
      </c>
      <c r="W219" s="2" t="str">
        <f aca="false">IF($B219="","",COUNTIFS(Datos_items!$B:$B,$B219,Datos_items!$AA:$AA,W$4,Datos_items!$E:$E,Analisis_grupo!$C$4))</f>
        <v/>
      </c>
      <c r="X219" s="2" t="str">
        <f aca="false">IF($B219="","",COUNTIFS(Datos_items!$B:$B,$B219,Datos_items!$AA:$AA,X$4,Datos_items!$E:$E,Analisis_grupo!$C$4))</f>
        <v/>
      </c>
      <c r="Y219" s="2" t="str">
        <f aca="false">IF($B219="","",COUNTIFS(Datos_items!$B:$B,$B219,Datos_items!$AA:$AA,Y$4,Datos_items!$E:$E,Analisis_grupo!$C$4))</f>
        <v/>
      </c>
      <c r="Z219" s="2" t="str">
        <f aca="false">IF($B219="","",COUNTIFS(Datos_items!$B:$B,$B219,Datos_items!$AA:$AA,Z$4,Datos_items!$E:$E,Analisis_grupo!$C$4))</f>
        <v/>
      </c>
      <c r="AA219" s="2" t="str">
        <f aca="false">IF($B219="","",COUNTIFS(Datos_items!$B:$B,$B219,Datos_items!$AA:$AA,AA$4,Datos_items!$E:$E,Analisis_grupo!$C$4))</f>
        <v/>
      </c>
      <c r="AB219" s="2" t="str">
        <f aca="false">IF($B219="","",COUNTIFS(Datos_items!$B:$B,$B219,Datos_items!$AA:$AA,AB$4,Datos_items!$E:$E,Analisis_grupo!$C$4))</f>
        <v/>
      </c>
      <c r="AC219" s="2" t="str">
        <f aca="false">IF($B219="","",COUNTIFS(Datos_items!$B:$B,$B219,Datos_items!$AA:$AA,AC$4,Datos_items!$E:$E,Analisis_grupo!$C$4))</f>
        <v/>
      </c>
      <c r="AD219" s="2" t="str">
        <f aca="false">IF($B219="","",COUNTIFS(Datos_items!$B:$B,$B219,Datos_items!$AA:$AA,AD$4,Datos_items!$E:$E,Analisis_grupo!$C$4))</f>
        <v/>
      </c>
      <c r="AE219" s="2" t="str">
        <f aca="false">IF($B219="","",COUNTIFS(Datos_items!$B:$B,$B219,Datos_items!$AA:$AA,AE$4,Datos_items!$E:$E,Analisis_grupo!$C$4))</f>
        <v/>
      </c>
      <c r="AF219" s="2" t="str">
        <f aca="false">IF($B219="","",COUNTIFS(Datos_items!$B:$B,$B219,Datos_items!$AA:$AA,AF$4,Datos_items!$E:$E,Analisis_grupo!$C$4))</f>
        <v/>
      </c>
      <c r="AG219" s="2" t="str">
        <f aca="false">IF($B219="","",COUNTIFS(Datos_items!$B:$B,$B219,Datos_items!$AA:$AA,AG$4,Datos_items!$E:$E,Analisis_grupo!$C$4))</f>
        <v/>
      </c>
      <c r="AH219" s="2" t="str">
        <f aca="false">IF($B219="","",COUNTIFS(Datos_items!$B:$B,$B219,Datos_items!$AA:$AA,AH$4,Datos_items!$E:$E,Analisis_grupo!$C$4))</f>
        <v/>
      </c>
      <c r="AI219" s="2" t="str">
        <f aca="false">IF($B219="","",COUNTIFS(Datos_items!$B:$B,$B219,Datos_items!$AA:$AA,AI$4,Datos_items!$E:$E,Analisis_grupo!$C$4))</f>
        <v/>
      </c>
      <c r="AJ219" s="2" t="str">
        <f aca="false">IF($B219="","",COUNTIFS(Datos_items!$B:$B,$B219,Datos_items!$AA:$AA,AJ$4,Datos_items!$E:$E,Analisis_grupo!$C$4))</f>
        <v/>
      </c>
      <c r="AK219" s="2" t="str">
        <f aca="false">IF($B219="","",COUNTIFS(Datos_items!$B:$B,$B219,Datos_items!$AA:$AA,AK$4,Datos_items!$E:$E,Analisis_grupo!$C$4))</f>
        <v/>
      </c>
      <c r="AL219" s="2" t="str">
        <f aca="false">IF($B219="","",COUNTIFS(Datos_items!$B:$B,$B219,Datos_items!$AA:$AA,AL$4,Datos_items!$E:$E,Analisis_grupo!$C$4))</f>
        <v/>
      </c>
      <c r="AM219" s="2" t="str">
        <f aca="false">IF($B219="","",IF(MAX(Y219:AL219)=0,"",INDEX($Y$4:$AL$4,MATCH(MAX(Y219:AL219),Y219:AL219,0))))</f>
        <v/>
      </c>
      <c r="AN219" s="2" t="str">
        <f aca="false">IF($B219="","",COUNTIFS(Datos_problemas!$B:$B,$B219,Datos_problemas!$F:$F,"Práctica"))</f>
        <v/>
      </c>
      <c r="AO219" s="2" t="str">
        <f aca="false">IF($B219="","",SUMIFS(Datos_problemas!$AQ:$AQ,Datos_problemas!$B:$B,$B219,Datos_problemas!$F:$F,"Práctica"))</f>
        <v/>
      </c>
      <c r="AP219" s="2" t="str">
        <f aca="false">IF($B219="","",COUNTIFS(Datos_problemas!$B:$B,$B219,Datos_problemas!$F:$F,"Práctica",Datos_problemas!$AS:$AS,"Sí"))</f>
        <v/>
      </c>
    </row>
    <row r="220" customFormat="false" ht="15" hidden="false" customHeight="false" outlineLevel="0" collapsed="false">
      <c r="A220" s="2" t="n">
        <v>216</v>
      </c>
      <c r="B220" s="2" t="str">
        <f aca="false">IFERROR(INDEX(Datos_problemas!$B:$B,MATCH($A220,Datos_problemas!$AV:$AV,0)),"")</f>
        <v/>
      </c>
      <c r="C220" s="2" t="str">
        <f aca="false">IF($B220="","",INDEX(Datos_problemas!$C:$C,MATCH($A220,Datos_problemas!$AV:$AV,0)))</f>
        <v/>
      </c>
      <c r="D220" s="2" t="str">
        <f aca="false">IF($B220="","",INDEX(Datos_problemas!$D:$D,MATCH($A220,Datos_problemas!$AV:$AV,0)))</f>
        <v/>
      </c>
      <c r="E220" s="2" t="str">
        <f aca="false">IF($B220="","",COUNTIFS(Datos_problemas!$B:$B,$B220,Datos_problemas!$F:$F,"Evaluación"))</f>
        <v/>
      </c>
      <c r="F220" s="20" t="str">
        <f aca="false">IF($B220="","",IFERROR(AVERAGEIFS(Datos_problemas!$AE:$AE,Datos_problemas!$B:$B,$B220,Datos_problemas!$F:$F,"Evaluación"),""))</f>
        <v/>
      </c>
      <c r="G220" s="20" t="str">
        <f aca="false">IF($B220="","",IFERROR(AVERAGEIFS(Datos_problemas!$AE:$AE,Datos_problemas!$B:$B,$B220,Datos_problemas!$F:$F,"Evaluación",Datos_problemas!$E:$E,"Diagnóstico"),""))</f>
        <v/>
      </c>
      <c r="H220" s="20" t="str">
        <f aca="false">IF($B220="","",IFERROR(AVERAGEIFS(Datos_problemas!$AE:$AE,Datos_problemas!$B:$B,$B220,Datos_problemas!$F:$F,"Evaluación",Datos_problemas!$E:$E,"Final"),""))</f>
        <v/>
      </c>
      <c r="I220" s="21" t="str">
        <f aca="false">IF(OR(G220="",H220=""),"",IF(G220&gt;=10,"",(H220-G220)/(10-G220)))</f>
        <v/>
      </c>
      <c r="J220" s="18" t="str">
        <f aca="false">IF($B220="","",IFERROR(SUMIFS(Datos_items!$Z:$Z,Datos_items!$B:$B,$B220,Datos_items!$O:$O,J$4,Datos_items!$E:$E,Analisis_grupo!$C$4)/COUNTIFS(Datos_items!$B:$B,$B220,Datos_items!$O:$O,J$4,Datos_items!$E:$E,Analisis_grupo!$C$4),""))</f>
        <v/>
      </c>
      <c r="K220" s="18" t="str">
        <f aca="false">IF($B220="","",IFERROR(SUMIFS(Datos_items!$Z:$Z,Datos_items!$B:$B,$B220,Datos_items!$O:$O,K$4,Datos_items!$E:$E,Analisis_grupo!$C$4)/COUNTIFS(Datos_items!$B:$B,$B220,Datos_items!$O:$O,K$4,Datos_items!$E:$E,Analisis_grupo!$C$4),""))</f>
        <v/>
      </c>
      <c r="L220" s="18" t="str">
        <f aca="false">IF($B220="","",IFERROR(SUMIFS(Datos_items!$Z:$Z,Datos_items!$B:$B,$B220,Datos_items!$O:$O,L$4,Datos_items!$E:$E,Analisis_grupo!$C$4)/COUNTIFS(Datos_items!$B:$B,$B220,Datos_items!$O:$O,L$4,Datos_items!$E:$E,Analisis_grupo!$C$4),""))</f>
        <v/>
      </c>
      <c r="M220" s="18" t="str">
        <f aca="false">IF($B220="","",IFERROR(SUMIFS(Datos_items!$Z:$Z,Datos_items!$B:$B,$B220,Datos_items!$O:$O,M$4,Datos_items!$E:$E,Analisis_grupo!$C$4)/COUNTIFS(Datos_items!$B:$B,$B220,Datos_items!$O:$O,M$4,Datos_items!$E:$E,Analisis_grupo!$C$4),""))</f>
        <v/>
      </c>
      <c r="N220" s="18" t="str">
        <f aca="false">IF($B220="","",IFERROR(SUMIFS(Datos_items!$Z:$Z,Datos_items!$B:$B,$B220,Datos_items!$O:$O,N$4,Datos_items!$E:$E,Analisis_grupo!$C$4)/COUNTIFS(Datos_items!$B:$B,$B220,Datos_items!$O:$O,N$4,Datos_items!$E:$E,Analisis_grupo!$C$4),""))</f>
        <v/>
      </c>
      <c r="O220" s="18" t="str">
        <f aca="false">IF($B220="","",IFERROR(SUMIFS(Datos_items!$Z:$Z,Datos_items!$B:$B,$B220,Datos_items!$O:$O,O$4,Datos_items!$E:$E,Analisis_grupo!$C$4)/COUNTIFS(Datos_items!$B:$B,$B220,Datos_items!$O:$O,O$4,Datos_items!$E:$E,Analisis_grupo!$C$4),""))</f>
        <v/>
      </c>
      <c r="P220" s="18" t="str">
        <f aca="false">IF($B220="","",IFERROR(SUMIFS(Datos_items!$Z:$Z,Datos_items!$B:$B,$B220,Datos_items!$O:$O,P$4,Datos_items!$E:$E,Analisis_grupo!$C$4)/COUNTIFS(Datos_items!$B:$B,$B220,Datos_items!$O:$O,P$4,Datos_items!$E:$E,Analisis_grupo!$C$4),""))</f>
        <v/>
      </c>
      <c r="Q220" s="18" t="str">
        <f aca="false">IF($B220="","",IFERROR(SUMIFS(Datos_items!$Z:$Z,Datos_items!$B:$B,$B220,Datos_items!$O:$O,Q$4,Datos_items!$E:$E,Analisis_grupo!$C$4)/COUNTIFS(Datos_items!$B:$B,$B220,Datos_items!$O:$O,Q$4,Datos_items!$E:$E,Analisis_grupo!$C$4),""))</f>
        <v/>
      </c>
      <c r="R220" s="2" t="str">
        <f aca="false">IF(COUNT(J220:Q220)=0,"",IF(MIN(J220:Q220)&gt;=Analisis_grupo!$B$7,"(ninguna)",INDEX($J$4:$Q$4,MATCH(MIN(J220:Q220),J220:Q220,0))))</f>
        <v/>
      </c>
      <c r="S220" s="2" t="str">
        <f aca="false">IF($B220="","",COUNTIF(J220:Q220,"&lt;"&amp;Analisis_grupo!$B$7))</f>
        <v/>
      </c>
      <c r="T220" s="2" t="str">
        <f aca="false">IF($B220="","",COUNTIFS(Datos_items!$B:$B,$B220,Datos_items!$AA:$AA,T$4,Datos_items!$E:$E,Analisis_grupo!$C$4))</f>
        <v/>
      </c>
      <c r="U220" s="2" t="str">
        <f aca="false">IF($B220="","",COUNTIFS(Datos_items!$B:$B,$B220,Datos_items!$AA:$AA,U$4,Datos_items!$E:$E,Analisis_grupo!$C$4))</f>
        <v/>
      </c>
      <c r="V220" s="2" t="str">
        <f aca="false">IF($B220="","",COUNTIFS(Datos_items!$B:$B,$B220,Datos_items!$AA:$AA,V$4,Datos_items!$E:$E,Analisis_grupo!$C$4))</f>
        <v/>
      </c>
      <c r="W220" s="2" t="str">
        <f aca="false">IF($B220="","",COUNTIFS(Datos_items!$B:$B,$B220,Datos_items!$AA:$AA,W$4,Datos_items!$E:$E,Analisis_grupo!$C$4))</f>
        <v/>
      </c>
      <c r="X220" s="2" t="str">
        <f aca="false">IF($B220="","",COUNTIFS(Datos_items!$B:$B,$B220,Datos_items!$AA:$AA,X$4,Datos_items!$E:$E,Analisis_grupo!$C$4))</f>
        <v/>
      </c>
      <c r="Y220" s="2" t="str">
        <f aca="false">IF($B220="","",COUNTIFS(Datos_items!$B:$B,$B220,Datos_items!$AA:$AA,Y$4,Datos_items!$E:$E,Analisis_grupo!$C$4))</f>
        <v/>
      </c>
      <c r="Z220" s="2" t="str">
        <f aca="false">IF($B220="","",COUNTIFS(Datos_items!$B:$B,$B220,Datos_items!$AA:$AA,Z$4,Datos_items!$E:$E,Analisis_grupo!$C$4))</f>
        <v/>
      </c>
      <c r="AA220" s="2" t="str">
        <f aca="false">IF($B220="","",COUNTIFS(Datos_items!$B:$B,$B220,Datos_items!$AA:$AA,AA$4,Datos_items!$E:$E,Analisis_grupo!$C$4))</f>
        <v/>
      </c>
      <c r="AB220" s="2" t="str">
        <f aca="false">IF($B220="","",COUNTIFS(Datos_items!$B:$B,$B220,Datos_items!$AA:$AA,AB$4,Datos_items!$E:$E,Analisis_grupo!$C$4))</f>
        <v/>
      </c>
      <c r="AC220" s="2" t="str">
        <f aca="false">IF($B220="","",COUNTIFS(Datos_items!$B:$B,$B220,Datos_items!$AA:$AA,AC$4,Datos_items!$E:$E,Analisis_grupo!$C$4))</f>
        <v/>
      </c>
      <c r="AD220" s="2" t="str">
        <f aca="false">IF($B220="","",COUNTIFS(Datos_items!$B:$B,$B220,Datos_items!$AA:$AA,AD$4,Datos_items!$E:$E,Analisis_grupo!$C$4))</f>
        <v/>
      </c>
      <c r="AE220" s="2" t="str">
        <f aca="false">IF($B220="","",COUNTIFS(Datos_items!$B:$B,$B220,Datos_items!$AA:$AA,AE$4,Datos_items!$E:$E,Analisis_grupo!$C$4))</f>
        <v/>
      </c>
      <c r="AF220" s="2" t="str">
        <f aca="false">IF($B220="","",COUNTIFS(Datos_items!$B:$B,$B220,Datos_items!$AA:$AA,AF$4,Datos_items!$E:$E,Analisis_grupo!$C$4))</f>
        <v/>
      </c>
      <c r="AG220" s="2" t="str">
        <f aca="false">IF($B220="","",COUNTIFS(Datos_items!$B:$B,$B220,Datos_items!$AA:$AA,AG$4,Datos_items!$E:$E,Analisis_grupo!$C$4))</f>
        <v/>
      </c>
      <c r="AH220" s="2" t="str">
        <f aca="false">IF($B220="","",COUNTIFS(Datos_items!$B:$B,$B220,Datos_items!$AA:$AA,AH$4,Datos_items!$E:$E,Analisis_grupo!$C$4))</f>
        <v/>
      </c>
      <c r="AI220" s="2" t="str">
        <f aca="false">IF($B220="","",COUNTIFS(Datos_items!$B:$B,$B220,Datos_items!$AA:$AA,AI$4,Datos_items!$E:$E,Analisis_grupo!$C$4))</f>
        <v/>
      </c>
      <c r="AJ220" s="2" t="str">
        <f aca="false">IF($B220="","",COUNTIFS(Datos_items!$B:$B,$B220,Datos_items!$AA:$AA,AJ$4,Datos_items!$E:$E,Analisis_grupo!$C$4))</f>
        <v/>
      </c>
      <c r="AK220" s="2" t="str">
        <f aca="false">IF($B220="","",COUNTIFS(Datos_items!$B:$B,$B220,Datos_items!$AA:$AA,AK$4,Datos_items!$E:$E,Analisis_grupo!$C$4))</f>
        <v/>
      </c>
      <c r="AL220" s="2" t="str">
        <f aca="false">IF($B220="","",COUNTIFS(Datos_items!$B:$B,$B220,Datos_items!$AA:$AA,AL$4,Datos_items!$E:$E,Analisis_grupo!$C$4))</f>
        <v/>
      </c>
      <c r="AM220" s="2" t="str">
        <f aca="false">IF($B220="","",IF(MAX(Y220:AL220)=0,"",INDEX($Y$4:$AL$4,MATCH(MAX(Y220:AL220),Y220:AL220,0))))</f>
        <v/>
      </c>
      <c r="AN220" s="2" t="str">
        <f aca="false">IF($B220="","",COUNTIFS(Datos_problemas!$B:$B,$B220,Datos_problemas!$F:$F,"Práctica"))</f>
        <v/>
      </c>
      <c r="AO220" s="2" t="str">
        <f aca="false">IF($B220="","",SUMIFS(Datos_problemas!$AQ:$AQ,Datos_problemas!$B:$B,$B220,Datos_problemas!$F:$F,"Práctica"))</f>
        <v/>
      </c>
      <c r="AP220" s="2" t="str">
        <f aca="false">IF($B220="","",COUNTIFS(Datos_problemas!$B:$B,$B220,Datos_problemas!$F:$F,"Práctica",Datos_problemas!$AS:$AS,"Sí"))</f>
        <v/>
      </c>
    </row>
    <row r="221" customFormat="false" ht="15" hidden="false" customHeight="false" outlineLevel="0" collapsed="false">
      <c r="A221" s="2" t="n">
        <v>217</v>
      </c>
      <c r="B221" s="2" t="str">
        <f aca="false">IFERROR(INDEX(Datos_problemas!$B:$B,MATCH($A221,Datos_problemas!$AV:$AV,0)),"")</f>
        <v/>
      </c>
      <c r="C221" s="2" t="str">
        <f aca="false">IF($B221="","",INDEX(Datos_problemas!$C:$C,MATCH($A221,Datos_problemas!$AV:$AV,0)))</f>
        <v/>
      </c>
      <c r="D221" s="2" t="str">
        <f aca="false">IF($B221="","",INDEX(Datos_problemas!$D:$D,MATCH($A221,Datos_problemas!$AV:$AV,0)))</f>
        <v/>
      </c>
      <c r="E221" s="2" t="str">
        <f aca="false">IF($B221="","",COUNTIFS(Datos_problemas!$B:$B,$B221,Datos_problemas!$F:$F,"Evaluación"))</f>
        <v/>
      </c>
      <c r="F221" s="20" t="str">
        <f aca="false">IF($B221="","",IFERROR(AVERAGEIFS(Datos_problemas!$AE:$AE,Datos_problemas!$B:$B,$B221,Datos_problemas!$F:$F,"Evaluación"),""))</f>
        <v/>
      </c>
      <c r="G221" s="20" t="str">
        <f aca="false">IF($B221="","",IFERROR(AVERAGEIFS(Datos_problemas!$AE:$AE,Datos_problemas!$B:$B,$B221,Datos_problemas!$F:$F,"Evaluación",Datos_problemas!$E:$E,"Diagnóstico"),""))</f>
        <v/>
      </c>
      <c r="H221" s="20" t="str">
        <f aca="false">IF($B221="","",IFERROR(AVERAGEIFS(Datos_problemas!$AE:$AE,Datos_problemas!$B:$B,$B221,Datos_problemas!$F:$F,"Evaluación",Datos_problemas!$E:$E,"Final"),""))</f>
        <v/>
      </c>
      <c r="I221" s="21" t="str">
        <f aca="false">IF(OR(G221="",H221=""),"",IF(G221&gt;=10,"",(H221-G221)/(10-G221)))</f>
        <v/>
      </c>
      <c r="J221" s="18" t="str">
        <f aca="false">IF($B221="","",IFERROR(SUMIFS(Datos_items!$Z:$Z,Datos_items!$B:$B,$B221,Datos_items!$O:$O,J$4,Datos_items!$E:$E,Analisis_grupo!$C$4)/COUNTIFS(Datos_items!$B:$B,$B221,Datos_items!$O:$O,J$4,Datos_items!$E:$E,Analisis_grupo!$C$4),""))</f>
        <v/>
      </c>
      <c r="K221" s="18" t="str">
        <f aca="false">IF($B221="","",IFERROR(SUMIFS(Datos_items!$Z:$Z,Datos_items!$B:$B,$B221,Datos_items!$O:$O,K$4,Datos_items!$E:$E,Analisis_grupo!$C$4)/COUNTIFS(Datos_items!$B:$B,$B221,Datos_items!$O:$O,K$4,Datos_items!$E:$E,Analisis_grupo!$C$4),""))</f>
        <v/>
      </c>
      <c r="L221" s="18" t="str">
        <f aca="false">IF($B221="","",IFERROR(SUMIFS(Datos_items!$Z:$Z,Datos_items!$B:$B,$B221,Datos_items!$O:$O,L$4,Datos_items!$E:$E,Analisis_grupo!$C$4)/COUNTIFS(Datos_items!$B:$B,$B221,Datos_items!$O:$O,L$4,Datos_items!$E:$E,Analisis_grupo!$C$4),""))</f>
        <v/>
      </c>
      <c r="M221" s="18" t="str">
        <f aca="false">IF($B221="","",IFERROR(SUMIFS(Datos_items!$Z:$Z,Datos_items!$B:$B,$B221,Datos_items!$O:$O,M$4,Datos_items!$E:$E,Analisis_grupo!$C$4)/COUNTIFS(Datos_items!$B:$B,$B221,Datos_items!$O:$O,M$4,Datos_items!$E:$E,Analisis_grupo!$C$4),""))</f>
        <v/>
      </c>
      <c r="N221" s="18" t="str">
        <f aca="false">IF($B221="","",IFERROR(SUMIFS(Datos_items!$Z:$Z,Datos_items!$B:$B,$B221,Datos_items!$O:$O,N$4,Datos_items!$E:$E,Analisis_grupo!$C$4)/COUNTIFS(Datos_items!$B:$B,$B221,Datos_items!$O:$O,N$4,Datos_items!$E:$E,Analisis_grupo!$C$4),""))</f>
        <v/>
      </c>
      <c r="O221" s="18" t="str">
        <f aca="false">IF($B221="","",IFERROR(SUMIFS(Datos_items!$Z:$Z,Datos_items!$B:$B,$B221,Datos_items!$O:$O,O$4,Datos_items!$E:$E,Analisis_grupo!$C$4)/COUNTIFS(Datos_items!$B:$B,$B221,Datos_items!$O:$O,O$4,Datos_items!$E:$E,Analisis_grupo!$C$4),""))</f>
        <v/>
      </c>
      <c r="P221" s="18" t="str">
        <f aca="false">IF($B221="","",IFERROR(SUMIFS(Datos_items!$Z:$Z,Datos_items!$B:$B,$B221,Datos_items!$O:$O,P$4,Datos_items!$E:$E,Analisis_grupo!$C$4)/COUNTIFS(Datos_items!$B:$B,$B221,Datos_items!$O:$O,P$4,Datos_items!$E:$E,Analisis_grupo!$C$4),""))</f>
        <v/>
      </c>
      <c r="Q221" s="18" t="str">
        <f aca="false">IF($B221="","",IFERROR(SUMIFS(Datos_items!$Z:$Z,Datos_items!$B:$B,$B221,Datos_items!$O:$O,Q$4,Datos_items!$E:$E,Analisis_grupo!$C$4)/COUNTIFS(Datos_items!$B:$B,$B221,Datos_items!$O:$O,Q$4,Datos_items!$E:$E,Analisis_grupo!$C$4),""))</f>
        <v/>
      </c>
      <c r="R221" s="2" t="str">
        <f aca="false">IF(COUNT(J221:Q221)=0,"",IF(MIN(J221:Q221)&gt;=Analisis_grupo!$B$7,"(ninguna)",INDEX($J$4:$Q$4,MATCH(MIN(J221:Q221),J221:Q221,0))))</f>
        <v/>
      </c>
      <c r="S221" s="2" t="str">
        <f aca="false">IF($B221="","",COUNTIF(J221:Q221,"&lt;"&amp;Analisis_grupo!$B$7))</f>
        <v/>
      </c>
      <c r="T221" s="2" t="str">
        <f aca="false">IF($B221="","",COUNTIFS(Datos_items!$B:$B,$B221,Datos_items!$AA:$AA,T$4,Datos_items!$E:$E,Analisis_grupo!$C$4))</f>
        <v/>
      </c>
      <c r="U221" s="2" t="str">
        <f aca="false">IF($B221="","",COUNTIFS(Datos_items!$B:$B,$B221,Datos_items!$AA:$AA,U$4,Datos_items!$E:$E,Analisis_grupo!$C$4))</f>
        <v/>
      </c>
      <c r="V221" s="2" t="str">
        <f aca="false">IF($B221="","",COUNTIFS(Datos_items!$B:$B,$B221,Datos_items!$AA:$AA,V$4,Datos_items!$E:$E,Analisis_grupo!$C$4))</f>
        <v/>
      </c>
      <c r="W221" s="2" t="str">
        <f aca="false">IF($B221="","",COUNTIFS(Datos_items!$B:$B,$B221,Datos_items!$AA:$AA,W$4,Datos_items!$E:$E,Analisis_grupo!$C$4))</f>
        <v/>
      </c>
      <c r="X221" s="2" t="str">
        <f aca="false">IF($B221="","",COUNTIFS(Datos_items!$B:$B,$B221,Datos_items!$AA:$AA,X$4,Datos_items!$E:$E,Analisis_grupo!$C$4))</f>
        <v/>
      </c>
      <c r="Y221" s="2" t="str">
        <f aca="false">IF($B221="","",COUNTIFS(Datos_items!$B:$B,$B221,Datos_items!$AA:$AA,Y$4,Datos_items!$E:$E,Analisis_grupo!$C$4))</f>
        <v/>
      </c>
      <c r="Z221" s="2" t="str">
        <f aca="false">IF($B221="","",COUNTIFS(Datos_items!$B:$B,$B221,Datos_items!$AA:$AA,Z$4,Datos_items!$E:$E,Analisis_grupo!$C$4))</f>
        <v/>
      </c>
      <c r="AA221" s="2" t="str">
        <f aca="false">IF($B221="","",COUNTIFS(Datos_items!$B:$B,$B221,Datos_items!$AA:$AA,AA$4,Datos_items!$E:$E,Analisis_grupo!$C$4))</f>
        <v/>
      </c>
      <c r="AB221" s="2" t="str">
        <f aca="false">IF($B221="","",COUNTIFS(Datos_items!$B:$B,$B221,Datos_items!$AA:$AA,AB$4,Datos_items!$E:$E,Analisis_grupo!$C$4))</f>
        <v/>
      </c>
      <c r="AC221" s="2" t="str">
        <f aca="false">IF($B221="","",COUNTIFS(Datos_items!$B:$B,$B221,Datos_items!$AA:$AA,AC$4,Datos_items!$E:$E,Analisis_grupo!$C$4))</f>
        <v/>
      </c>
      <c r="AD221" s="2" t="str">
        <f aca="false">IF($B221="","",COUNTIFS(Datos_items!$B:$B,$B221,Datos_items!$AA:$AA,AD$4,Datos_items!$E:$E,Analisis_grupo!$C$4))</f>
        <v/>
      </c>
      <c r="AE221" s="2" t="str">
        <f aca="false">IF($B221="","",COUNTIFS(Datos_items!$B:$B,$B221,Datos_items!$AA:$AA,AE$4,Datos_items!$E:$E,Analisis_grupo!$C$4))</f>
        <v/>
      </c>
      <c r="AF221" s="2" t="str">
        <f aca="false">IF($B221="","",COUNTIFS(Datos_items!$B:$B,$B221,Datos_items!$AA:$AA,AF$4,Datos_items!$E:$E,Analisis_grupo!$C$4))</f>
        <v/>
      </c>
      <c r="AG221" s="2" t="str">
        <f aca="false">IF($B221="","",COUNTIFS(Datos_items!$B:$B,$B221,Datos_items!$AA:$AA,AG$4,Datos_items!$E:$E,Analisis_grupo!$C$4))</f>
        <v/>
      </c>
      <c r="AH221" s="2" t="str">
        <f aca="false">IF($B221="","",COUNTIFS(Datos_items!$B:$B,$B221,Datos_items!$AA:$AA,AH$4,Datos_items!$E:$E,Analisis_grupo!$C$4))</f>
        <v/>
      </c>
      <c r="AI221" s="2" t="str">
        <f aca="false">IF($B221="","",COUNTIFS(Datos_items!$B:$B,$B221,Datos_items!$AA:$AA,AI$4,Datos_items!$E:$E,Analisis_grupo!$C$4))</f>
        <v/>
      </c>
      <c r="AJ221" s="2" t="str">
        <f aca="false">IF($B221="","",COUNTIFS(Datos_items!$B:$B,$B221,Datos_items!$AA:$AA,AJ$4,Datos_items!$E:$E,Analisis_grupo!$C$4))</f>
        <v/>
      </c>
      <c r="AK221" s="2" t="str">
        <f aca="false">IF($B221="","",COUNTIFS(Datos_items!$B:$B,$B221,Datos_items!$AA:$AA,AK$4,Datos_items!$E:$E,Analisis_grupo!$C$4))</f>
        <v/>
      </c>
      <c r="AL221" s="2" t="str">
        <f aca="false">IF($B221="","",COUNTIFS(Datos_items!$B:$B,$B221,Datos_items!$AA:$AA,AL$4,Datos_items!$E:$E,Analisis_grupo!$C$4))</f>
        <v/>
      </c>
      <c r="AM221" s="2" t="str">
        <f aca="false">IF($B221="","",IF(MAX(Y221:AL221)=0,"",INDEX($Y$4:$AL$4,MATCH(MAX(Y221:AL221),Y221:AL221,0))))</f>
        <v/>
      </c>
      <c r="AN221" s="2" t="str">
        <f aca="false">IF($B221="","",COUNTIFS(Datos_problemas!$B:$B,$B221,Datos_problemas!$F:$F,"Práctica"))</f>
        <v/>
      </c>
      <c r="AO221" s="2" t="str">
        <f aca="false">IF($B221="","",SUMIFS(Datos_problemas!$AQ:$AQ,Datos_problemas!$B:$B,$B221,Datos_problemas!$F:$F,"Práctica"))</f>
        <v/>
      </c>
      <c r="AP221" s="2" t="str">
        <f aca="false">IF($B221="","",COUNTIFS(Datos_problemas!$B:$B,$B221,Datos_problemas!$F:$F,"Práctica",Datos_problemas!$AS:$AS,"Sí"))</f>
        <v/>
      </c>
    </row>
    <row r="222" customFormat="false" ht="15" hidden="false" customHeight="false" outlineLevel="0" collapsed="false">
      <c r="A222" s="2" t="n">
        <v>218</v>
      </c>
      <c r="B222" s="2" t="str">
        <f aca="false">IFERROR(INDEX(Datos_problemas!$B:$B,MATCH($A222,Datos_problemas!$AV:$AV,0)),"")</f>
        <v/>
      </c>
      <c r="C222" s="2" t="str">
        <f aca="false">IF($B222="","",INDEX(Datos_problemas!$C:$C,MATCH($A222,Datos_problemas!$AV:$AV,0)))</f>
        <v/>
      </c>
      <c r="D222" s="2" t="str">
        <f aca="false">IF($B222="","",INDEX(Datos_problemas!$D:$D,MATCH($A222,Datos_problemas!$AV:$AV,0)))</f>
        <v/>
      </c>
      <c r="E222" s="2" t="str">
        <f aca="false">IF($B222="","",COUNTIFS(Datos_problemas!$B:$B,$B222,Datos_problemas!$F:$F,"Evaluación"))</f>
        <v/>
      </c>
      <c r="F222" s="20" t="str">
        <f aca="false">IF($B222="","",IFERROR(AVERAGEIFS(Datos_problemas!$AE:$AE,Datos_problemas!$B:$B,$B222,Datos_problemas!$F:$F,"Evaluación"),""))</f>
        <v/>
      </c>
      <c r="G222" s="20" t="str">
        <f aca="false">IF($B222="","",IFERROR(AVERAGEIFS(Datos_problemas!$AE:$AE,Datos_problemas!$B:$B,$B222,Datos_problemas!$F:$F,"Evaluación",Datos_problemas!$E:$E,"Diagnóstico"),""))</f>
        <v/>
      </c>
      <c r="H222" s="20" t="str">
        <f aca="false">IF($B222="","",IFERROR(AVERAGEIFS(Datos_problemas!$AE:$AE,Datos_problemas!$B:$B,$B222,Datos_problemas!$F:$F,"Evaluación",Datos_problemas!$E:$E,"Final"),""))</f>
        <v/>
      </c>
      <c r="I222" s="21" t="str">
        <f aca="false">IF(OR(G222="",H222=""),"",IF(G222&gt;=10,"",(H222-G222)/(10-G222)))</f>
        <v/>
      </c>
      <c r="J222" s="18" t="str">
        <f aca="false">IF($B222="","",IFERROR(SUMIFS(Datos_items!$Z:$Z,Datos_items!$B:$B,$B222,Datos_items!$O:$O,J$4,Datos_items!$E:$E,Analisis_grupo!$C$4)/COUNTIFS(Datos_items!$B:$B,$B222,Datos_items!$O:$O,J$4,Datos_items!$E:$E,Analisis_grupo!$C$4),""))</f>
        <v/>
      </c>
      <c r="K222" s="18" t="str">
        <f aca="false">IF($B222="","",IFERROR(SUMIFS(Datos_items!$Z:$Z,Datos_items!$B:$B,$B222,Datos_items!$O:$O,K$4,Datos_items!$E:$E,Analisis_grupo!$C$4)/COUNTIFS(Datos_items!$B:$B,$B222,Datos_items!$O:$O,K$4,Datos_items!$E:$E,Analisis_grupo!$C$4),""))</f>
        <v/>
      </c>
      <c r="L222" s="18" t="str">
        <f aca="false">IF($B222="","",IFERROR(SUMIFS(Datos_items!$Z:$Z,Datos_items!$B:$B,$B222,Datos_items!$O:$O,L$4,Datos_items!$E:$E,Analisis_grupo!$C$4)/COUNTIFS(Datos_items!$B:$B,$B222,Datos_items!$O:$O,L$4,Datos_items!$E:$E,Analisis_grupo!$C$4),""))</f>
        <v/>
      </c>
      <c r="M222" s="18" t="str">
        <f aca="false">IF($B222="","",IFERROR(SUMIFS(Datos_items!$Z:$Z,Datos_items!$B:$B,$B222,Datos_items!$O:$O,M$4,Datos_items!$E:$E,Analisis_grupo!$C$4)/COUNTIFS(Datos_items!$B:$B,$B222,Datos_items!$O:$O,M$4,Datos_items!$E:$E,Analisis_grupo!$C$4),""))</f>
        <v/>
      </c>
      <c r="N222" s="18" t="str">
        <f aca="false">IF($B222="","",IFERROR(SUMIFS(Datos_items!$Z:$Z,Datos_items!$B:$B,$B222,Datos_items!$O:$O,N$4,Datos_items!$E:$E,Analisis_grupo!$C$4)/COUNTIFS(Datos_items!$B:$B,$B222,Datos_items!$O:$O,N$4,Datos_items!$E:$E,Analisis_grupo!$C$4),""))</f>
        <v/>
      </c>
      <c r="O222" s="18" t="str">
        <f aca="false">IF($B222="","",IFERROR(SUMIFS(Datos_items!$Z:$Z,Datos_items!$B:$B,$B222,Datos_items!$O:$O,O$4,Datos_items!$E:$E,Analisis_grupo!$C$4)/COUNTIFS(Datos_items!$B:$B,$B222,Datos_items!$O:$O,O$4,Datos_items!$E:$E,Analisis_grupo!$C$4),""))</f>
        <v/>
      </c>
      <c r="P222" s="18" t="str">
        <f aca="false">IF($B222="","",IFERROR(SUMIFS(Datos_items!$Z:$Z,Datos_items!$B:$B,$B222,Datos_items!$O:$O,P$4,Datos_items!$E:$E,Analisis_grupo!$C$4)/COUNTIFS(Datos_items!$B:$B,$B222,Datos_items!$O:$O,P$4,Datos_items!$E:$E,Analisis_grupo!$C$4),""))</f>
        <v/>
      </c>
      <c r="Q222" s="18" t="str">
        <f aca="false">IF($B222="","",IFERROR(SUMIFS(Datos_items!$Z:$Z,Datos_items!$B:$B,$B222,Datos_items!$O:$O,Q$4,Datos_items!$E:$E,Analisis_grupo!$C$4)/COUNTIFS(Datos_items!$B:$B,$B222,Datos_items!$O:$O,Q$4,Datos_items!$E:$E,Analisis_grupo!$C$4),""))</f>
        <v/>
      </c>
      <c r="R222" s="2" t="str">
        <f aca="false">IF(COUNT(J222:Q222)=0,"",IF(MIN(J222:Q222)&gt;=Analisis_grupo!$B$7,"(ninguna)",INDEX($J$4:$Q$4,MATCH(MIN(J222:Q222),J222:Q222,0))))</f>
        <v/>
      </c>
      <c r="S222" s="2" t="str">
        <f aca="false">IF($B222="","",COUNTIF(J222:Q222,"&lt;"&amp;Analisis_grupo!$B$7))</f>
        <v/>
      </c>
      <c r="T222" s="2" t="str">
        <f aca="false">IF($B222="","",COUNTIFS(Datos_items!$B:$B,$B222,Datos_items!$AA:$AA,T$4,Datos_items!$E:$E,Analisis_grupo!$C$4))</f>
        <v/>
      </c>
      <c r="U222" s="2" t="str">
        <f aca="false">IF($B222="","",COUNTIFS(Datos_items!$B:$B,$B222,Datos_items!$AA:$AA,U$4,Datos_items!$E:$E,Analisis_grupo!$C$4))</f>
        <v/>
      </c>
      <c r="V222" s="2" t="str">
        <f aca="false">IF($B222="","",COUNTIFS(Datos_items!$B:$B,$B222,Datos_items!$AA:$AA,V$4,Datos_items!$E:$E,Analisis_grupo!$C$4))</f>
        <v/>
      </c>
      <c r="W222" s="2" t="str">
        <f aca="false">IF($B222="","",COUNTIFS(Datos_items!$B:$B,$B222,Datos_items!$AA:$AA,W$4,Datos_items!$E:$E,Analisis_grupo!$C$4))</f>
        <v/>
      </c>
      <c r="X222" s="2" t="str">
        <f aca="false">IF($B222="","",COUNTIFS(Datos_items!$B:$B,$B222,Datos_items!$AA:$AA,X$4,Datos_items!$E:$E,Analisis_grupo!$C$4))</f>
        <v/>
      </c>
      <c r="Y222" s="2" t="str">
        <f aca="false">IF($B222="","",COUNTIFS(Datos_items!$B:$B,$B222,Datos_items!$AA:$AA,Y$4,Datos_items!$E:$E,Analisis_grupo!$C$4))</f>
        <v/>
      </c>
      <c r="Z222" s="2" t="str">
        <f aca="false">IF($B222="","",COUNTIFS(Datos_items!$B:$B,$B222,Datos_items!$AA:$AA,Z$4,Datos_items!$E:$E,Analisis_grupo!$C$4))</f>
        <v/>
      </c>
      <c r="AA222" s="2" t="str">
        <f aca="false">IF($B222="","",COUNTIFS(Datos_items!$B:$B,$B222,Datos_items!$AA:$AA,AA$4,Datos_items!$E:$E,Analisis_grupo!$C$4))</f>
        <v/>
      </c>
      <c r="AB222" s="2" t="str">
        <f aca="false">IF($B222="","",COUNTIFS(Datos_items!$B:$B,$B222,Datos_items!$AA:$AA,AB$4,Datos_items!$E:$E,Analisis_grupo!$C$4))</f>
        <v/>
      </c>
      <c r="AC222" s="2" t="str">
        <f aca="false">IF($B222="","",COUNTIFS(Datos_items!$B:$B,$B222,Datos_items!$AA:$AA,AC$4,Datos_items!$E:$E,Analisis_grupo!$C$4))</f>
        <v/>
      </c>
      <c r="AD222" s="2" t="str">
        <f aca="false">IF($B222="","",COUNTIFS(Datos_items!$B:$B,$B222,Datos_items!$AA:$AA,AD$4,Datos_items!$E:$E,Analisis_grupo!$C$4))</f>
        <v/>
      </c>
      <c r="AE222" s="2" t="str">
        <f aca="false">IF($B222="","",COUNTIFS(Datos_items!$B:$B,$B222,Datos_items!$AA:$AA,AE$4,Datos_items!$E:$E,Analisis_grupo!$C$4))</f>
        <v/>
      </c>
      <c r="AF222" s="2" t="str">
        <f aca="false">IF($B222="","",COUNTIFS(Datos_items!$B:$B,$B222,Datos_items!$AA:$AA,AF$4,Datos_items!$E:$E,Analisis_grupo!$C$4))</f>
        <v/>
      </c>
      <c r="AG222" s="2" t="str">
        <f aca="false">IF($B222="","",COUNTIFS(Datos_items!$B:$B,$B222,Datos_items!$AA:$AA,AG$4,Datos_items!$E:$E,Analisis_grupo!$C$4))</f>
        <v/>
      </c>
      <c r="AH222" s="2" t="str">
        <f aca="false">IF($B222="","",COUNTIFS(Datos_items!$B:$B,$B222,Datos_items!$AA:$AA,AH$4,Datos_items!$E:$E,Analisis_grupo!$C$4))</f>
        <v/>
      </c>
      <c r="AI222" s="2" t="str">
        <f aca="false">IF($B222="","",COUNTIFS(Datos_items!$B:$B,$B222,Datos_items!$AA:$AA,AI$4,Datos_items!$E:$E,Analisis_grupo!$C$4))</f>
        <v/>
      </c>
      <c r="AJ222" s="2" t="str">
        <f aca="false">IF($B222="","",COUNTIFS(Datos_items!$B:$B,$B222,Datos_items!$AA:$AA,AJ$4,Datos_items!$E:$E,Analisis_grupo!$C$4))</f>
        <v/>
      </c>
      <c r="AK222" s="2" t="str">
        <f aca="false">IF($B222="","",COUNTIFS(Datos_items!$B:$B,$B222,Datos_items!$AA:$AA,AK$4,Datos_items!$E:$E,Analisis_grupo!$C$4))</f>
        <v/>
      </c>
      <c r="AL222" s="2" t="str">
        <f aca="false">IF($B222="","",COUNTIFS(Datos_items!$B:$B,$B222,Datos_items!$AA:$AA,AL$4,Datos_items!$E:$E,Analisis_grupo!$C$4))</f>
        <v/>
      </c>
      <c r="AM222" s="2" t="str">
        <f aca="false">IF($B222="","",IF(MAX(Y222:AL222)=0,"",INDEX($Y$4:$AL$4,MATCH(MAX(Y222:AL222),Y222:AL222,0))))</f>
        <v/>
      </c>
      <c r="AN222" s="2" t="str">
        <f aca="false">IF($B222="","",COUNTIFS(Datos_problemas!$B:$B,$B222,Datos_problemas!$F:$F,"Práctica"))</f>
        <v/>
      </c>
      <c r="AO222" s="2" t="str">
        <f aca="false">IF($B222="","",SUMIFS(Datos_problemas!$AQ:$AQ,Datos_problemas!$B:$B,$B222,Datos_problemas!$F:$F,"Práctica"))</f>
        <v/>
      </c>
      <c r="AP222" s="2" t="str">
        <f aca="false">IF($B222="","",COUNTIFS(Datos_problemas!$B:$B,$B222,Datos_problemas!$F:$F,"Práctica",Datos_problemas!$AS:$AS,"Sí"))</f>
        <v/>
      </c>
    </row>
    <row r="223" customFormat="false" ht="15" hidden="false" customHeight="false" outlineLevel="0" collapsed="false">
      <c r="A223" s="2" t="n">
        <v>219</v>
      </c>
      <c r="B223" s="2" t="str">
        <f aca="false">IFERROR(INDEX(Datos_problemas!$B:$B,MATCH($A223,Datos_problemas!$AV:$AV,0)),"")</f>
        <v/>
      </c>
      <c r="C223" s="2" t="str">
        <f aca="false">IF($B223="","",INDEX(Datos_problemas!$C:$C,MATCH($A223,Datos_problemas!$AV:$AV,0)))</f>
        <v/>
      </c>
      <c r="D223" s="2" t="str">
        <f aca="false">IF($B223="","",INDEX(Datos_problemas!$D:$D,MATCH($A223,Datos_problemas!$AV:$AV,0)))</f>
        <v/>
      </c>
      <c r="E223" s="2" t="str">
        <f aca="false">IF($B223="","",COUNTIFS(Datos_problemas!$B:$B,$B223,Datos_problemas!$F:$F,"Evaluación"))</f>
        <v/>
      </c>
      <c r="F223" s="20" t="str">
        <f aca="false">IF($B223="","",IFERROR(AVERAGEIFS(Datos_problemas!$AE:$AE,Datos_problemas!$B:$B,$B223,Datos_problemas!$F:$F,"Evaluación"),""))</f>
        <v/>
      </c>
      <c r="G223" s="20" t="str">
        <f aca="false">IF($B223="","",IFERROR(AVERAGEIFS(Datos_problemas!$AE:$AE,Datos_problemas!$B:$B,$B223,Datos_problemas!$F:$F,"Evaluación",Datos_problemas!$E:$E,"Diagnóstico"),""))</f>
        <v/>
      </c>
      <c r="H223" s="20" t="str">
        <f aca="false">IF($B223="","",IFERROR(AVERAGEIFS(Datos_problemas!$AE:$AE,Datos_problemas!$B:$B,$B223,Datos_problemas!$F:$F,"Evaluación",Datos_problemas!$E:$E,"Final"),""))</f>
        <v/>
      </c>
      <c r="I223" s="21" t="str">
        <f aca="false">IF(OR(G223="",H223=""),"",IF(G223&gt;=10,"",(H223-G223)/(10-G223)))</f>
        <v/>
      </c>
      <c r="J223" s="18" t="str">
        <f aca="false">IF($B223="","",IFERROR(SUMIFS(Datos_items!$Z:$Z,Datos_items!$B:$B,$B223,Datos_items!$O:$O,J$4,Datos_items!$E:$E,Analisis_grupo!$C$4)/COUNTIFS(Datos_items!$B:$B,$B223,Datos_items!$O:$O,J$4,Datos_items!$E:$E,Analisis_grupo!$C$4),""))</f>
        <v/>
      </c>
      <c r="K223" s="18" t="str">
        <f aca="false">IF($B223="","",IFERROR(SUMIFS(Datos_items!$Z:$Z,Datos_items!$B:$B,$B223,Datos_items!$O:$O,K$4,Datos_items!$E:$E,Analisis_grupo!$C$4)/COUNTIFS(Datos_items!$B:$B,$B223,Datos_items!$O:$O,K$4,Datos_items!$E:$E,Analisis_grupo!$C$4),""))</f>
        <v/>
      </c>
      <c r="L223" s="18" t="str">
        <f aca="false">IF($B223="","",IFERROR(SUMIFS(Datos_items!$Z:$Z,Datos_items!$B:$B,$B223,Datos_items!$O:$O,L$4,Datos_items!$E:$E,Analisis_grupo!$C$4)/COUNTIFS(Datos_items!$B:$B,$B223,Datos_items!$O:$O,L$4,Datos_items!$E:$E,Analisis_grupo!$C$4),""))</f>
        <v/>
      </c>
      <c r="M223" s="18" t="str">
        <f aca="false">IF($B223="","",IFERROR(SUMIFS(Datos_items!$Z:$Z,Datos_items!$B:$B,$B223,Datos_items!$O:$O,M$4,Datos_items!$E:$E,Analisis_grupo!$C$4)/COUNTIFS(Datos_items!$B:$B,$B223,Datos_items!$O:$O,M$4,Datos_items!$E:$E,Analisis_grupo!$C$4),""))</f>
        <v/>
      </c>
      <c r="N223" s="18" t="str">
        <f aca="false">IF($B223="","",IFERROR(SUMIFS(Datos_items!$Z:$Z,Datos_items!$B:$B,$B223,Datos_items!$O:$O,N$4,Datos_items!$E:$E,Analisis_grupo!$C$4)/COUNTIFS(Datos_items!$B:$B,$B223,Datos_items!$O:$O,N$4,Datos_items!$E:$E,Analisis_grupo!$C$4),""))</f>
        <v/>
      </c>
      <c r="O223" s="18" t="str">
        <f aca="false">IF($B223="","",IFERROR(SUMIFS(Datos_items!$Z:$Z,Datos_items!$B:$B,$B223,Datos_items!$O:$O,O$4,Datos_items!$E:$E,Analisis_grupo!$C$4)/COUNTIFS(Datos_items!$B:$B,$B223,Datos_items!$O:$O,O$4,Datos_items!$E:$E,Analisis_grupo!$C$4),""))</f>
        <v/>
      </c>
      <c r="P223" s="18" t="str">
        <f aca="false">IF($B223="","",IFERROR(SUMIFS(Datos_items!$Z:$Z,Datos_items!$B:$B,$B223,Datos_items!$O:$O,P$4,Datos_items!$E:$E,Analisis_grupo!$C$4)/COUNTIFS(Datos_items!$B:$B,$B223,Datos_items!$O:$O,P$4,Datos_items!$E:$E,Analisis_grupo!$C$4),""))</f>
        <v/>
      </c>
      <c r="Q223" s="18" t="str">
        <f aca="false">IF($B223="","",IFERROR(SUMIFS(Datos_items!$Z:$Z,Datos_items!$B:$B,$B223,Datos_items!$O:$O,Q$4,Datos_items!$E:$E,Analisis_grupo!$C$4)/COUNTIFS(Datos_items!$B:$B,$B223,Datos_items!$O:$O,Q$4,Datos_items!$E:$E,Analisis_grupo!$C$4),""))</f>
        <v/>
      </c>
      <c r="R223" s="2" t="str">
        <f aca="false">IF(COUNT(J223:Q223)=0,"",IF(MIN(J223:Q223)&gt;=Analisis_grupo!$B$7,"(ninguna)",INDEX($J$4:$Q$4,MATCH(MIN(J223:Q223),J223:Q223,0))))</f>
        <v/>
      </c>
      <c r="S223" s="2" t="str">
        <f aca="false">IF($B223="","",COUNTIF(J223:Q223,"&lt;"&amp;Analisis_grupo!$B$7))</f>
        <v/>
      </c>
      <c r="T223" s="2" t="str">
        <f aca="false">IF($B223="","",COUNTIFS(Datos_items!$B:$B,$B223,Datos_items!$AA:$AA,T$4,Datos_items!$E:$E,Analisis_grupo!$C$4))</f>
        <v/>
      </c>
      <c r="U223" s="2" t="str">
        <f aca="false">IF($B223="","",COUNTIFS(Datos_items!$B:$B,$B223,Datos_items!$AA:$AA,U$4,Datos_items!$E:$E,Analisis_grupo!$C$4))</f>
        <v/>
      </c>
      <c r="V223" s="2" t="str">
        <f aca="false">IF($B223="","",COUNTIFS(Datos_items!$B:$B,$B223,Datos_items!$AA:$AA,V$4,Datos_items!$E:$E,Analisis_grupo!$C$4))</f>
        <v/>
      </c>
      <c r="W223" s="2" t="str">
        <f aca="false">IF($B223="","",COUNTIFS(Datos_items!$B:$B,$B223,Datos_items!$AA:$AA,W$4,Datos_items!$E:$E,Analisis_grupo!$C$4))</f>
        <v/>
      </c>
      <c r="X223" s="2" t="str">
        <f aca="false">IF($B223="","",COUNTIFS(Datos_items!$B:$B,$B223,Datos_items!$AA:$AA,X$4,Datos_items!$E:$E,Analisis_grupo!$C$4))</f>
        <v/>
      </c>
      <c r="Y223" s="2" t="str">
        <f aca="false">IF($B223="","",COUNTIFS(Datos_items!$B:$B,$B223,Datos_items!$AA:$AA,Y$4,Datos_items!$E:$E,Analisis_grupo!$C$4))</f>
        <v/>
      </c>
      <c r="Z223" s="2" t="str">
        <f aca="false">IF($B223="","",COUNTIFS(Datos_items!$B:$B,$B223,Datos_items!$AA:$AA,Z$4,Datos_items!$E:$E,Analisis_grupo!$C$4))</f>
        <v/>
      </c>
      <c r="AA223" s="2" t="str">
        <f aca="false">IF($B223="","",COUNTIFS(Datos_items!$B:$B,$B223,Datos_items!$AA:$AA,AA$4,Datos_items!$E:$E,Analisis_grupo!$C$4))</f>
        <v/>
      </c>
      <c r="AB223" s="2" t="str">
        <f aca="false">IF($B223="","",COUNTIFS(Datos_items!$B:$B,$B223,Datos_items!$AA:$AA,AB$4,Datos_items!$E:$E,Analisis_grupo!$C$4))</f>
        <v/>
      </c>
      <c r="AC223" s="2" t="str">
        <f aca="false">IF($B223="","",COUNTIFS(Datos_items!$B:$B,$B223,Datos_items!$AA:$AA,AC$4,Datos_items!$E:$E,Analisis_grupo!$C$4))</f>
        <v/>
      </c>
      <c r="AD223" s="2" t="str">
        <f aca="false">IF($B223="","",COUNTIFS(Datos_items!$B:$B,$B223,Datos_items!$AA:$AA,AD$4,Datos_items!$E:$E,Analisis_grupo!$C$4))</f>
        <v/>
      </c>
      <c r="AE223" s="2" t="str">
        <f aca="false">IF($B223="","",COUNTIFS(Datos_items!$B:$B,$B223,Datos_items!$AA:$AA,AE$4,Datos_items!$E:$E,Analisis_grupo!$C$4))</f>
        <v/>
      </c>
      <c r="AF223" s="2" t="str">
        <f aca="false">IF($B223="","",COUNTIFS(Datos_items!$B:$B,$B223,Datos_items!$AA:$AA,AF$4,Datos_items!$E:$E,Analisis_grupo!$C$4))</f>
        <v/>
      </c>
      <c r="AG223" s="2" t="str">
        <f aca="false">IF($B223="","",COUNTIFS(Datos_items!$B:$B,$B223,Datos_items!$AA:$AA,AG$4,Datos_items!$E:$E,Analisis_grupo!$C$4))</f>
        <v/>
      </c>
      <c r="AH223" s="2" t="str">
        <f aca="false">IF($B223="","",COUNTIFS(Datos_items!$B:$B,$B223,Datos_items!$AA:$AA,AH$4,Datos_items!$E:$E,Analisis_grupo!$C$4))</f>
        <v/>
      </c>
      <c r="AI223" s="2" t="str">
        <f aca="false">IF($B223="","",COUNTIFS(Datos_items!$B:$B,$B223,Datos_items!$AA:$AA,AI$4,Datos_items!$E:$E,Analisis_grupo!$C$4))</f>
        <v/>
      </c>
      <c r="AJ223" s="2" t="str">
        <f aca="false">IF($B223="","",COUNTIFS(Datos_items!$B:$B,$B223,Datos_items!$AA:$AA,AJ$4,Datos_items!$E:$E,Analisis_grupo!$C$4))</f>
        <v/>
      </c>
      <c r="AK223" s="2" t="str">
        <f aca="false">IF($B223="","",COUNTIFS(Datos_items!$B:$B,$B223,Datos_items!$AA:$AA,AK$4,Datos_items!$E:$E,Analisis_grupo!$C$4))</f>
        <v/>
      </c>
      <c r="AL223" s="2" t="str">
        <f aca="false">IF($B223="","",COUNTIFS(Datos_items!$B:$B,$B223,Datos_items!$AA:$AA,AL$4,Datos_items!$E:$E,Analisis_grupo!$C$4))</f>
        <v/>
      </c>
      <c r="AM223" s="2" t="str">
        <f aca="false">IF($B223="","",IF(MAX(Y223:AL223)=0,"",INDEX($Y$4:$AL$4,MATCH(MAX(Y223:AL223),Y223:AL223,0))))</f>
        <v/>
      </c>
      <c r="AN223" s="2" t="str">
        <f aca="false">IF($B223="","",COUNTIFS(Datos_problemas!$B:$B,$B223,Datos_problemas!$F:$F,"Práctica"))</f>
        <v/>
      </c>
      <c r="AO223" s="2" t="str">
        <f aca="false">IF($B223="","",SUMIFS(Datos_problemas!$AQ:$AQ,Datos_problemas!$B:$B,$B223,Datos_problemas!$F:$F,"Práctica"))</f>
        <v/>
      </c>
      <c r="AP223" s="2" t="str">
        <f aca="false">IF($B223="","",COUNTIFS(Datos_problemas!$B:$B,$B223,Datos_problemas!$F:$F,"Práctica",Datos_problemas!$AS:$AS,"Sí"))</f>
        <v/>
      </c>
    </row>
    <row r="224" customFormat="false" ht="15" hidden="false" customHeight="false" outlineLevel="0" collapsed="false">
      <c r="A224" s="2" t="n">
        <v>220</v>
      </c>
      <c r="B224" s="2" t="str">
        <f aca="false">IFERROR(INDEX(Datos_problemas!$B:$B,MATCH($A224,Datos_problemas!$AV:$AV,0)),"")</f>
        <v/>
      </c>
      <c r="C224" s="2" t="str">
        <f aca="false">IF($B224="","",INDEX(Datos_problemas!$C:$C,MATCH($A224,Datos_problemas!$AV:$AV,0)))</f>
        <v/>
      </c>
      <c r="D224" s="2" t="str">
        <f aca="false">IF($B224="","",INDEX(Datos_problemas!$D:$D,MATCH($A224,Datos_problemas!$AV:$AV,0)))</f>
        <v/>
      </c>
      <c r="E224" s="2" t="str">
        <f aca="false">IF($B224="","",COUNTIFS(Datos_problemas!$B:$B,$B224,Datos_problemas!$F:$F,"Evaluación"))</f>
        <v/>
      </c>
      <c r="F224" s="20" t="str">
        <f aca="false">IF($B224="","",IFERROR(AVERAGEIFS(Datos_problemas!$AE:$AE,Datos_problemas!$B:$B,$B224,Datos_problemas!$F:$F,"Evaluación"),""))</f>
        <v/>
      </c>
      <c r="G224" s="20" t="str">
        <f aca="false">IF($B224="","",IFERROR(AVERAGEIFS(Datos_problemas!$AE:$AE,Datos_problemas!$B:$B,$B224,Datos_problemas!$F:$F,"Evaluación",Datos_problemas!$E:$E,"Diagnóstico"),""))</f>
        <v/>
      </c>
      <c r="H224" s="20" t="str">
        <f aca="false">IF($B224="","",IFERROR(AVERAGEIFS(Datos_problemas!$AE:$AE,Datos_problemas!$B:$B,$B224,Datos_problemas!$F:$F,"Evaluación",Datos_problemas!$E:$E,"Final"),""))</f>
        <v/>
      </c>
      <c r="I224" s="21" t="str">
        <f aca="false">IF(OR(G224="",H224=""),"",IF(G224&gt;=10,"",(H224-G224)/(10-G224)))</f>
        <v/>
      </c>
      <c r="J224" s="18" t="str">
        <f aca="false">IF($B224="","",IFERROR(SUMIFS(Datos_items!$Z:$Z,Datos_items!$B:$B,$B224,Datos_items!$O:$O,J$4,Datos_items!$E:$E,Analisis_grupo!$C$4)/COUNTIFS(Datos_items!$B:$B,$B224,Datos_items!$O:$O,J$4,Datos_items!$E:$E,Analisis_grupo!$C$4),""))</f>
        <v/>
      </c>
      <c r="K224" s="18" t="str">
        <f aca="false">IF($B224="","",IFERROR(SUMIFS(Datos_items!$Z:$Z,Datos_items!$B:$B,$B224,Datos_items!$O:$O,K$4,Datos_items!$E:$E,Analisis_grupo!$C$4)/COUNTIFS(Datos_items!$B:$B,$B224,Datos_items!$O:$O,K$4,Datos_items!$E:$E,Analisis_grupo!$C$4),""))</f>
        <v/>
      </c>
      <c r="L224" s="18" t="str">
        <f aca="false">IF($B224="","",IFERROR(SUMIFS(Datos_items!$Z:$Z,Datos_items!$B:$B,$B224,Datos_items!$O:$O,L$4,Datos_items!$E:$E,Analisis_grupo!$C$4)/COUNTIFS(Datos_items!$B:$B,$B224,Datos_items!$O:$O,L$4,Datos_items!$E:$E,Analisis_grupo!$C$4),""))</f>
        <v/>
      </c>
      <c r="M224" s="18" t="str">
        <f aca="false">IF($B224="","",IFERROR(SUMIFS(Datos_items!$Z:$Z,Datos_items!$B:$B,$B224,Datos_items!$O:$O,M$4,Datos_items!$E:$E,Analisis_grupo!$C$4)/COUNTIFS(Datos_items!$B:$B,$B224,Datos_items!$O:$O,M$4,Datos_items!$E:$E,Analisis_grupo!$C$4),""))</f>
        <v/>
      </c>
      <c r="N224" s="18" t="str">
        <f aca="false">IF($B224="","",IFERROR(SUMIFS(Datos_items!$Z:$Z,Datos_items!$B:$B,$B224,Datos_items!$O:$O,N$4,Datos_items!$E:$E,Analisis_grupo!$C$4)/COUNTIFS(Datos_items!$B:$B,$B224,Datos_items!$O:$O,N$4,Datos_items!$E:$E,Analisis_grupo!$C$4),""))</f>
        <v/>
      </c>
      <c r="O224" s="18" t="str">
        <f aca="false">IF($B224="","",IFERROR(SUMIFS(Datos_items!$Z:$Z,Datos_items!$B:$B,$B224,Datos_items!$O:$O,O$4,Datos_items!$E:$E,Analisis_grupo!$C$4)/COUNTIFS(Datos_items!$B:$B,$B224,Datos_items!$O:$O,O$4,Datos_items!$E:$E,Analisis_grupo!$C$4),""))</f>
        <v/>
      </c>
      <c r="P224" s="18" t="str">
        <f aca="false">IF($B224="","",IFERROR(SUMIFS(Datos_items!$Z:$Z,Datos_items!$B:$B,$B224,Datos_items!$O:$O,P$4,Datos_items!$E:$E,Analisis_grupo!$C$4)/COUNTIFS(Datos_items!$B:$B,$B224,Datos_items!$O:$O,P$4,Datos_items!$E:$E,Analisis_grupo!$C$4),""))</f>
        <v/>
      </c>
      <c r="Q224" s="18" t="str">
        <f aca="false">IF($B224="","",IFERROR(SUMIFS(Datos_items!$Z:$Z,Datos_items!$B:$B,$B224,Datos_items!$O:$O,Q$4,Datos_items!$E:$E,Analisis_grupo!$C$4)/COUNTIFS(Datos_items!$B:$B,$B224,Datos_items!$O:$O,Q$4,Datos_items!$E:$E,Analisis_grupo!$C$4),""))</f>
        <v/>
      </c>
      <c r="R224" s="2" t="str">
        <f aca="false">IF(COUNT(J224:Q224)=0,"",IF(MIN(J224:Q224)&gt;=Analisis_grupo!$B$7,"(ninguna)",INDEX($J$4:$Q$4,MATCH(MIN(J224:Q224),J224:Q224,0))))</f>
        <v/>
      </c>
      <c r="S224" s="2" t="str">
        <f aca="false">IF($B224="","",COUNTIF(J224:Q224,"&lt;"&amp;Analisis_grupo!$B$7))</f>
        <v/>
      </c>
      <c r="T224" s="2" t="str">
        <f aca="false">IF($B224="","",COUNTIFS(Datos_items!$B:$B,$B224,Datos_items!$AA:$AA,T$4,Datos_items!$E:$E,Analisis_grupo!$C$4))</f>
        <v/>
      </c>
      <c r="U224" s="2" t="str">
        <f aca="false">IF($B224="","",COUNTIFS(Datos_items!$B:$B,$B224,Datos_items!$AA:$AA,U$4,Datos_items!$E:$E,Analisis_grupo!$C$4))</f>
        <v/>
      </c>
      <c r="V224" s="2" t="str">
        <f aca="false">IF($B224="","",COUNTIFS(Datos_items!$B:$B,$B224,Datos_items!$AA:$AA,V$4,Datos_items!$E:$E,Analisis_grupo!$C$4))</f>
        <v/>
      </c>
      <c r="W224" s="2" t="str">
        <f aca="false">IF($B224="","",COUNTIFS(Datos_items!$B:$B,$B224,Datos_items!$AA:$AA,W$4,Datos_items!$E:$E,Analisis_grupo!$C$4))</f>
        <v/>
      </c>
      <c r="X224" s="2" t="str">
        <f aca="false">IF($B224="","",COUNTIFS(Datos_items!$B:$B,$B224,Datos_items!$AA:$AA,X$4,Datos_items!$E:$E,Analisis_grupo!$C$4))</f>
        <v/>
      </c>
      <c r="Y224" s="2" t="str">
        <f aca="false">IF($B224="","",COUNTIFS(Datos_items!$B:$B,$B224,Datos_items!$AA:$AA,Y$4,Datos_items!$E:$E,Analisis_grupo!$C$4))</f>
        <v/>
      </c>
      <c r="Z224" s="2" t="str">
        <f aca="false">IF($B224="","",COUNTIFS(Datos_items!$B:$B,$B224,Datos_items!$AA:$AA,Z$4,Datos_items!$E:$E,Analisis_grupo!$C$4))</f>
        <v/>
      </c>
      <c r="AA224" s="2" t="str">
        <f aca="false">IF($B224="","",COUNTIFS(Datos_items!$B:$B,$B224,Datos_items!$AA:$AA,AA$4,Datos_items!$E:$E,Analisis_grupo!$C$4))</f>
        <v/>
      </c>
      <c r="AB224" s="2" t="str">
        <f aca="false">IF($B224="","",COUNTIFS(Datos_items!$B:$B,$B224,Datos_items!$AA:$AA,AB$4,Datos_items!$E:$E,Analisis_grupo!$C$4))</f>
        <v/>
      </c>
      <c r="AC224" s="2" t="str">
        <f aca="false">IF($B224="","",COUNTIFS(Datos_items!$B:$B,$B224,Datos_items!$AA:$AA,AC$4,Datos_items!$E:$E,Analisis_grupo!$C$4))</f>
        <v/>
      </c>
      <c r="AD224" s="2" t="str">
        <f aca="false">IF($B224="","",COUNTIFS(Datos_items!$B:$B,$B224,Datos_items!$AA:$AA,AD$4,Datos_items!$E:$E,Analisis_grupo!$C$4))</f>
        <v/>
      </c>
      <c r="AE224" s="2" t="str">
        <f aca="false">IF($B224="","",COUNTIFS(Datos_items!$B:$B,$B224,Datos_items!$AA:$AA,AE$4,Datos_items!$E:$E,Analisis_grupo!$C$4))</f>
        <v/>
      </c>
      <c r="AF224" s="2" t="str">
        <f aca="false">IF($B224="","",COUNTIFS(Datos_items!$B:$B,$B224,Datos_items!$AA:$AA,AF$4,Datos_items!$E:$E,Analisis_grupo!$C$4))</f>
        <v/>
      </c>
      <c r="AG224" s="2" t="str">
        <f aca="false">IF($B224="","",COUNTIFS(Datos_items!$B:$B,$B224,Datos_items!$AA:$AA,AG$4,Datos_items!$E:$E,Analisis_grupo!$C$4))</f>
        <v/>
      </c>
      <c r="AH224" s="2" t="str">
        <f aca="false">IF($B224="","",COUNTIFS(Datos_items!$B:$B,$B224,Datos_items!$AA:$AA,AH$4,Datos_items!$E:$E,Analisis_grupo!$C$4))</f>
        <v/>
      </c>
      <c r="AI224" s="2" t="str">
        <f aca="false">IF($B224="","",COUNTIFS(Datos_items!$B:$B,$B224,Datos_items!$AA:$AA,AI$4,Datos_items!$E:$E,Analisis_grupo!$C$4))</f>
        <v/>
      </c>
      <c r="AJ224" s="2" t="str">
        <f aca="false">IF($B224="","",COUNTIFS(Datos_items!$B:$B,$B224,Datos_items!$AA:$AA,AJ$4,Datos_items!$E:$E,Analisis_grupo!$C$4))</f>
        <v/>
      </c>
      <c r="AK224" s="2" t="str">
        <f aca="false">IF($B224="","",COUNTIFS(Datos_items!$B:$B,$B224,Datos_items!$AA:$AA,AK$4,Datos_items!$E:$E,Analisis_grupo!$C$4))</f>
        <v/>
      </c>
      <c r="AL224" s="2" t="str">
        <f aca="false">IF($B224="","",COUNTIFS(Datos_items!$B:$B,$B224,Datos_items!$AA:$AA,AL$4,Datos_items!$E:$E,Analisis_grupo!$C$4))</f>
        <v/>
      </c>
      <c r="AM224" s="2" t="str">
        <f aca="false">IF($B224="","",IF(MAX(Y224:AL224)=0,"",INDEX($Y$4:$AL$4,MATCH(MAX(Y224:AL224),Y224:AL224,0))))</f>
        <v/>
      </c>
      <c r="AN224" s="2" t="str">
        <f aca="false">IF($B224="","",COUNTIFS(Datos_problemas!$B:$B,$B224,Datos_problemas!$F:$F,"Práctica"))</f>
        <v/>
      </c>
      <c r="AO224" s="2" t="str">
        <f aca="false">IF($B224="","",SUMIFS(Datos_problemas!$AQ:$AQ,Datos_problemas!$B:$B,$B224,Datos_problemas!$F:$F,"Práctica"))</f>
        <v/>
      </c>
      <c r="AP224" s="2" t="str">
        <f aca="false">IF($B224="","",COUNTIFS(Datos_problemas!$B:$B,$B224,Datos_problemas!$F:$F,"Práctica",Datos_problemas!$AS:$AS,"Sí"))</f>
        <v/>
      </c>
    </row>
    <row r="225" customFormat="false" ht="15" hidden="false" customHeight="false" outlineLevel="0" collapsed="false">
      <c r="A225" s="2" t="n">
        <v>221</v>
      </c>
      <c r="B225" s="2" t="str">
        <f aca="false">IFERROR(INDEX(Datos_problemas!$B:$B,MATCH($A225,Datos_problemas!$AV:$AV,0)),"")</f>
        <v/>
      </c>
      <c r="C225" s="2" t="str">
        <f aca="false">IF($B225="","",INDEX(Datos_problemas!$C:$C,MATCH($A225,Datos_problemas!$AV:$AV,0)))</f>
        <v/>
      </c>
      <c r="D225" s="2" t="str">
        <f aca="false">IF($B225="","",INDEX(Datos_problemas!$D:$D,MATCH($A225,Datos_problemas!$AV:$AV,0)))</f>
        <v/>
      </c>
      <c r="E225" s="2" t="str">
        <f aca="false">IF($B225="","",COUNTIFS(Datos_problemas!$B:$B,$B225,Datos_problemas!$F:$F,"Evaluación"))</f>
        <v/>
      </c>
      <c r="F225" s="20" t="str">
        <f aca="false">IF($B225="","",IFERROR(AVERAGEIFS(Datos_problemas!$AE:$AE,Datos_problemas!$B:$B,$B225,Datos_problemas!$F:$F,"Evaluación"),""))</f>
        <v/>
      </c>
      <c r="G225" s="20" t="str">
        <f aca="false">IF($B225="","",IFERROR(AVERAGEIFS(Datos_problemas!$AE:$AE,Datos_problemas!$B:$B,$B225,Datos_problemas!$F:$F,"Evaluación",Datos_problemas!$E:$E,"Diagnóstico"),""))</f>
        <v/>
      </c>
      <c r="H225" s="20" t="str">
        <f aca="false">IF($B225="","",IFERROR(AVERAGEIFS(Datos_problemas!$AE:$AE,Datos_problemas!$B:$B,$B225,Datos_problemas!$F:$F,"Evaluación",Datos_problemas!$E:$E,"Final"),""))</f>
        <v/>
      </c>
      <c r="I225" s="21" t="str">
        <f aca="false">IF(OR(G225="",H225=""),"",IF(G225&gt;=10,"",(H225-G225)/(10-G225)))</f>
        <v/>
      </c>
      <c r="J225" s="18" t="str">
        <f aca="false">IF($B225="","",IFERROR(SUMIFS(Datos_items!$Z:$Z,Datos_items!$B:$B,$B225,Datos_items!$O:$O,J$4,Datos_items!$E:$E,Analisis_grupo!$C$4)/COUNTIFS(Datos_items!$B:$B,$B225,Datos_items!$O:$O,J$4,Datos_items!$E:$E,Analisis_grupo!$C$4),""))</f>
        <v/>
      </c>
      <c r="K225" s="18" t="str">
        <f aca="false">IF($B225="","",IFERROR(SUMIFS(Datos_items!$Z:$Z,Datos_items!$B:$B,$B225,Datos_items!$O:$O,K$4,Datos_items!$E:$E,Analisis_grupo!$C$4)/COUNTIFS(Datos_items!$B:$B,$B225,Datos_items!$O:$O,K$4,Datos_items!$E:$E,Analisis_grupo!$C$4),""))</f>
        <v/>
      </c>
      <c r="L225" s="18" t="str">
        <f aca="false">IF($B225="","",IFERROR(SUMIFS(Datos_items!$Z:$Z,Datos_items!$B:$B,$B225,Datos_items!$O:$O,L$4,Datos_items!$E:$E,Analisis_grupo!$C$4)/COUNTIFS(Datos_items!$B:$B,$B225,Datos_items!$O:$O,L$4,Datos_items!$E:$E,Analisis_grupo!$C$4),""))</f>
        <v/>
      </c>
      <c r="M225" s="18" t="str">
        <f aca="false">IF($B225="","",IFERROR(SUMIFS(Datos_items!$Z:$Z,Datos_items!$B:$B,$B225,Datos_items!$O:$O,M$4,Datos_items!$E:$E,Analisis_grupo!$C$4)/COUNTIFS(Datos_items!$B:$B,$B225,Datos_items!$O:$O,M$4,Datos_items!$E:$E,Analisis_grupo!$C$4),""))</f>
        <v/>
      </c>
      <c r="N225" s="18" t="str">
        <f aca="false">IF($B225="","",IFERROR(SUMIFS(Datos_items!$Z:$Z,Datos_items!$B:$B,$B225,Datos_items!$O:$O,N$4,Datos_items!$E:$E,Analisis_grupo!$C$4)/COUNTIFS(Datos_items!$B:$B,$B225,Datos_items!$O:$O,N$4,Datos_items!$E:$E,Analisis_grupo!$C$4),""))</f>
        <v/>
      </c>
      <c r="O225" s="18" t="str">
        <f aca="false">IF($B225="","",IFERROR(SUMIFS(Datos_items!$Z:$Z,Datos_items!$B:$B,$B225,Datos_items!$O:$O,O$4,Datos_items!$E:$E,Analisis_grupo!$C$4)/COUNTIFS(Datos_items!$B:$B,$B225,Datos_items!$O:$O,O$4,Datos_items!$E:$E,Analisis_grupo!$C$4),""))</f>
        <v/>
      </c>
      <c r="P225" s="18" t="str">
        <f aca="false">IF($B225="","",IFERROR(SUMIFS(Datos_items!$Z:$Z,Datos_items!$B:$B,$B225,Datos_items!$O:$O,P$4,Datos_items!$E:$E,Analisis_grupo!$C$4)/COUNTIFS(Datos_items!$B:$B,$B225,Datos_items!$O:$O,P$4,Datos_items!$E:$E,Analisis_grupo!$C$4),""))</f>
        <v/>
      </c>
      <c r="Q225" s="18" t="str">
        <f aca="false">IF($B225="","",IFERROR(SUMIFS(Datos_items!$Z:$Z,Datos_items!$B:$B,$B225,Datos_items!$O:$O,Q$4,Datos_items!$E:$E,Analisis_grupo!$C$4)/COUNTIFS(Datos_items!$B:$B,$B225,Datos_items!$O:$O,Q$4,Datos_items!$E:$E,Analisis_grupo!$C$4),""))</f>
        <v/>
      </c>
      <c r="R225" s="2" t="str">
        <f aca="false">IF(COUNT(J225:Q225)=0,"",IF(MIN(J225:Q225)&gt;=Analisis_grupo!$B$7,"(ninguna)",INDEX($J$4:$Q$4,MATCH(MIN(J225:Q225),J225:Q225,0))))</f>
        <v/>
      </c>
      <c r="S225" s="2" t="str">
        <f aca="false">IF($B225="","",COUNTIF(J225:Q225,"&lt;"&amp;Analisis_grupo!$B$7))</f>
        <v/>
      </c>
      <c r="T225" s="2" t="str">
        <f aca="false">IF($B225="","",COUNTIFS(Datos_items!$B:$B,$B225,Datos_items!$AA:$AA,T$4,Datos_items!$E:$E,Analisis_grupo!$C$4))</f>
        <v/>
      </c>
      <c r="U225" s="2" t="str">
        <f aca="false">IF($B225="","",COUNTIFS(Datos_items!$B:$B,$B225,Datos_items!$AA:$AA,U$4,Datos_items!$E:$E,Analisis_grupo!$C$4))</f>
        <v/>
      </c>
      <c r="V225" s="2" t="str">
        <f aca="false">IF($B225="","",COUNTIFS(Datos_items!$B:$B,$B225,Datos_items!$AA:$AA,V$4,Datos_items!$E:$E,Analisis_grupo!$C$4))</f>
        <v/>
      </c>
      <c r="W225" s="2" t="str">
        <f aca="false">IF($B225="","",COUNTIFS(Datos_items!$B:$B,$B225,Datos_items!$AA:$AA,W$4,Datos_items!$E:$E,Analisis_grupo!$C$4))</f>
        <v/>
      </c>
      <c r="X225" s="2" t="str">
        <f aca="false">IF($B225="","",COUNTIFS(Datos_items!$B:$B,$B225,Datos_items!$AA:$AA,X$4,Datos_items!$E:$E,Analisis_grupo!$C$4))</f>
        <v/>
      </c>
      <c r="Y225" s="2" t="str">
        <f aca="false">IF($B225="","",COUNTIFS(Datos_items!$B:$B,$B225,Datos_items!$AA:$AA,Y$4,Datos_items!$E:$E,Analisis_grupo!$C$4))</f>
        <v/>
      </c>
      <c r="Z225" s="2" t="str">
        <f aca="false">IF($B225="","",COUNTIFS(Datos_items!$B:$B,$B225,Datos_items!$AA:$AA,Z$4,Datos_items!$E:$E,Analisis_grupo!$C$4))</f>
        <v/>
      </c>
      <c r="AA225" s="2" t="str">
        <f aca="false">IF($B225="","",COUNTIFS(Datos_items!$B:$B,$B225,Datos_items!$AA:$AA,AA$4,Datos_items!$E:$E,Analisis_grupo!$C$4))</f>
        <v/>
      </c>
      <c r="AB225" s="2" t="str">
        <f aca="false">IF($B225="","",COUNTIFS(Datos_items!$B:$B,$B225,Datos_items!$AA:$AA,AB$4,Datos_items!$E:$E,Analisis_grupo!$C$4))</f>
        <v/>
      </c>
      <c r="AC225" s="2" t="str">
        <f aca="false">IF($B225="","",COUNTIFS(Datos_items!$B:$B,$B225,Datos_items!$AA:$AA,AC$4,Datos_items!$E:$E,Analisis_grupo!$C$4))</f>
        <v/>
      </c>
      <c r="AD225" s="2" t="str">
        <f aca="false">IF($B225="","",COUNTIFS(Datos_items!$B:$B,$B225,Datos_items!$AA:$AA,AD$4,Datos_items!$E:$E,Analisis_grupo!$C$4))</f>
        <v/>
      </c>
      <c r="AE225" s="2" t="str">
        <f aca="false">IF($B225="","",COUNTIFS(Datos_items!$B:$B,$B225,Datos_items!$AA:$AA,AE$4,Datos_items!$E:$E,Analisis_grupo!$C$4))</f>
        <v/>
      </c>
      <c r="AF225" s="2" t="str">
        <f aca="false">IF($B225="","",COUNTIFS(Datos_items!$B:$B,$B225,Datos_items!$AA:$AA,AF$4,Datos_items!$E:$E,Analisis_grupo!$C$4))</f>
        <v/>
      </c>
      <c r="AG225" s="2" t="str">
        <f aca="false">IF($B225="","",COUNTIFS(Datos_items!$B:$B,$B225,Datos_items!$AA:$AA,AG$4,Datos_items!$E:$E,Analisis_grupo!$C$4))</f>
        <v/>
      </c>
      <c r="AH225" s="2" t="str">
        <f aca="false">IF($B225="","",COUNTIFS(Datos_items!$B:$B,$B225,Datos_items!$AA:$AA,AH$4,Datos_items!$E:$E,Analisis_grupo!$C$4))</f>
        <v/>
      </c>
      <c r="AI225" s="2" t="str">
        <f aca="false">IF($B225="","",COUNTIFS(Datos_items!$B:$B,$B225,Datos_items!$AA:$AA,AI$4,Datos_items!$E:$E,Analisis_grupo!$C$4))</f>
        <v/>
      </c>
      <c r="AJ225" s="2" t="str">
        <f aca="false">IF($B225="","",COUNTIFS(Datos_items!$B:$B,$B225,Datos_items!$AA:$AA,AJ$4,Datos_items!$E:$E,Analisis_grupo!$C$4))</f>
        <v/>
      </c>
      <c r="AK225" s="2" t="str">
        <f aca="false">IF($B225="","",COUNTIFS(Datos_items!$B:$B,$B225,Datos_items!$AA:$AA,AK$4,Datos_items!$E:$E,Analisis_grupo!$C$4))</f>
        <v/>
      </c>
      <c r="AL225" s="2" t="str">
        <f aca="false">IF($B225="","",COUNTIFS(Datos_items!$B:$B,$B225,Datos_items!$AA:$AA,AL$4,Datos_items!$E:$E,Analisis_grupo!$C$4))</f>
        <v/>
      </c>
      <c r="AM225" s="2" t="str">
        <f aca="false">IF($B225="","",IF(MAX(Y225:AL225)=0,"",INDEX($Y$4:$AL$4,MATCH(MAX(Y225:AL225),Y225:AL225,0))))</f>
        <v/>
      </c>
      <c r="AN225" s="2" t="str">
        <f aca="false">IF($B225="","",COUNTIFS(Datos_problemas!$B:$B,$B225,Datos_problemas!$F:$F,"Práctica"))</f>
        <v/>
      </c>
      <c r="AO225" s="2" t="str">
        <f aca="false">IF($B225="","",SUMIFS(Datos_problemas!$AQ:$AQ,Datos_problemas!$B:$B,$B225,Datos_problemas!$F:$F,"Práctica"))</f>
        <v/>
      </c>
      <c r="AP225" s="2" t="str">
        <f aca="false">IF($B225="","",COUNTIFS(Datos_problemas!$B:$B,$B225,Datos_problemas!$F:$F,"Práctica",Datos_problemas!$AS:$AS,"Sí"))</f>
        <v/>
      </c>
    </row>
    <row r="226" customFormat="false" ht="15" hidden="false" customHeight="false" outlineLevel="0" collapsed="false">
      <c r="A226" s="2" t="n">
        <v>222</v>
      </c>
      <c r="B226" s="2" t="str">
        <f aca="false">IFERROR(INDEX(Datos_problemas!$B:$B,MATCH($A226,Datos_problemas!$AV:$AV,0)),"")</f>
        <v/>
      </c>
      <c r="C226" s="2" t="str">
        <f aca="false">IF($B226="","",INDEX(Datos_problemas!$C:$C,MATCH($A226,Datos_problemas!$AV:$AV,0)))</f>
        <v/>
      </c>
      <c r="D226" s="2" t="str">
        <f aca="false">IF($B226="","",INDEX(Datos_problemas!$D:$D,MATCH($A226,Datos_problemas!$AV:$AV,0)))</f>
        <v/>
      </c>
      <c r="E226" s="2" t="str">
        <f aca="false">IF($B226="","",COUNTIFS(Datos_problemas!$B:$B,$B226,Datos_problemas!$F:$F,"Evaluación"))</f>
        <v/>
      </c>
      <c r="F226" s="20" t="str">
        <f aca="false">IF($B226="","",IFERROR(AVERAGEIFS(Datos_problemas!$AE:$AE,Datos_problemas!$B:$B,$B226,Datos_problemas!$F:$F,"Evaluación"),""))</f>
        <v/>
      </c>
      <c r="G226" s="20" t="str">
        <f aca="false">IF($B226="","",IFERROR(AVERAGEIFS(Datos_problemas!$AE:$AE,Datos_problemas!$B:$B,$B226,Datos_problemas!$F:$F,"Evaluación",Datos_problemas!$E:$E,"Diagnóstico"),""))</f>
        <v/>
      </c>
      <c r="H226" s="20" t="str">
        <f aca="false">IF($B226="","",IFERROR(AVERAGEIFS(Datos_problemas!$AE:$AE,Datos_problemas!$B:$B,$B226,Datos_problemas!$F:$F,"Evaluación",Datos_problemas!$E:$E,"Final"),""))</f>
        <v/>
      </c>
      <c r="I226" s="21" t="str">
        <f aca="false">IF(OR(G226="",H226=""),"",IF(G226&gt;=10,"",(H226-G226)/(10-G226)))</f>
        <v/>
      </c>
      <c r="J226" s="18" t="str">
        <f aca="false">IF($B226="","",IFERROR(SUMIFS(Datos_items!$Z:$Z,Datos_items!$B:$B,$B226,Datos_items!$O:$O,J$4,Datos_items!$E:$E,Analisis_grupo!$C$4)/COUNTIFS(Datos_items!$B:$B,$B226,Datos_items!$O:$O,J$4,Datos_items!$E:$E,Analisis_grupo!$C$4),""))</f>
        <v/>
      </c>
      <c r="K226" s="18" t="str">
        <f aca="false">IF($B226="","",IFERROR(SUMIFS(Datos_items!$Z:$Z,Datos_items!$B:$B,$B226,Datos_items!$O:$O,K$4,Datos_items!$E:$E,Analisis_grupo!$C$4)/COUNTIFS(Datos_items!$B:$B,$B226,Datos_items!$O:$O,K$4,Datos_items!$E:$E,Analisis_grupo!$C$4),""))</f>
        <v/>
      </c>
      <c r="L226" s="18" t="str">
        <f aca="false">IF($B226="","",IFERROR(SUMIFS(Datos_items!$Z:$Z,Datos_items!$B:$B,$B226,Datos_items!$O:$O,L$4,Datos_items!$E:$E,Analisis_grupo!$C$4)/COUNTIFS(Datos_items!$B:$B,$B226,Datos_items!$O:$O,L$4,Datos_items!$E:$E,Analisis_grupo!$C$4),""))</f>
        <v/>
      </c>
      <c r="M226" s="18" t="str">
        <f aca="false">IF($B226="","",IFERROR(SUMIFS(Datos_items!$Z:$Z,Datos_items!$B:$B,$B226,Datos_items!$O:$O,M$4,Datos_items!$E:$E,Analisis_grupo!$C$4)/COUNTIFS(Datos_items!$B:$B,$B226,Datos_items!$O:$O,M$4,Datos_items!$E:$E,Analisis_grupo!$C$4),""))</f>
        <v/>
      </c>
      <c r="N226" s="18" t="str">
        <f aca="false">IF($B226="","",IFERROR(SUMIFS(Datos_items!$Z:$Z,Datos_items!$B:$B,$B226,Datos_items!$O:$O,N$4,Datos_items!$E:$E,Analisis_grupo!$C$4)/COUNTIFS(Datos_items!$B:$B,$B226,Datos_items!$O:$O,N$4,Datos_items!$E:$E,Analisis_grupo!$C$4),""))</f>
        <v/>
      </c>
      <c r="O226" s="18" t="str">
        <f aca="false">IF($B226="","",IFERROR(SUMIFS(Datos_items!$Z:$Z,Datos_items!$B:$B,$B226,Datos_items!$O:$O,O$4,Datos_items!$E:$E,Analisis_grupo!$C$4)/COUNTIFS(Datos_items!$B:$B,$B226,Datos_items!$O:$O,O$4,Datos_items!$E:$E,Analisis_grupo!$C$4),""))</f>
        <v/>
      </c>
      <c r="P226" s="18" t="str">
        <f aca="false">IF($B226="","",IFERROR(SUMIFS(Datos_items!$Z:$Z,Datos_items!$B:$B,$B226,Datos_items!$O:$O,P$4,Datos_items!$E:$E,Analisis_grupo!$C$4)/COUNTIFS(Datos_items!$B:$B,$B226,Datos_items!$O:$O,P$4,Datos_items!$E:$E,Analisis_grupo!$C$4),""))</f>
        <v/>
      </c>
      <c r="Q226" s="18" t="str">
        <f aca="false">IF($B226="","",IFERROR(SUMIFS(Datos_items!$Z:$Z,Datos_items!$B:$B,$B226,Datos_items!$O:$O,Q$4,Datos_items!$E:$E,Analisis_grupo!$C$4)/COUNTIFS(Datos_items!$B:$B,$B226,Datos_items!$O:$O,Q$4,Datos_items!$E:$E,Analisis_grupo!$C$4),""))</f>
        <v/>
      </c>
      <c r="R226" s="2" t="str">
        <f aca="false">IF(COUNT(J226:Q226)=0,"",IF(MIN(J226:Q226)&gt;=Analisis_grupo!$B$7,"(ninguna)",INDEX($J$4:$Q$4,MATCH(MIN(J226:Q226),J226:Q226,0))))</f>
        <v/>
      </c>
      <c r="S226" s="2" t="str">
        <f aca="false">IF($B226="","",COUNTIF(J226:Q226,"&lt;"&amp;Analisis_grupo!$B$7))</f>
        <v/>
      </c>
      <c r="T226" s="2" t="str">
        <f aca="false">IF($B226="","",COUNTIFS(Datos_items!$B:$B,$B226,Datos_items!$AA:$AA,T$4,Datos_items!$E:$E,Analisis_grupo!$C$4))</f>
        <v/>
      </c>
      <c r="U226" s="2" t="str">
        <f aca="false">IF($B226="","",COUNTIFS(Datos_items!$B:$B,$B226,Datos_items!$AA:$AA,U$4,Datos_items!$E:$E,Analisis_grupo!$C$4))</f>
        <v/>
      </c>
      <c r="V226" s="2" t="str">
        <f aca="false">IF($B226="","",COUNTIFS(Datos_items!$B:$B,$B226,Datos_items!$AA:$AA,V$4,Datos_items!$E:$E,Analisis_grupo!$C$4))</f>
        <v/>
      </c>
      <c r="W226" s="2" t="str">
        <f aca="false">IF($B226="","",COUNTIFS(Datos_items!$B:$B,$B226,Datos_items!$AA:$AA,W$4,Datos_items!$E:$E,Analisis_grupo!$C$4))</f>
        <v/>
      </c>
      <c r="X226" s="2" t="str">
        <f aca="false">IF($B226="","",COUNTIFS(Datos_items!$B:$B,$B226,Datos_items!$AA:$AA,X$4,Datos_items!$E:$E,Analisis_grupo!$C$4))</f>
        <v/>
      </c>
      <c r="Y226" s="2" t="str">
        <f aca="false">IF($B226="","",COUNTIFS(Datos_items!$B:$B,$B226,Datos_items!$AA:$AA,Y$4,Datos_items!$E:$E,Analisis_grupo!$C$4))</f>
        <v/>
      </c>
      <c r="Z226" s="2" t="str">
        <f aca="false">IF($B226="","",COUNTIFS(Datos_items!$B:$B,$B226,Datos_items!$AA:$AA,Z$4,Datos_items!$E:$E,Analisis_grupo!$C$4))</f>
        <v/>
      </c>
      <c r="AA226" s="2" t="str">
        <f aca="false">IF($B226="","",COUNTIFS(Datos_items!$B:$B,$B226,Datos_items!$AA:$AA,AA$4,Datos_items!$E:$E,Analisis_grupo!$C$4))</f>
        <v/>
      </c>
      <c r="AB226" s="2" t="str">
        <f aca="false">IF($B226="","",COUNTIFS(Datos_items!$B:$B,$B226,Datos_items!$AA:$AA,AB$4,Datos_items!$E:$E,Analisis_grupo!$C$4))</f>
        <v/>
      </c>
      <c r="AC226" s="2" t="str">
        <f aca="false">IF($B226="","",COUNTIFS(Datos_items!$B:$B,$B226,Datos_items!$AA:$AA,AC$4,Datos_items!$E:$E,Analisis_grupo!$C$4))</f>
        <v/>
      </c>
      <c r="AD226" s="2" t="str">
        <f aca="false">IF($B226="","",COUNTIFS(Datos_items!$B:$B,$B226,Datos_items!$AA:$AA,AD$4,Datos_items!$E:$E,Analisis_grupo!$C$4))</f>
        <v/>
      </c>
      <c r="AE226" s="2" t="str">
        <f aca="false">IF($B226="","",COUNTIFS(Datos_items!$B:$B,$B226,Datos_items!$AA:$AA,AE$4,Datos_items!$E:$E,Analisis_grupo!$C$4))</f>
        <v/>
      </c>
      <c r="AF226" s="2" t="str">
        <f aca="false">IF($B226="","",COUNTIFS(Datos_items!$B:$B,$B226,Datos_items!$AA:$AA,AF$4,Datos_items!$E:$E,Analisis_grupo!$C$4))</f>
        <v/>
      </c>
      <c r="AG226" s="2" t="str">
        <f aca="false">IF($B226="","",COUNTIFS(Datos_items!$B:$B,$B226,Datos_items!$AA:$AA,AG$4,Datos_items!$E:$E,Analisis_grupo!$C$4))</f>
        <v/>
      </c>
      <c r="AH226" s="2" t="str">
        <f aca="false">IF($B226="","",COUNTIFS(Datos_items!$B:$B,$B226,Datos_items!$AA:$AA,AH$4,Datos_items!$E:$E,Analisis_grupo!$C$4))</f>
        <v/>
      </c>
      <c r="AI226" s="2" t="str">
        <f aca="false">IF($B226="","",COUNTIFS(Datos_items!$B:$B,$B226,Datos_items!$AA:$AA,AI$4,Datos_items!$E:$E,Analisis_grupo!$C$4))</f>
        <v/>
      </c>
      <c r="AJ226" s="2" t="str">
        <f aca="false">IF($B226="","",COUNTIFS(Datos_items!$B:$B,$B226,Datos_items!$AA:$AA,AJ$4,Datos_items!$E:$E,Analisis_grupo!$C$4))</f>
        <v/>
      </c>
      <c r="AK226" s="2" t="str">
        <f aca="false">IF($B226="","",COUNTIFS(Datos_items!$B:$B,$B226,Datos_items!$AA:$AA,AK$4,Datos_items!$E:$E,Analisis_grupo!$C$4))</f>
        <v/>
      </c>
      <c r="AL226" s="2" t="str">
        <f aca="false">IF($B226="","",COUNTIFS(Datos_items!$B:$B,$B226,Datos_items!$AA:$AA,AL$4,Datos_items!$E:$E,Analisis_grupo!$C$4))</f>
        <v/>
      </c>
      <c r="AM226" s="2" t="str">
        <f aca="false">IF($B226="","",IF(MAX(Y226:AL226)=0,"",INDEX($Y$4:$AL$4,MATCH(MAX(Y226:AL226),Y226:AL226,0))))</f>
        <v/>
      </c>
      <c r="AN226" s="2" t="str">
        <f aca="false">IF($B226="","",COUNTIFS(Datos_problemas!$B:$B,$B226,Datos_problemas!$F:$F,"Práctica"))</f>
        <v/>
      </c>
      <c r="AO226" s="2" t="str">
        <f aca="false">IF($B226="","",SUMIFS(Datos_problemas!$AQ:$AQ,Datos_problemas!$B:$B,$B226,Datos_problemas!$F:$F,"Práctica"))</f>
        <v/>
      </c>
      <c r="AP226" s="2" t="str">
        <f aca="false">IF($B226="","",COUNTIFS(Datos_problemas!$B:$B,$B226,Datos_problemas!$F:$F,"Práctica",Datos_problemas!$AS:$AS,"Sí"))</f>
        <v/>
      </c>
    </row>
    <row r="227" customFormat="false" ht="15" hidden="false" customHeight="false" outlineLevel="0" collapsed="false">
      <c r="A227" s="2" t="n">
        <v>223</v>
      </c>
      <c r="B227" s="2" t="str">
        <f aca="false">IFERROR(INDEX(Datos_problemas!$B:$B,MATCH($A227,Datos_problemas!$AV:$AV,0)),"")</f>
        <v/>
      </c>
      <c r="C227" s="2" t="str">
        <f aca="false">IF($B227="","",INDEX(Datos_problemas!$C:$C,MATCH($A227,Datos_problemas!$AV:$AV,0)))</f>
        <v/>
      </c>
      <c r="D227" s="2" t="str">
        <f aca="false">IF($B227="","",INDEX(Datos_problemas!$D:$D,MATCH($A227,Datos_problemas!$AV:$AV,0)))</f>
        <v/>
      </c>
      <c r="E227" s="2" t="str">
        <f aca="false">IF($B227="","",COUNTIFS(Datos_problemas!$B:$B,$B227,Datos_problemas!$F:$F,"Evaluación"))</f>
        <v/>
      </c>
      <c r="F227" s="20" t="str">
        <f aca="false">IF($B227="","",IFERROR(AVERAGEIFS(Datos_problemas!$AE:$AE,Datos_problemas!$B:$B,$B227,Datos_problemas!$F:$F,"Evaluación"),""))</f>
        <v/>
      </c>
      <c r="G227" s="20" t="str">
        <f aca="false">IF($B227="","",IFERROR(AVERAGEIFS(Datos_problemas!$AE:$AE,Datos_problemas!$B:$B,$B227,Datos_problemas!$F:$F,"Evaluación",Datos_problemas!$E:$E,"Diagnóstico"),""))</f>
        <v/>
      </c>
      <c r="H227" s="20" t="str">
        <f aca="false">IF($B227="","",IFERROR(AVERAGEIFS(Datos_problemas!$AE:$AE,Datos_problemas!$B:$B,$B227,Datos_problemas!$F:$F,"Evaluación",Datos_problemas!$E:$E,"Final"),""))</f>
        <v/>
      </c>
      <c r="I227" s="21" t="str">
        <f aca="false">IF(OR(G227="",H227=""),"",IF(G227&gt;=10,"",(H227-G227)/(10-G227)))</f>
        <v/>
      </c>
      <c r="J227" s="18" t="str">
        <f aca="false">IF($B227="","",IFERROR(SUMIFS(Datos_items!$Z:$Z,Datos_items!$B:$B,$B227,Datos_items!$O:$O,J$4,Datos_items!$E:$E,Analisis_grupo!$C$4)/COUNTIFS(Datos_items!$B:$B,$B227,Datos_items!$O:$O,J$4,Datos_items!$E:$E,Analisis_grupo!$C$4),""))</f>
        <v/>
      </c>
      <c r="K227" s="18" t="str">
        <f aca="false">IF($B227="","",IFERROR(SUMIFS(Datos_items!$Z:$Z,Datos_items!$B:$B,$B227,Datos_items!$O:$O,K$4,Datos_items!$E:$E,Analisis_grupo!$C$4)/COUNTIFS(Datos_items!$B:$B,$B227,Datos_items!$O:$O,K$4,Datos_items!$E:$E,Analisis_grupo!$C$4),""))</f>
        <v/>
      </c>
      <c r="L227" s="18" t="str">
        <f aca="false">IF($B227="","",IFERROR(SUMIFS(Datos_items!$Z:$Z,Datos_items!$B:$B,$B227,Datos_items!$O:$O,L$4,Datos_items!$E:$E,Analisis_grupo!$C$4)/COUNTIFS(Datos_items!$B:$B,$B227,Datos_items!$O:$O,L$4,Datos_items!$E:$E,Analisis_grupo!$C$4),""))</f>
        <v/>
      </c>
      <c r="M227" s="18" t="str">
        <f aca="false">IF($B227="","",IFERROR(SUMIFS(Datos_items!$Z:$Z,Datos_items!$B:$B,$B227,Datos_items!$O:$O,M$4,Datos_items!$E:$E,Analisis_grupo!$C$4)/COUNTIFS(Datos_items!$B:$B,$B227,Datos_items!$O:$O,M$4,Datos_items!$E:$E,Analisis_grupo!$C$4),""))</f>
        <v/>
      </c>
      <c r="N227" s="18" t="str">
        <f aca="false">IF($B227="","",IFERROR(SUMIFS(Datos_items!$Z:$Z,Datos_items!$B:$B,$B227,Datos_items!$O:$O,N$4,Datos_items!$E:$E,Analisis_grupo!$C$4)/COUNTIFS(Datos_items!$B:$B,$B227,Datos_items!$O:$O,N$4,Datos_items!$E:$E,Analisis_grupo!$C$4),""))</f>
        <v/>
      </c>
      <c r="O227" s="18" t="str">
        <f aca="false">IF($B227="","",IFERROR(SUMIFS(Datos_items!$Z:$Z,Datos_items!$B:$B,$B227,Datos_items!$O:$O,O$4,Datos_items!$E:$E,Analisis_grupo!$C$4)/COUNTIFS(Datos_items!$B:$B,$B227,Datos_items!$O:$O,O$4,Datos_items!$E:$E,Analisis_grupo!$C$4),""))</f>
        <v/>
      </c>
      <c r="P227" s="18" t="str">
        <f aca="false">IF($B227="","",IFERROR(SUMIFS(Datos_items!$Z:$Z,Datos_items!$B:$B,$B227,Datos_items!$O:$O,P$4,Datos_items!$E:$E,Analisis_grupo!$C$4)/COUNTIFS(Datos_items!$B:$B,$B227,Datos_items!$O:$O,P$4,Datos_items!$E:$E,Analisis_grupo!$C$4),""))</f>
        <v/>
      </c>
      <c r="Q227" s="18" t="str">
        <f aca="false">IF($B227="","",IFERROR(SUMIFS(Datos_items!$Z:$Z,Datos_items!$B:$B,$B227,Datos_items!$O:$O,Q$4,Datos_items!$E:$E,Analisis_grupo!$C$4)/COUNTIFS(Datos_items!$B:$B,$B227,Datos_items!$O:$O,Q$4,Datos_items!$E:$E,Analisis_grupo!$C$4),""))</f>
        <v/>
      </c>
      <c r="R227" s="2" t="str">
        <f aca="false">IF(COUNT(J227:Q227)=0,"",IF(MIN(J227:Q227)&gt;=Analisis_grupo!$B$7,"(ninguna)",INDEX($J$4:$Q$4,MATCH(MIN(J227:Q227),J227:Q227,0))))</f>
        <v/>
      </c>
      <c r="S227" s="2" t="str">
        <f aca="false">IF($B227="","",COUNTIF(J227:Q227,"&lt;"&amp;Analisis_grupo!$B$7))</f>
        <v/>
      </c>
      <c r="T227" s="2" t="str">
        <f aca="false">IF($B227="","",COUNTIFS(Datos_items!$B:$B,$B227,Datos_items!$AA:$AA,T$4,Datos_items!$E:$E,Analisis_grupo!$C$4))</f>
        <v/>
      </c>
      <c r="U227" s="2" t="str">
        <f aca="false">IF($B227="","",COUNTIFS(Datos_items!$B:$B,$B227,Datos_items!$AA:$AA,U$4,Datos_items!$E:$E,Analisis_grupo!$C$4))</f>
        <v/>
      </c>
      <c r="V227" s="2" t="str">
        <f aca="false">IF($B227="","",COUNTIFS(Datos_items!$B:$B,$B227,Datos_items!$AA:$AA,V$4,Datos_items!$E:$E,Analisis_grupo!$C$4))</f>
        <v/>
      </c>
      <c r="W227" s="2" t="str">
        <f aca="false">IF($B227="","",COUNTIFS(Datos_items!$B:$B,$B227,Datos_items!$AA:$AA,W$4,Datos_items!$E:$E,Analisis_grupo!$C$4))</f>
        <v/>
      </c>
      <c r="X227" s="2" t="str">
        <f aca="false">IF($B227="","",COUNTIFS(Datos_items!$B:$B,$B227,Datos_items!$AA:$AA,X$4,Datos_items!$E:$E,Analisis_grupo!$C$4))</f>
        <v/>
      </c>
      <c r="Y227" s="2" t="str">
        <f aca="false">IF($B227="","",COUNTIFS(Datos_items!$B:$B,$B227,Datos_items!$AA:$AA,Y$4,Datos_items!$E:$E,Analisis_grupo!$C$4))</f>
        <v/>
      </c>
      <c r="Z227" s="2" t="str">
        <f aca="false">IF($B227="","",COUNTIFS(Datos_items!$B:$B,$B227,Datos_items!$AA:$AA,Z$4,Datos_items!$E:$E,Analisis_grupo!$C$4))</f>
        <v/>
      </c>
      <c r="AA227" s="2" t="str">
        <f aca="false">IF($B227="","",COUNTIFS(Datos_items!$B:$B,$B227,Datos_items!$AA:$AA,AA$4,Datos_items!$E:$E,Analisis_grupo!$C$4))</f>
        <v/>
      </c>
      <c r="AB227" s="2" t="str">
        <f aca="false">IF($B227="","",COUNTIFS(Datos_items!$B:$B,$B227,Datos_items!$AA:$AA,AB$4,Datos_items!$E:$E,Analisis_grupo!$C$4))</f>
        <v/>
      </c>
      <c r="AC227" s="2" t="str">
        <f aca="false">IF($B227="","",COUNTIFS(Datos_items!$B:$B,$B227,Datos_items!$AA:$AA,AC$4,Datos_items!$E:$E,Analisis_grupo!$C$4))</f>
        <v/>
      </c>
      <c r="AD227" s="2" t="str">
        <f aca="false">IF($B227="","",COUNTIFS(Datos_items!$B:$B,$B227,Datos_items!$AA:$AA,AD$4,Datos_items!$E:$E,Analisis_grupo!$C$4))</f>
        <v/>
      </c>
      <c r="AE227" s="2" t="str">
        <f aca="false">IF($B227="","",COUNTIFS(Datos_items!$B:$B,$B227,Datos_items!$AA:$AA,AE$4,Datos_items!$E:$E,Analisis_grupo!$C$4))</f>
        <v/>
      </c>
      <c r="AF227" s="2" t="str">
        <f aca="false">IF($B227="","",COUNTIFS(Datos_items!$B:$B,$B227,Datos_items!$AA:$AA,AF$4,Datos_items!$E:$E,Analisis_grupo!$C$4))</f>
        <v/>
      </c>
      <c r="AG227" s="2" t="str">
        <f aca="false">IF($B227="","",COUNTIFS(Datos_items!$B:$B,$B227,Datos_items!$AA:$AA,AG$4,Datos_items!$E:$E,Analisis_grupo!$C$4))</f>
        <v/>
      </c>
      <c r="AH227" s="2" t="str">
        <f aca="false">IF($B227="","",COUNTIFS(Datos_items!$B:$B,$B227,Datos_items!$AA:$AA,AH$4,Datos_items!$E:$E,Analisis_grupo!$C$4))</f>
        <v/>
      </c>
      <c r="AI227" s="2" t="str">
        <f aca="false">IF($B227="","",COUNTIFS(Datos_items!$B:$B,$B227,Datos_items!$AA:$AA,AI$4,Datos_items!$E:$E,Analisis_grupo!$C$4))</f>
        <v/>
      </c>
      <c r="AJ227" s="2" t="str">
        <f aca="false">IF($B227="","",COUNTIFS(Datos_items!$B:$B,$B227,Datos_items!$AA:$AA,AJ$4,Datos_items!$E:$E,Analisis_grupo!$C$4))</f>
        <v/>
      </c>
      <c r="AK227" s="2" t="str">
        <f aca="false">IF($B227="","",COUNTIFS(Datos_items!$B:$B,$B227,Datos_items!$AA:$AA,AK$4,Datos_items!$E:$E,Analisis_grupo!$C$4))</f>
        <v/>
      </c>
      <c r="AL227" s="2" t="str">
        <f aca="false">IF($B227="","",COUNTIFS(Datos_items!$B:$B,$B227,Datos_items!$AA:$AA,AL$4,Datos_items!$E:$E,Analisis_grupo!$C$4))</f>
        <v/>
      </c>
      <c r="AM227" s="2" t="str">
        <f aca="false">IF($B227="","",IF(MAX(Y227:AL227)=0,"",INDEX($Y$4:$AL$4,MATCH(MAX(Y227:AL227),Y227:AL227,0))))</f>
        <v/>
      </c>
      <c r="AN227" s="2" t="str">
        <f aca="false">IF($B227="","",COUNTIFS(Datos_problemas!$B:$B,$B227,Datos_problemas!$F:$F,"Práctica"))</f>
        <v/>
      </c>
      <c r="AO227" s="2" t="str">
        <f aca="false">IF($B227="","",SUMIFS(Datos_problemas!$AQ:$AQ,Datos_problemas!$B:$B,$B227,Datos_problemas!$F:$F,"Práctica"))</f>
        <v/>
      </c>
      <c r="AP227" s="2" t="str">
        <f aca="false">IF($B227="","",COUNTIFS(Datos_problemas!$B:$B,$B227,Datos_problemas!$F:$F,"Práctica",Datos_problemas!$AS:$AS,"Sí"))</f>
        <v/>
      </c>
    </row>
    <row r="228" customFormat="false" ht="15" hidden="false" customHeight="false" outlineLevel="0" collapsed="false">
      <c r="A228" s="2" t="n">
        <v>224</v>
      </c>
      <c r="B228" s="2" t="str">
        <f aca="false">IFERROR(INDEX(Datos_problemas!$B:$B,MATCH($A228,Datos_problemas!$AV:$AV,0)),"")</f>
        <v/>
      </c>
      <c r="C228" s="2" t="str">
        <f aca="false">IF($B228="","",INDEX(Datos_problemas!$C:$C,MATCH($A228,Datos_problemas!$AV:$AV,0)))</f>
        <v/>
      </c>
      <c r="D228" s="2" t="str">
        <f aca="false">IF($B228="","",INDEX(Datos_problemas!$D:$D,MATCH($A228,Datos_problemas!$AV:$AV,0)))</f>
        <v/>
      </c>
      <c r="E228" s="2" t="str">
        <f aca="false">IF($B228="","",COUNTIFS(Datos_problemas!$B:$B,$B228,Datos_problemas!$F:$F,"Evaluación"))</f>
        <v/>
      </c>
      <c r="F228" s="20" t="str">
        <f aca="false">IF($B228="","",IFERROR(AVERAGEIFS(Datos_problemas!$AE:$AE,Datos_problemas!$B:$B,$B228,Datos_problemas!$F:$F,"Evaluación"),""))</f>
        <v/>
      </c>
      <c r="G228" s="20" t="str">
        <f aca="false">IF($B228="","",IFERROR(AVERAGEIFS(Datos_problemas!$AE:$AE,Datos_problemas!$B:$B,$B228,Datos_problemas!$F:$F,"Evaluación",Datos_problemas!$E:$E,"Diagnóstico"),""))</f>
        <v/>
      </c>
      <c r="H228" s="20" t="str">
        <f aca="false">IF($B228="","",IFERROR(AVERAGEIFS(Datos_problemas!$AE:$AE,Datos_problemas!$B:$B,$B228,Datos_problemas!$F:$F,"Evaluación",Datos_problemas!$E:$E,"Final"),""))</f>
        <v/>
      </c>
      <c r="I228" s="21" t="str">
        <f aca="false">IF(OR(G228="",H228=""),"",IF(G228&gt;=10,"",(H228-G228)/(10-G228)))</f>
        <v/>
      </c>
      <c r="J228" s="18" t="str">
        <f aca="false">IF($B228="","",IFERROR(SUMIFS(Datos_items!$Z:$Z,Datos_items!$B:$B,$B228,Datos_items!$O:$O,J$4,Datos_items!$E:$E,Analisis_grupo!$C$4)/COUNTIFS(Datos_items!$B:$B,$B228,Datos_items!$O:$O,J$4,Datos_items!$E:$E,Analisis_grupo!$C$4),""))</f>
        <v/>
      </c>
      <c r="K228" s="18" t="str">
        <f aca="false">IF($B228="","",IFERROR(SUMIFS(Datos_items!$Z:$Z,Datos_items!$B:$B,$B228,Datos_items!$O:$O,K$4,Datos_items!$E:$E,Analisis_grupo!$C$4)/COUNTIFS(Datos_items!$B:$B,$B228,Datos_items!$O:$O,K$4,Datos_items!$E:$E,Analisis_grupo!$C$4),""))</f>
        <v/>
      </c>
      <c r="L228" s="18" t="str">
        <f aca="false">IF($B228="","",IFERROR(SUMIFS(Datos_items!$Z:$Z,Datos_items!$B:$B,$B228,Datos_items!$O:$O,L$4,Datos_items!$E:$E,Analisis_grupo!$C$4)/COUNTIFS(Datos_items!$B:$B,$B228,Datos_items!$O:$O,L$4,Datos_items!$E:$E,Analisis_grupo!$C$4),""))</f>
        <v/>
      </c>
      <c r="M228" s="18" t="str">
        <f aca="false">IF($B228="","",IFERROR(SUMIFS(Datos_items!$Z:$Z,Datos_items!$B:$B,$B228,Datos_items!$O:$O,M$4,Datos_items!$E:$E,Analisis_grupo!$C$4)/COUNTIFS(Datos_items!$B:$B,$B228,Datos_items!$O:$O,M$4,Datos_items!$E:$E,Analisis_grupo!$C$4),""))</f>
        <v/>
      </c>
      <c r="N228" s="18" t="str">
        <f aca="false">IF($B228="","",IFERROR(SUMIFS(Datos_items!$Z:$Z,Datos_items!$B:$B,$B228,Datos_items!$O:$O,N$4,Datos_items!$E:$E,Analisis_grupo!$C$4)/COUNTIFS(Datos_items!$B:$B,$B228,Datos_items!$O:$O,N$4,Datos_items!$E:$E,Analisis_grupo!$C$4),""))</f>
        <v/>
      </c>
      <c r="O228" s="18" t="str">
        <f aca="false">IF($B228="","",IFERROR(SUMIFS(Datos_items!$Z:$Z,Datos_items!$B:$B,$B228,Datos_items!$O:$O,O$4,Datos_items!$E:$E,Analisis_grupo!$C$4)/COUNTIFS(Datos_items!$B:$B,$B228,Datos_items!$O:$O,O$4,Datos_items!$E:$E,Analisis_grupo!$C$4),""))</f>
        <v/>
      </c>
      <c r="P228" s="18" t="str">
        <f aca="false">IF($B228="","",IFERROR(SUMIFS(Datos_items!$Z:$Z,Datos_items!$B:$B,$B228,Datos_items!$O:$O,P$4,Datos_items!$E:$E,Analisis_grupo!$C$4)/COUNTIFS(Datos_items!$B:$B,$B228,Datos_items!$O:$O,P$4,Datos_items!$E:$E,Analisis_grupo!$C$4),""))</f>
        <v/>
      </c>
      <c r="Q228" s="18" t="str">
        <f aca="false">IF($B228="","",IFERROR(SUMIFS(Datos_items!$Z:$Z,Datos_items!$B:$B,$B228,Datos_items!$O:$O,Q$4,Datos_items!$E:$E,Analisis_grupo!$C$4)/COUNTIFS(Datos_items!$B:$B,$B228,Datos_items!$O:$O,Q$4,Datos_items!$E:$E,Analisis_grupo!$C$4),""))</f>
        <v/>
      </c>
      <c r="R228" s="2" t="str">
        <f aca="false">IF(COUNT(J228:Q228)=0,"",IF(MIN(J228:Q228)&gt;=Analisis_grupo!$B$7,"(ninguna)",INDEX($J$4:$Q$4,MATCH(MIN(J228:Q228),J228:Q228,0))))</f>
        <v/>
      </c>
      <c r="S228" s="2" t="str">
        <f aca="false">IF($B228="","",COUNTIF(J228:Q228,"&lt;"&amp;Analisis_grupo!$B$7))</f>
        <v/>
      </c>
      <c r="T228" s="2" t="str">
        <f aca="false">IF($B228="","",COUNTIFS(Datos_items!$B:$B,$B228,Datos_items!$AA:$AA,T$4,Datos_items!$E:$E,Analisis_grupo!$C$4))</f>
        <v/>
      </c>
      <c r="U228" s="2" t="str">
        <f aca="false">IF($B228="","",COUNTIFS(Datos_items!$B:$B,$B228,Datos_items!$AA:$AA,U$4,Datos_items!$E:$E,Analisis_grupo!$C$4))</f>
        <v/>
      </c>
      <c r="V228" s="2" t="str">
        <f aca="false">IF($B228="","",COUNTIFS(Datos_items!$B:$B,$B228,Datos_items!$AA:$AA,V$4,Datos_items!$E:$E,Analisis_grupo!$C$4))</f>
        <v/>
      </c>
      <c r="W228" s="2" t="str">
        <f aca="false">IF($B228="","",COUNTIFS(Datos_items!$B:$B,$B228,Datos_items!$AA:$AA,W$4,Datos_items!$E:$E,Analisis_grupo!$C$4))</f>
        <v/>
      </c>
      <c r="X228" s="2" t="str">
        <f aca="false">IF($B228="","",COUNTIFS(Datos_items!$B:$B,$B228,Datos_items!$AA:$AA,X$4,Datos_items!$E:$E,Analisis_grupo!$C$4))</f>
        <v/>
      </c>
      <c r="Y228" s="2" t="str">
        <f aca="false">IF($B228="","",COUNTIFS(Datos_items!$B:$B,$B228,Datos_items!$AA:$AA,Y$4,Datos_items!$E:$E,Analisis_grupo!$C$4))</f>
        <v/>
      </c>
      <c r="Z228" s="2" t="str">
        <f aca="false">IF($B228="","",COUNTIFS(Datos_items!$B:$B,$B228,Datos_items!$AA:$AA,Z$4,Datos_items!$E:$E,Analisis_grupo!$C$4))</f>
        <v/>
      </c>
      <c r="AA228" s="2" t="str">
        <f aca="false">IF($B228="","",COUNTIFS(Datos_items!$B:$B,$B228,Datos_items!$AA:$AA,AA$4,Datos_items!$E:$E,Analisis_grupo!$C$4))</f>
        <v/>
      </c>
      <c r="AB228" s="2" t="str">
        <f aca="false">IF($B228="","",COUNTIFS(Datos_items!$B:$B,$B228,Datos_items!$AA:$AA,AB$4,Datos_items!$E:$E,Analisis_grupo!$C$4))</f>
        <v/>
      </c>
      <c r="AC228" s="2" t="str">
        <f aca="false">IF($B228="","",COUNTIFS(Datos_items!$B:$B,$B228,Datos_items!$AA:$AA,AC$4,Datos_items!$E:$E,Analisis_grupo!$C$4))</f>
        <v/>
      </c>
      <c r="AD228" s="2" t="str">
        <f aca="false">IF($B228="","",COUNTIFS(Datos_items!$B:$B,$B228,Datos_items!$AA:$AA,AD$4,Datos_items!$E:$E,Analisis_grupo!$C$4))</f>
        <v/>
      </c>
      <c r="AE228" s="2" t="str">
        <f aca="false">IF($B228="","",COUNTIFS(Datos_items!$B:$B,$B228,Datos_items!$AA:$AA,AE$4,Datos_items!$E:$E,Analisis_grupo!$C$4))</f>
        <v/>
      </c>
      <c r="AF228" s="2" t="str">
        <f aca="false">IF($B228="","",COUNTIFS(Datos_items!$B:$B,$B228,Datos_items!$AA:$AA,AF$4,Datos_items!$E:$E,Analisis_grupo!$C$4))</f>
        <v/>
      </c>
      <c r="AG228" s="2" t="str">
        <f aca="false">IF($B228="","",COUNTIFS(Datos_items!$B:$B,$B228,Datos_items!$AA:$AA,AG$4,Datos_items!$E:$E,Analisis_grupo!$C$4))</f>
        <v/>
      </c>
      <c r="AH228" s="2" t="str">
        <f aca="false">IF($B228="","",COUNTIFS(Datos_items!$B:$B,$B228,Datos_items!$AA:$AA,AH$4,Datos_items!$E:$E,Analisis_grupo!$C$4))</f>
        <v/>
      </c>
      <c r="AI228" s="2" t="str">
        <f aca="false">IF($B228="","",COUNTIFS(Datos_items!$B:$B,$B228,Datos_items!$AA:$AA,AI$4,Datos_items!$E:$E,Analisis_grupo!$C$4))</f>
        <v/>
      </c>
      <c r="AJ228" s="2" t="str">
        <f aca="false">IF($B228="","",COUNTIFS(Datos_items!$B:$B,$B228,Datos_items!$AA:$AA,AJ$4,Datos_items!$E:$E,Analisis_grupo!$C$4))</f>
        <v/>
      </c>
      <c r="AK228" s="2" t="str">
        <f aca="false">IF($B228="","",COUNTIFS(Datos_items!$B:$B,$B228,Datos_items!$AA:$AA,AK$4,Datos_items!$E:$E,Analisis_grupo!$C$4))</f>
        <v/>
      </c>
      <c r="AL228" s="2" t="str">
        <f aca="false">IF($B228="","",COUNTIFS(Datos_items!$B:$B,$B228,Datos_items!$AA:$AA,AL$4,Datos_items!$E:$E,Analisis_grupo!$C$4))</f>
        <v/>
      </c>
      <c r="AM228" s="2" t="str">
        <f aca="false">IF($B228="","",IF(MAX(Y228:AL228)=0,"",INDEX($Y$4:$AL$4,MATCH(MAX(Y228:AL228),Y228:AL228,0))))</f>
        <v/>
      </c>
      <c r="AN228" s="2" t="str">
        <f aca="false">IF($B228="","",COUNTIFS(Datos_problemas!$B:$B,$B228,Datos_problemas!$F:$F,"Práctica"))</f>
        <v/>
      </c>
      <c r="AO228" s="2" t="str">
        <f aca="false">IF($B228="","",SUMIFS(Datos_problemas!$AQ:$AQ,Datos_problemas!$B:$B,$B228,Datos_problemas!$F:$F,"Práctica"))</f>
        <v/>
      </c>
      <c r="AP228" s="2" t="str">
        <f aca="false">IF($B228="","",COUNTIFS(Datos_problemas!$B:$B,$B228,Datos_problemas!$F:$F,"Práctica",Datos_problemas!$AS:$AS,"Sí"))</f>
        <v/>
      </c>
    </row>
    <row r="229" customFormat="false" ht="15" hidden="false" customHeight="false" outlineLevel="0" collapsed="false">
      <c r="A229" s="2" t="n">
        <v>225</v>
      </c>
      <c r="B229" s="2" t="str">
        <f aca="false">IFERROR(INDEX(Datos_problemas!$B:$B,MATCH($A229,Datos_problemas!$AV:$AV,0)),"")</f>
        <v/>
      </c>
      <c r="C229" s="2" t="str">
        <f aca="false">IF($B229="","",INDEX(Datos_problemas!$C:$C,MATCH($A229,Datos_problemas!$AV:$AV,0)))</f>
        <v/>
      </c>
      <c r="D229" s="2" t="str">
        <f aca="false">IF($B229="","",INDEX(Datos_problemas!$D:$D,MATCH($A229,Datos_problemas!$AV:$AV,0)))</f>
        <v/>
      </c>
      <c r="E229" s="2" t="str">
        <f aca="false">IF($B229="","",COUNTIFS(Datos_problemas!$B:$B,$B229,Datos_problemas!$F:$F,"Evaluación"))</f>
        <v/>
      </c>
      <c r="F229" s="20" t="str">
        <f aca="false">IF($B229="","",IFERROR(AVERAGEIFS(Datos_problemas!$AE:$AE,Datos_problemas!$B:$B,$B229,Datos_problemas!$F:$F,"Evaluación"),""))</f>
        <v/>
      </c>
      <c r="G229" s="20" t="str">
        <f aca="false">IF($B229="","",IFERROR(AVERAGEIFS(Datos_problemas!$AE:$AE,Datos_problemas!$B:$B,$B229,Datos_problemas!$F:$F,"Evaluación",Datos_problemas!$E:$E,"Diagnóstico"),""))</f>
        <v/>
      </c>
      <c r="H229" s="20" t="str">
        <f aca="false">IF($B229="","",IFERROR(AVERAGEIFS(Datos_problemas!$AE:$AE,Datos_problemas!$B:$B,$B229,Datos_problemas!$F:$F,"Evaluación",Datos_problemas!$E:$E,"Final"),""))</f>
        <v/>
      </c>
      <c r="I229" s="21" t="str">
        <f aca="false">IF(OR(G229="",H229=""),"",IF(G229&gt;=10,"",(H229-G229)/(10-G229)))</f>
        <v/>
      </c>
      <c r="J229" s="18" t="str">
        <f aca="false">IF($B229="","",IFERROR(SUMIFS(Datos_items!$Z:$Z,Datos_items!$B:$B,$B229,Datos_items!$O:$O,J$4,Datos_items!$E:$E,Analisis_grupo!$C$4)/COUNTIFS(Datos_items!$B:$B,$B229,Datos_items!$O:$O,J$4,Datos_items!$E:$E,Analisis_grupo!$C$4),""))</f>
        <v/>
      </c>
      <c r="K229" s="18" t="str">
        <f aca="false">IF($B229="","",IFERROR(SUMIFS(Datos_items!$Z:$Z,Datos_items!$B:$B,$B229,Datos_items!$O:$O,K$4,Datos_items!$E:$E,Analisis_grupo!$C$4)/COUNTIFS(Datos_items!$B:$B,$B229,Datos_items!$O:$O,K$4,Datos_items!$E:$E,Analisis_grupo!$C$4),""))</f>
        <v/>
      </c>
      <c r="L229" s="18" t="str">
        <f aca="false">IF($B229="","",IFERROR(SUMIFS(Datos_items!$Z:$Z,Datos_items!$B:$B,$B229,Datos_items!$O:$O,L$4,Datos_items!$E:$E,Analisis_grupo!$C$4)/COUNTIFS(Datos_items!$B:$B,$B229,Datos_items!$O:$O,L$4,Datos_items!$E:$E,Analisis_grupo!$C$4),""))</f>
        <v/>
      </c>
      <c r="M229" s="18" t="str">
        <f aca="false">IF($B229="","",IFERROR(SUMIFS(Datos_items!$Z:$Z,Datos_items!$B:$B,$B229,Datos_items!$O:$O,M$4,Datos_items!$E:$E,Analisis_grupo!$C$4)/COUNTIFS(Datos_items!$B:$B,$B229,Datos_items!$O:$O,M$4,Datos_items!$E:$E,Analisis_grupo!$C$4),""))</f>
        <v/>
      </c>
      <c r="N229" s="18" t="str">
        <f aca="false">IF($B229="","",IFERROR(SUMIFS(Datos_items!$Z:$Z,Datos_items!$B:$B,$B229,Datos_items!$O:$O,N$4,Datos_items!$E:$E,Analisis_grupo!$C$4)/COUNTIFS(Datos_items!$B:$B,$B229,Datos_items!$O:$O,N$4,Datos_items!$E:$E,Analisis_grupo!$C$4),""))</f>
        <v/>
      </c>
      <c r="O229" s="18" t="str">
        <f aca="false">IF($B229="","",IFERROR(SUMIFS(Datos_items!$Z:$Z,Datos_items!$B:$B,$B229,Datos_items!$O:$O,O$4,Datos_items!$E:$E,Analisis_grupo!$C$4)/COUNTIFS(Datos_items!$B:$B,$B229,Datos_items!$O:$O,O$4,Datos_items!$E:$E,Analisis_grupo!$C$4),""))</f>
        <v/>
      </c>
      <c r="P229" s="18" t="str">
        <f aca="false">IF($B229="","",IFERROR(SUMIFS(Datos_items!$Z:$Z,Datos_items!$B:$B,$B229,Datos_items!$O:$O,P$4,Datos_items!$E:$E,Analisis_grupo!$C$4)/COUNTIFS(Datos_items!$B:$B,$B229,Datos_items!$O:$O,P$4,Datos_items!$E:$E,Analisis_grupo!$C$4),""))</f>
        <v/>
      </c>
      <c r="Q229" s="18" t="str">
        <f aca="false">IF($B229="","",IFERROR(SUMIFS(Datos_items!$Z:$Z,Datos_items!$B:$B,$B229,Datos_items!$O:$O,Q$4,Datos_items!$E:$E,Analisis_grupo!$C$4)/COUNTIFS(Datos_items!$B:$B,$B229,Datos_items!$O:$O,Q$4,Datos_items!$E:$E,Analisis_grupo!$C$4),""))</f>
        <v/>
      </c>
      <c r="R229" s="2" t="str">
        <f aca="false">IF(COUNT(J229:Q229)=0,"",IF(MIN(J229:Q229)&gt;=Analisis_grupo!$B$7,"(ninguna)",INDEX($J$4:$Q$4,MATCH(MIN(J229:Q229),J229:Q229,0))))</f>
        <v/>
      </c>
      <c r="S229" s="2" t="str">
        <f aca="false">IF($B229="","",COUNTIF(J229:Q229,"&lt;"&amp;Analisis_grupo!$B$7))</f>
        <v/>
      </c>
      <c r="T229" s="2" t="str">
        <f aca="false">IF($B229="","",COUNTIFS(Datos_items!$B:$B,$B229,Datos_items!$AA:$AA,T$4,Datos_items!$E:$E,Analisis_grupo!$C$4))</f>
        <v/>
      </c>
      <c r="U229" s="2" t="str">
        <f aca="false">IF($B229="","",COUNTIFS(Datos_items!$B:$B,$B229,Datos_items!$AA:$AA,U$4,Datos_items!$E:$E,Analisis_grupo!$C$4))</f>
        <v/>
      </c>
      <c r="V229" s="2" t="str">
        <f aca="false">IF($B229="","",COUNTIFS(Datos_items!$B:$B,$B229,Datos_items!$AA:$AA,V$4,Datos_items!$E:$E,Analisis_grupo!$C$4))</f>
        <v/>
      </c>
      <c r="W229" s="2" t="str">
        <f aca="false">IF($B229="","",COUNTIFS(Datos_items!$B:$B,$B229,Datos_items!$AA:$AA,W$4,Datos_items!$E:$E,Analisis_grupo!$C$4))</f>
        <v/>
      </c>
      <c r="X229" s="2" t="str">
        <f aca="false">IF($B229="","",COUNTIFS(Datos_items!$B:$B,$B229,Datos_items!$AA:$AA,X$4,Datos_items!$E:$E,Analisis_grupo!$C$4))</f>
        <v/>
      </c>
      <c r="Y229" s="2" t="str">
        <f aca="false">IF($B229="","",COUNTIFS(Datos_items!$B:$B,$B229,Datos_items!$AA:$AA,Y$4,Datos_items!$E:$E,Analisis_grupo!$C$4))</f>
        <v/>
      </c>
      <c r="Z229" s="2" t="str">
        <f aca="false">IF($B229="","",COUNTIFS(Datos_items!$B:$B,$B229,Datos_items!$AA:$AA,Z$4,Datos_items!$E:$E,Analisis_grupo!$C$4))</f>
        <v/>
      </c>
      <c r="AA229" s="2" t="str">
        <f aca="false">IF($B229="","",COUNTIFS(Datos_items!$B:$B,$B229,Datos_items!$AA:$AA,AA$4,Datos_items!$E:$E,Analisis_grupo!$C$4))</f>
        <v/>
      </c>
      <c r="AB229" s="2" t="str">
        <f aca="false">IF($B229="","",COUNTIFS(Datos_items!$B:$B,$B229,Datos_items!$AA:$AA,AB$4,Datos_items!$E:$E,Analisis_grupo!$C$4))</f>
        <v/>
      </c>
      <c r="AC229" s="2" t="str">
        <f aca="false">IF($B229="","",COUNTIFS(Datos_items!$B:$B,$B229,Datos_items!$AA:$AA,AC$4,Datos_items!$E:$E,Analisis_grupo!$C$4))</f>
        <v/>
      </c>
      <c r="AD229" s="2" t="str">
        <f aca="false">IF($B229="","",COUNTIFS(Datos_items!$B:$B,$B229,Datos_items!$AA:$AA,AD$4,Datos_items!$E:$E,Analisis_grupo!$C$4))</f>
        <v/>
      </c>
      <c r="AE229" s="2" t="str">
        <f aca="false">IF($B229="","",COUNTIFS(Datos_items!$B:$B,$B229,Datos_items!$AA:$AA,AE$4,Datos_items!$E:$E,Analisis_grupo!$C$4))</f>
        <v/>
      </c>
      <c r="AF229" s="2" t="str">
        <f aca="false">IF($B229="","",COUNTIFS(Datos_items!$B:$B,$B229,Datos_items!$AA:$AA,AF$4,Datos_items!$E:$E,Analisis_grupo!$C$4))</f>
        <v/>
      </c>
      <c r="AG229" s="2" t="str">
        <f aca="false">IF($B229="","",COUNTIFS(Datos_items!$B:$B,$B229,Datos_items!$AA:$AA,AG$4,Datos_items!$E:$E,Analisis_grupo!$C$4))</f>
        <v/>
      </c>
      <c r="AH229" s="2" t="str">
        <f aca="false">IF($B229="","",COUNTIFS(Datos_items!$B:$B,$B229,Datos_items!$AA:$AA,AH$4,Datos_items!$E:$E,Analisis_grupo!$C$4))</f>
        <v/>
      </c>
      <c r="AI229" s="2" t="str">
        <f aca="false">IF($B229="","",COUNTIFS(Datos_items!$B:$B,$B229,Datos_items!$AA:$AA,AI$4,Datos_items!$E:$E,Analisis_grupo!$C$4))</f>
        <v/>
      </c>
      <c r="AJ229" s="2" t="str">
        <f aca="false">IF($B229="","",COUNTIFS(Datos_items!$B:$B,$B229,Datos_items!$AA:$AA,AJ$4,Datos_items!$E:$E,Analisis_grupo!$C$4))</f>
        <v/>
      </c>
      <c r="AK229" s="2" t="str">
        <f aca="false">IF($B229="","",COUNTIFS(Datos_items!$B:$B,$B229,Datos_items!$AA:$AA,AK$4,Datos_items!$E:$E,Analisis_grupo!$C$4))</f>
        <v/>
      </c>
      <c r="AL229" s="2" t="str">
        <f aca="false">IF($B229="","",COUNTIFS(Datos_items!$B:$B,$B229,Datos_items!$AA:$AA,AL$4,Datos_items!$E:$E,Analisis_grupo!$C$4))</f>
        <v/>
      </c>
      <c r="AM229" s="2" t="str">
        <f aca="false">IF($B229="","",IF(MAX(Y229:AL229)=0,"",INDEX($Y$4:$AL$4,MATCH(MAX(Y229:AL229),Y229:AL229,0))))</f>
        <v/>
      </c>
      <c r="AN229" s="2" t="str">
        <f aca="false">IF($B229="","",COUNTIFS(Datos_problemas!$B:$B,$B229,Datos_problemas!$F:$F,"Práctica"))</f>
        <v/>
      </c>
      <c r="AO229" s="2" t="str">
        <f aca="false">IF($B229="","",SUMIFS(Datos_problemas!$AQ:$AQ,Datos_problemas!$B:$B,$B229,Datos_problemas!$F:$F,"Práctica"))</f>
        <v/>
      </c>
      <c r="AP229" s="2" t="str">
        <f aca="false">IF($B229="","",COUNTIFS(Datos_problemas!$B:$B,$B229,Datos_problemas!$F:$F,"Práctica",Datos_problemas!$AS:$AS,"Sí"))</f>
        <v/>
      </c>
    </row>
    <row r="230" customFormat="false" ht="15" hidden="false" customHeight="false" outlineLevel="0" collapsed="false">
      <c r="A230" s="2" t="n">
        <v>226</v>
      </c>
      <c r="B230" s="2" t="str">
        <f aca="false">IFERROR(INDEX(Datos_problemas!$B:$B,MATCH($A230,Datos_problemas!$AV:$AV,0)),"")</f>
        <v/>
      </c>
      <c r="C230" s="2" t="str">
        <f aca="false">IF($B230="","",INDEX(Datos_problemas!$C:$C,MATCH($A230,Datos_problemas!$AV:$AV,0)))</f>
        <v/>
      </c>
      <c r="D230" s="2" t="str">
        <f aca="false">IF($B230="","",INDEX(Datos_problemas!$D:$D,MATCH($A230,Datos_problemas!$AV:$AV,0)))</f>
        <v/>
      </c>
      <c r="E230" s="2" t="str">
        <f aca="false">IF($B230="","",COUNTIFS(Datos_problemas!$B:$B,$B230,Datos_problemas!$F:$F,"Evaluación"))</f>
        <v/>
      </c>
      <c r="F230" s="20" t="str">
        <f aca="false">IF($B230="","",IFERROR(AVERAGEIFS(Datos_problemas!$AE:$AE,Datos_problemas!$B:$B,$B230,Datos_problemas!$F:$F,"Evaluación"),""))</f>
        <v/>
      </c>
      <c r="G230" s="20" t="str">
        <f aca="false">IF($B230="","",IFERROR(AVERAGEIFS(Datos_problemas!$AE:$AE,Datos_problemas!$B:$B,$B230,Datos_problemas!$F:$F,"Evaluación",Datos_problemas!$E:$E,"Diagnóstico"),""))</f>
        <v/>
      </c>
      <c r="H230" s="20" t="str">
        <f aca="false">IF($B230="","",IFERROR(AVERAGEIFS(Datos_problemas!$AE:$AE,Datos_problemas!$B:$B,$B230,Datos_problemas!$F:$F,"Evaluación",Datos_problemas!$E:$E,"Final"),""))</f>
        <v/>
      </c>
      <c r="I230" s="21" t="str">
        <f aca="false">IF(OR(G230="",H230=""),"",IF(G230&gt;=10,"",(H230-G230)/(10-G230)))</f>
        <v/>
      </c>
      <c r="J230" s="18" t="str">
        <f aca="false">IF($B230="","",IFERROR(SUMIFS(Datos_items!$Z:$Z,Datos_items!$B:$B,$B230,Datos_items!$O:$O,J$4,Datos_items!$E:$E,Analisis_grupo!$C$4)/COUNTIFS(Datos_items!$B:$B,$B230,Datos_items!$O:$O,J$4,Datos_items!$E:$E,Analisis_grupo!$C$4),""))</f>
        <v/>
      </c>
      <c r="K230" s="18" t="str">
        <f aca="false">IF($B230="","",IFERROR(SUMIFS(Datos_items!$Z:$Z,Datos_items!$B:$B,$B230,Datos_items!$O:$O,K$4,Datos_items!$E:$E,Analisis_grupo!$C$4)/COUNTIFS(Datos_items!$B:$B,$B230,Datos_items!$O:$O,K$4,Datos_items!$E:$E,Analisis_grupo!$C$4),""))</f>
        <v/>
      </c>
      <c r="L230" s="18" t="str">
        <f aca="false">IF($B230="","",IFERROR(SUMIFS(Datos_items!$Z:$Z,Datos_items!$B:$B,$B230,Datos_items!$O:$O,L$4,Datos_items!$E:$E,Analisis_grupo!$C$4)/COUNTIFS(Datos_items!$B:$B,$B230,Datos_items!$O:$O,L$4,Datos_items!$E:$E,Analisis_grupo!$C$4),""))</f>
        <v/>
      </c>
      <c r="M230" s="18" t="str">
        <f aca="false">IF($B230="","",IFERROR(SUMIFS(Datos_items!$Z:$Z,Datos_items!$B:$B,$B230,Datos_items!$O:$O,M$4,Datos_items!$E:$E,Analisis_grupo!$C$4)/COUNTIFS(Datos_items!$B:$B,$B230,Datos_items!$O:$O,M$4,Datos_items!$E:$E,Analisis_grupo!$C$4),""))</f>
        <v/>
      </c>
      <c r="N230" s="18" t="str">
        <f aca="false">IF($B230="","",IFERROR(SUMIFS(Datos_items!$Z:$Z,Datos_items!$B:$B,$B230,Datos_items!$O:$O,N$4,Datos_items!$E:$E,Analisis_grupo!$C$4)/COUNTIFS(Datos_items!$B:$B,$B230,Datos_items!$O:$O,N$4,Datos_items!$E:$E,Analisis_grupo!$C$4),""))</f>
        <v/>
      </c>
      <c r="O230" s="18" t="str">
        <f aca="false">IF($B230="","",IFERROR(SUMIFS(Datos_items!$Z:$Z,Datos_items!$B:$B,$B230,Datos_items!$O:$O,O$4,Datos_items!$E:$E,Analisis_grupo!$C$4)/COUNTIFS(Datos_items!$B:$B,$B230,Datos_items!$O:$O,O$4,Datos_items!$E:$E,Analisis_grupo!$C$4),""))</f>
        <v/>
      </c>
      <c r="P230" s="18" t="str">
        <f aca="false">IF($B230="","",IFERROR(SUMIFS(Datos_items!$Z:$Z,Datos_items!$B:$B,$B230,Datos_items!$O:$O,P$4,Datos_items!$E:$E,Analisis_grupo!$C$4)/COUNTIFS(Datos_items!$B:$B,$B230,Datos_items!$O:$O,P$4,Datos_items!$E:$E,Analisis_grupo!$C$4),""))</f>
        <v/>
      </c>
      <c r="Q230" s="18" t="str">
        <f aca="false">IF($B230="","",IFERROR(SUMIFS(Datos_items!$Z:$Z,Datos_items!$B:$B,$B230,Datos_items!$O:$O,Q$4,Datos_items!$E:$E,Analisis_grupo!$C$4)/COUNTIFS(Datos_items!$B:$B,$B230,Datos_items!$O:$O,Q$4,Datos_items!$E:$E,Analisis_grupo!$C$4),""))</f>
        <v/>
      </c>
      <c r="R230" s="2" t="str">
        <f aca="false">IF(COUNT(J230:Q230)=0,"",IF(MIN(J230:Q230)&gt;=Analisis_grupo!$B$7,"(ninguna)",INDEX($J$4:$Q$4,MATCH(MIN(J230:Q230),J230:Q230,0))))</f>
        <v/>
      </c>
      <c r="S230" s="2" t="str">
        <f aca="false">IF($B230="","",COUNTIF(J230:Q230,"&lt;"&amp;Analisis_grupo!$B$7))</f>
        <v/>
      </c>
      <c r="T230" s="2" t="str">
        <f aca="false">IF($B230="","",COUNTIFS(Datos_items!$B:$B,$B230,Datos_items!$AA:$AA,T$4,Datos_items!$E:$E,Analisis_grupo!$C$4))</f>
        <v/>
      </c>
      <c r="U230" s="2" t="str">
        <f aca="false">IF($B230="","",COUNTIFS(Datos_items!$B:$B,$B230,Datos_items!$AA:$AA,U$4,Datos_items!$E:$E,Analisis_grupo!$C$4))</f>
        <v/>
      </c>
      <c r="V230" s="2" t="str">
        <f aca="false">IF($B230="","",COUNTIFS(Datos_items!$B:$B,$B230,Datos_items!$AA:$AA,V$4,Datos_items!$E:$E,Analisis_grupo!$C$4))</f>
        <v/>
      </c>
      <c r="W230" s="2" t="str">
        <f aca="false">IF($B230="","",COUNTIFS(Datos_items!$B:$B,$B230,Datos_items!$AA:$AA,W$4,Datos_items!$E:$E,Analisis_grupo!$C$4))</f>
        <v/>
      </c>
      <c r="X230" s="2" t="str">
        <f aca="false">IF($B230="","",COUNTIFS(Datos_items!$B:$B,$B230,Datos_items!$AA:$AA,X$4,Datos_items!$E:$E,Analisis_grupo!$C$4))</f>
        <v/>
      </c>
      <c r="Y230" s="2" t="str">
        <f aca="false">IF($B230="","",COUNTIFS(Datos_items!$B:$B,$B230,Datos_items!$AA:$AA,Y$4,Datos_items!$E:$E,Analisis_grupo!$C$4))</f>
        <v/>
      </c>
      <c r="Z230" s="2" t="str">
        <f aca="false">IF($B230="","",COUNTIFS(Datos_items!$B:$B,$B230,Datos_items!$AA:$AA,Z$4,Datos_items!$E:$E,Analisis_grupo!$C$4))</f>
        <v/>
      </c>
      <c r="AA230" s="2" t="str">
        <f aca="false">IF($B230="","",COUNTIFS(Datos_items!$B:$B,$B230,Datos_items!$AA:$AA,AA$4,Datos_items!$E:$E,Analisis_grupo!$C$4))</f>
        <v/>
      </c>
      <c r="AB230" s="2" t="str">
        <f aca="false">IF($B230="","",COUNTIFS(Datos_items!$B:$B,$B230,Datos_items!$AA:$AA,AB$4,Datos_items!$E:$E,Analisis_grupo!$C$4))</f>
        <v/>
      </c>
      <c r="AC230" s="2" t="str">
        <f aca="false">IF($B230="","",COUNTIFS(Datos_items!$B:$B,$B230,Datos_items!$AA:$AA,AC$4,Datos_items!$E:$E,Analisis_grupo!$C$4))</f>
        <v/>
      </c>
      <c r="AD230" s="2" t="str">
        <f aca="false">IF($B230="","",COUNTIFS(Datos_items!$B:$B,$B230,Datos_items!$AA:$AA,AD$4,Datos_items!$E:$E,Analisis_grupo!$C$4))</f>
        <v/>
      </c>
      <c r="AE230" s="2" t="str">
        <f aca="false">IF($B230="","",COUNTIFS(Datos_items!$B:$B,$B230,Datos_items!$AA:$AA,AE$4,Datos_items!$E:$E,Analisis_grupo!$C$4))</f>
        <v/>
      </c>
      <c r="AF230" s="2" t="str">
        <f aca="false">IF($B230="","",COUNTIFS(Datos_items!$B:$B,$B230,Datos_items!$AA:$AA,AF$4,Datos_items!$E:$E,Analisis_grupo!$C$4))</f>
        <v/>
      </c>
      <c r="AG230" s="2" t="str">
        <f aca="false">IF($B230="","",COUNTIFS(Datos_items!$B:$B,$B230,Datos_items!$AA:$AA,AG$4,Datos_items!$E:$E,Analisis_grupo!$C$4))</f>
        <v/>
      </c>
      <c r="AH230" s="2" t="str">
        <f aca="false">IF($B230="","",COUNTIFS(Datos_items!$B:$B,$B230,Datos_items!$AA:$AA,AH$4,Datos_items!$E:$E,Analisis_grupo!$C$4))</f>
        <v/>
      </c>
      <c r="AI230" s="2" t="str">
        <f aca="false">IF($B230="","",COUNTIFS(Datos_items!$B:$B,$B230,Datos_items!$AA:$AA,AI$4,Datos_items!$E:$E,Analisis_grupo!$C$4))</f>
        <v/>
      </c>
      <c r="AJ230" s="2" t="str">
        <f aca="false">IF($B230="","",COUNTIFS(Datos_items!$B:$B,$B230,Datos_items!$AA:$AA,AJ$4,Datos_items!$E:$E,Analisis_grupo!$C$4))</f>
        <v/>
      </c>
      <c r="AK230" s="2" t="str">
        <f aca="false">IF($B230="","",COUNTIFS(Datos_items!$B:$B,$B230,Datos_items!$AA:$AA,AK$4,Datos_items!$E:$E,Analisis_grupo!$C$4))</f>
        <v/>
      </c>
      <c r="AL230" s="2" t="str">
        <f aca="false">IF($B230="","",COUNTIFS(Datos_items!$B:$B,$B230,Datos_items!$AA:$AA,AL$4,Datos_items!$E:$E,Analisis_grupo!$C$4))</f>
        <v/>
      </c>
      <c r="AM230" s="2" t="str">
        <f aca="false">IF($B230="","",IF(MAX(Y230:AL230)=0,"",INDEX($Y$4:$AL$4,MATCH(MAX(Y230:AL230),Y230:AL230,0))))</f>
        <v/>
      </c>
      <c r="AN230" s="2" t="str">
        <f aca="false">IF($B230="","",COUNTIFS(Datos_problemas!$B:$B,$B230,Datos_problemas!$F:$F,"Práctica"))</f>
        <v/>
      </c>
      <c r="AO230" s="2" t="str">
        <f aca="false">IF($B230="","",SUMIFS(Datos_problemas!$AQ:$AQ,Datos_problemas!$B:$B,$B230,Datos_problemas!$F:$F,"Práctica"))</f>
        <v/>
      </c>
      <c r="AP230" s="2" t="str">
        <f aca="false">IF($B230="","",COUNTIFS(Datos_problemas!$B:$B,$B230,Datos_problemas!$F:$F,"Práctica",Datos_problemas!$AS:$AS,"Sí"))</f>
        <v/>
      </c>
    </row>
    <row r="231" customFormat="false" ht="15" hidden="false" customHeight="false" outlineLevel="0" collapsed="false">
      <c r="A231" s="2" t="n">
        <v>227</v>
      </c>
      <c r="B231" s="2" t="str">
        <f aca="false">IFERROR(INDEX(Datos_problemas!$B:$B,MATCH($A231,Datos_problemas!$AV:$AV,0)),"")</f>
        <v/>
      </c>
      <c r="C231" s="2" t="str">
        <f aca="false">IF($B231="","",INDEX(Datos_problemas!$C:$C,MATCH($A231,Datos_problemas!$AV:$AV,0)))</f>
        <v/>
      </c>
      <c r="D231" s="2" t="str">
        <f aca="false">IF($B231="","",INDEX(Datos_problemas!$D:$D,MATCH($A231,Datos_problemas!$AV:$AV,0)))</f>
        <v/>
      </c>
      <c r="E231" s="2" t="str">
        <f aca="false">IF($B231="","",COUNTIFS(Datos_problemas!$B:$B,$B231,Datos_problemas!$F:$F,"Evaluación"))</f>
        <v/>
      </c>
      <c r="F231" s="20" t="str">
        <f aca="false">IF($B231="","",IFERROR(AVERAGEIFS(Datos_problemas!$AE:$AE,Datos_problemas!$B:$B,$B231,Datos_problemas!$F:$F,"Evaluación"),""))</f>
        <v/>
      </c>
      <c r="G231" s="20" t="str">
        <f aca="false">IF($B231="","",IFERROR(AVERAGEIFS(Datos_problemas!$AE:$AE,Datos_problemas!$B:$B,$B231,Datos_problemas!$F:$F,"Evaluación",Datos_problemas!$E:$E,"Diagnóstico"),""))</f>
        <v/>
      </c>
      <c r="H231" s="20" t="str">
        <f aca="false">IF($B231="","",IFERROR(AVERAGEIFS(Datos_problemas!$AE:$AE,Datos_problemas!$B:$B,$B231,Datos_problemas!$F:$F,"Evaluación",Datos_problemas!$E:$E,"Final"),""))</f>
        <v/>
      </c>
      <c r="I231" s="21" t="str">
        <f aca="false">IF(OR(G231="",H231=""),"",IF(G231&gt;=10,"",(H231-G231)/(10-G231)))</f>
        <v/>
      </c>
      <c r="J231" s="18" t="str">
        <f aca="false">IF($B231="","",IFERROR(SUMIFS(Datos_items!$Z:$Z,Datos_items!$B:$B,$B231,Datos_items!$O:$O,J$4,Datos_items!$E:$E,Analisis_grupo!$C$4)/COUNTIFS(Datos_items!$B:$B,$B231,Datos_items!$O:$O,J$4,Datos_items!$E:$E,Analisis_grupo!$C$4),""))</f>
        <v/>
      </c>
      <c r="K231" s="18" t="str">
        <f aca="false">IF($B231="","",IFERROR(SUMIFS(Datos_items!$Z:$Z,Datos_items!$B:$B,$B231,Datos_items!$O:$O,K$4,Datos_items!$E:$E,Analisis_grupo!$C$4)/COUNTIFS(Datos_items!$B:$B,$B231,Datos_items!$O:$O,K$4,Datos_items!$E:$E,Analisis_grupo!$C$4),""))</f>
        <v/>
      </c>
      <c r="L231" s="18" t="str">
        <f aca="false">IF($B231="","",IFERROR(SUMIFS(Datos_items!$Z:$Z,Datos_items!$B:$B,$B231,Datos_items!$O:$O,L$4,Datos_items!$E:$E,Analisis_grupo!$C$4)/COUNTIFS(Datos_items!$B:$B,$B231,Datos_items!$O:$O,L$4,Datos_items!$E:$E,Analisis_grupo!$C$4),""))</f>
        <v/>
      </c>
      <c r="M231" s="18" t="str">
        <f aca="false">IF($B231="","",IFERROR(SUMIFS(Datos_items!$Z:$Z,Datos_items!$B:$B,$B231,Datos_items!$O:$O,M$4,Datos_items!$E:$E,Analisis_grupo!$C$4)/COUNTIFS(Datos_items!$B:$B,$B231,Datos_items!$O:$O,M$4,Datos_items!$E:$E,Analisis_grupo!$C$4),""))</f>
        <v/>
      </c>
      <c r="N231" s="18" t="str">
        <f aca="false">IF($B231="","",IFERROR(SUMIFS(Datos_items!$Z:$Z,Datos_items!$B:$B,$B231,Datos_items!$O:$O,N$4,Datos_items!$E:$E,Analisis_grupo!$C$4)/COUNTIFS(Datos_items!$B:$B,$B231,Datos_items!$O:$O,N$4,Datos_items!$E:$E,Analisis_grupo!$C$4),""))</f>
        <v/>
      </c>
      <c r="O231" s="18" t="str">
        <f aca="false">IF($B231="","",IFERROR(SUMIFS(Datos_items!$Z:$Z,Datos_items!$B:$B,$B231,Datos_items!$O:$O,O$4,Datos_items!$E:$E,Analisis_grupo!$C$4)/COUNTIFS(Datos_items!$B:$B,$B231,Datos_items!$O:$O,O$4,Datos_items!$E:$E,Analisis_grupo!$C$4),""))</f>
        <v/>
      </c>
      <c r="P231" s="18" t="str">
        <f aca="false">IF($B231="","",IFERROR(SUMIFS(Datos_items!$Z:$Z,Datos_items!$B:$B,$B231,Datos_items!$O:$O,P$4,Datos_items!$E:$E,Analisis_grupo!$C$4)/COUNTIFS(Datos_items!$B:$B,$B231,Datos_items!$O:$O,P$4,Datos_items!$E:$E,Analisis_grupo!$C$4),""))</f>
        <v/>
      </c>
      <c r="Q231" s="18" t="str">
        <f aca="false">IF($B231="","",IFERROR(SUMIFS(Datos_items!$Z:$Z,Datos_items!$B:$B,$B231,Datos_items!$O:$O,Q$4,Datos_items!$E:$E,Analisis_grupo!$C$4)/COUNTIFS(Datos_items!$B:$B,$B231,Datos_items!$O:$O,Q$4,Datos_items!$E:$E,Analisis_grupo!$C$4),""))</f>
        <v/>
      </c>
      <c r="R231" s="2" t="str">
        <f aca="false">IF(COUNT(J231:Q231)=0,"",IF(MIN(J231:Q231)&gt;=Analisis_grupo!$B$7,"(ninguna)",INDEX($J$4:$Q$4,MATCH(MIN(J231:Q231),J231:Q231,0))))</f>
        <v/>
      </c>
      <c r="S231" s="2" t="str">
        <f aca="false">IF($B231="","",COUNTIF(J231:Q231,"&lt;"&amp;Analisis_grupo!$B$7))</f>
        <v/>
      </c>
      <c r="T231" s="2" t="str">
        <f aca="false">IF($B231="","",COUNTIFS(Datos_items!$B:$B,$B231,Datos_items!$AA:$AA,T$4,Datos_items!$E:$E,Analisis_grupo!$C$4))</f>
        <v/>
      </c>
      <c r="U231" s="2" t="str">
        <f aca="false">IF($B231="","",COUNTIFS(Datos_items!$B:$B,$B231,Datos_items!$AA:$AA,U$4,Datos_items!$E:$E,Analisis_grupo!$C$4))</f>
        <v/>
      </c>
      <c r="V231" s="2" t="str">
        <f aca="false">IF($B231="","",COUNTIFS(Datos_items!$B:$B,$B231,Datos_items!$AA:$AA,V$4,Datos_items!$E:$E,Analisis_grupo!$C$4))</f>
        <v/>
      </c>
      <c r="W231" s="2" t="str">
        <f aca="false">IF($B231="","",COUNTIFS(Datos_items!$B:$B,$B231,Datos_items!$AA:$AA,W$4,Datos_items!$E:$E,Analisis_grupo!$C$4))</f>
        <v/>
      </c>
      <c r="X231" s="2" t="str">
        <f aca="false">IF($B231="","",COUNTIFS(Datos_items!$B:$B,$B231,Datos_items!$AA:$AA,X$4,Datos_items!$E:$E,Analisis_grupo!$C$4))</f>
        <v/>
      </c>
      <c r="Y231" s="2" t="str">
        <f aca="false">IF($B231="","",COUNTIFS(Datos_items!$B:$B,$B231,Datos_items!$AA:$AA,Y$4,Datos_items!$E:$E,Analisis_grupo!$C$4))</f>
        <v/>
      </c>
      <c r="Z231" s="2" t="str">
        <f aca="false">IF($B231="","",COUNTIFS(Datos_items!$B:$B,$B231,Datos_items!$AA:$AA,Z$4,Datos_items!$E:$E,Analisis_grupo!$C$4))</f>
        <v/>
      </c>
      <c r="AA231" s="2" t="str">
        <f aca="false">IF($B231="","",COUNTIFS(Datos_items!$B:$B,$B231,Datos_items!$AA:$AA,AA$4,Datos_items!$E:$E,Analisis_grupo!$C$4))</f>
        <v/>
      </c>
      <c r="AB231" s="2" t="str">
        <f aca="false">IF($B231="","",COUNTIFS(Datos_items!$B:$B,$B231,Datos_items!$AA:$AA,AB$4,Datos_items!$E:$E,Analisis_grupo!$C$4))</f>
        <v/>
      </c>
      <c r="AC231" s="2" t="str">
        <f aca="false">IF($B231="","",COUNTIFS(Datos_items!$B:$B,$B231,Datos_items!$AA:$AA,AC$4,Datos_items!$E:$E,Analisis_grupo!$C$4))</f>
        <v/>
      </c>
      <c r="AD231" s="2" t="str">
        <f aca="false">IF($B231="","",COUNTIFS(Datos_items!$B:$B,$B231,Datos_items!$AA:$AA,AD$4,Datos_items!$E:$E,Analisis_grupo!$C$4))</f>
        <v/>
      </c>
      <c r="AE231" s="2" t="str">
        <f aca="false">IF($B231="","",COUNTIFS(Datos_items!$B:$B,$B231,Datos_items!$AA:$AA,AE$4,Datos_items!$E:$E,Analisis_grupo!$C$4))</f>
        <v/>
      </c>
      <c r="AF231" s="2" t="str">
        <f aca="false">IF($B231="","",COUNTIFS(Datos_items!$B:$B,$B231,Datos_items!$AA:$AA,AF$4,Datos_items!$E:$E,Analisis_grupo!$C$4))</f>
        <v/>
      </c>
      <c r="AG231" s="2" t="str">
        <f aca="false">IF($B231="","",COUNTIFS(Datos_items!$B:$B,$B231,Datos_items!$AA:$AA,AG$4,Datos_items!$E:$E,Analisis_grupo!$C$4))</f>
        <v/>
      </c>
      <c r="AH231" s="2" t="str">
        <f aca="false">IF($B231="","",COUNTIFS(Datos_items!$B:$B,$B231,Datos_items!$AA:$AA,AH$4,Datos_items!$E:$E,Analisis_grupo!$C$4))</f>
        <v/>
      </c>
      <c r="AI231" s="2" t="str">
        <f aca="false">IF($B231="","",COUNTIFS(Datos_items!$B:$B,$B231,Datos_items!$AA:$AA,AI$4,Datos_items!$E:$E,Analisis_grupo!$C$4))</f>
        <v/>
      </c>
      <c r="AJ231" s="2" t="str">
        <f aca="false">IF($B231="","",COUNTIFS(Datos_items!$B:$B,$B231,Datos_items!$AA:$AA,AJ$4,Datos_items!$E:$E,Analisis_grupo!$C$4))</f>
        <v/>
      </c>
      <c r="AK231" s="2" t="str">
        <f aca="false">IF($B231="","",COUNTIFS(Datos_items!$B:$B,$B231,Datos_items!$AA:$AA,AK$4,Datos_items!$E:$E,Analisis_grupo!$C$4))</f>
        <v/>
      </c>
      <c r="AL231" s="2" t="str">
        <f aca="false">IF($B231="","",COUNTIFS(Datos_items!$B:$B,$B231,Datos_items!$AA:$AA,AL$4,Datos_items!$E:$E,Analisis_grupo!$C$4))</f>
        <v/>
      </c>
      <c r="AM231" s="2" t="str">
        <f aca="false">IF($B231="","",IF(MAX(Y231:AL231)=0,"",INDEX($Y$4:$AL$4,MATCH(MAX(Y231:AL231),Y231:AL231,0))))</f>
        <v/>
      </c>
      <c r="AN231" s="2" t="str">
        <f aca="false">IF($B231="","",COUNTIFS(Datos_problemas!$B:$B,$B231,Datos_problemas!$F:$F,"Práctica"))</f>
        <v/>
      </c>
      <c r="AO231" s="2" t="str">
        <f aca="false">IF($B231="","",SUMIFS(Datos_problemas!$AQ:$AQ,Datos_problemas!$B:$B,$B231,Datos_problemas!$F:$F,"Práctica"))</f>
        <v/>
      </c>
      <c r="AP231" s="2" t="str">
        <f aca="false">IF($B231="","",COUNTIFS(Datos_problemas!$B:$B,$B231,Datos_problemas!$F:$F,"Práctica",Datos_problemas!$AS:$AS,"Sí"))</f>
        <v/>
      </c>
    </row>
    <row r="232" customFormat="false" ht="15" hidden="false" customHeight="false" outlineLevel="0" collapsed="false">
      <c r="A232" s="2" t="n">
        <v>228</v>
      </c>
      <c r="B232" s="2" t="str">
        <f aca="false">IFERROR(INDEX(Datos_problemas!$B:$B,MATCH($A232,Datos_problemas!$AV:$AV,0)),"")</f>
        <v/>
      </c>
      <c r="C232" s="2" t="str">
        <f aca="false">IF($B232="","",INDEX(Datos_problemas!$C:$C,MATCH($A232,Datos_problemas!$AV:$AV,0)))</f>
        <v/>
      </c>
      <c r="D232" s="2" t="str">
        <f aca="false">IF($B232="","",INDEX(Datos_problemas!$D:$D,MATCH($A232,Datos_problemas!$AV:$AV,0)))</f>
        <v/>
      </c>
      <c r="E232" s="2" t="str">
        <f aca="false">IF($B232="","",COUNTIFS(Datos_problemas!$B:$B,$B232,Datos_problemas!$F:$F,"Evaluación"))</f>
        <v/>
      </c>
      <c r="F232" s="20" t="str">
        <f aca="false">IF($B232="","",IFERROR(AVERAGEIFS(Datos_problemas!$AE:$AE,Datos_problemas!$B:$B,$B232,Datos_problemas!$F:$F,"Evaluación"),""))</f>
        <v/>
      </c>
      <c r="G232" s="20" t="str">
        <f aca="false">IF($B232="","",IFERROR(AVERAGEIFS(Datos_problemas!$AE:$AE,Datos_problemas!$B:$B,$B232,Datos_problemas!$F:$F,"Evaluación",Datos_problemas!$E:$E,"Diagnóstico"),""))</f>
        <v/>
      </c>
      <c r="H232" s="20" t="str">
        <f aca="false">IF($B232="","",IFERROR(AVERAGEIFS(Datos_problemas!$AE:$AE,Datos_problemas!$B:$B,$B232,Datos_problemas!$F:$F,"Evaluación",Datos_problemas!$E:$E,"Final"),""))</f>
        <v/>
      </c>
      <c r="I232" s="21" t="str">
        <f aca="false">IF(OR(G232="",H232=""),"",IF(G232&gt;=10,"",(H232-G232)/(10-G232)))</f>
        <v/>
      </c>
      <c r="J232" s="18" t="str">
        <f aca="false">IF($B232="","",IFERROR(SUMIFS(Datos_items!$Z:$Z,Datos_items!$B:$B,$B232,Datos_items!$O:$O,J$4,Datos_items!$E:$E,Analisis_grupo!$C$4)/COUNTIFS(Datos_items!$B:$B,$B232,Datos_items!$O:$O,J$4,Datos_items!$E:$E,Analisis_grupo!$C$4),""))</f>
        <v/>
      </c>
      <c r="K232" s="18" t="str">
        <f aca="false">IF($B232="","",IFERROR(SUMIFS(Datos_items!$Z:$Z,Datos_items!$B:$B,$B232,Datos_items!$O:$O,K$4,Datos_items!$E:$E,Analisis_grupo!$C$4)/COUNTIFS(Datos_items!$B:$B,$B232,Datos_items!$O:$O,K$4,Datos_items!$E:$E,Analisis_grupo!$C$4),""))</f>
        <v/>
      </c>
      <c r="L232" s="18" t="str">
        <f aca="false">IF($B232="","",IFERROR(SUMIFS(Datos_items!$Z:$Z,Datos_items!$B:$B,$B232,Datos_items!$O:$O,L$4,Datos_items!$E:$E,Analisis_grupo!$C$4)/COUNTIFS(Datos_items!$B:$B,$B232,Datos_items!$O:$O,L$4,Datos_items!$E:$E,Analisis_grupo!$C$4),""))</f>
        <v/>
      </c>
      <c r="M232" s="18" t="str">
        <f aca="false">IF($B232="","",IFERROR(SUMIFS(Datos_items!$Z:$Z,Datos_items!$B:$B,$B232,Datos_items!$O:$O,M$4,Datos_items!$E:$E,Analisis_grupo!$C$4)/COUNTIFS(Datos_items!$B:$B,$B232,Datos_items!$O:$O,M$4,Datos_items!$E:$E,Analisis_grupo!$C$4),""))</f>
        <v/>
      </c>
      <c r="N232" s="18" t="str">
        <f aca="false">IF($B232="","",IFERROR(SUMIFS(Datos_items!$Z:$Z,Datos_items!$B:$B,$B232,Datos_items!$O:$O,N$4,Datos_items!$E:$E,Analisis_grupo!$C$4)/COUNTIFS(Datos_items!$B:$B,$B232,Datos_items!$O:$O,N$4,Datos_items!$E:$E,Analisis_grupo!$C$4),""))</f>
        <v/>
      </c>
      <c r="O232" s="18" t="str">
        <f aca="false">IF($B232="","",IFERROR(SUMIFS(Datos_items!$Z:$Z,Datos_items!$B:$B,$B232,Datos_items!$O:$O,O$4,Datos_items!$E:$E,Analisis_grupo!$C$4)/COUNTIFS(Datos_items!$B:$B,$B232,Datos_items!$O:$O,O$4,Datos_items!$E:$E,Analisis_grupo!$C$4),""))</f>
        <v/>
      </c>
      <c r="P232" s="18" t="str">
        <f aca="false">IF($B232="","",IFERROR(SUMIFS(Datos_items!$Z:$Z,Datos_items!$B:$B,$B232,Datos_items!$O:$O,P$4,Datos_items!$E:$E,Analisis_grupo!$C$4)/COUNTIFS(Datos_items!$B:$B,$B232,Datos_items!$O:$O,P$4,Datos_items!$E:$E,Analisis_grupo!$C$4),""))</f>
        <v/>
      </c>
      <c r="Q232" s="18" t="str">
        <f aca="false">IF($B232="","",IFERROR(SUMIFS(Datos_items!$Z:$Z,Datos_items!$B:$B,$B232,Datos_items!$O:$O,Q$4,Datos_items!$E:$E,Analisis_grupo!$C$4)/COUNTIFS(Datos_items!$B:$B,$B232,Datos_items!$O:$O,Q$4,Datos_items!$E:$E,Analisis_grupo!$C$4),""))</f>
        <v/>
      </c>
      <c r="R232" s="2" t="str">
        <f aca="false">IF(COUNT(J232:Q232)=0,"",IF(MIN(J232:Q232)&gt;=Analisis_grupo!$B$7,"(ninguna)",INDEX($J$4:$Q$4,MATCH(MIN(J232:Q232),J232:Q232,0))))</f>
        <v/>
      </c>
      <c r="S232" s="2" t="str">
        <f aca="false">IF($B232="","",COUNTIF(J232:Q232,"&lt;"&amp;Analisis_grupo!$B$7))</f>
        <v/>
      </c>
      <c r="T232" s="2" t="str">
        <f aca="false">IF($B232="","",COUNTIFS(Datos_items!$B:$B,$B232,Datos_items!$AA:$AA,T$4,Datos_items!$E:$E,Analisis_grupo!$C$4))</f>
        <v/>
      </c>
      <c r="U232" s="2" t="str">
        <f aca="false">IF($B232="","",COUNTIFS(Datos_items!$B:$B,$B232,Datos_items!$AA:$AA,U$4,Datos_items!$E:$E,Analisis_grupo!$C$4))</f>
        <v/>
      </c>
      <c r="V232" s="2" t="str">
        <f aca="false">IF($B232="","",COUNTIFS(Datos_items!$B:$B,$B232,Datos_items!$AA:$AA,V$4,Datos_items!$E:$E,Analisis_grupo!$C$4))</f>
        <v/>
      </c>
      <c r="W232" s="2" t="str">
        <f aca="false">IF($B232="","",COUNTIFS(Datos_items!$B:$B,$B232,Datos_items!$AA:$AA,W$4,Datos_items!$E:$E,Analisis_grupo!$C$4))</f>
        <v/>
      </c>
      <c r="X232" s="2" t="str">
        <f aca="false">IF($B232="","",COUNTIFS(Datos_items!$B:$B,$B232,Datos_items!$AA:$AA,X$4,Datos_items!$E:$E,Analisis_grupo!$C$4))</f>
        <v/>
      </c>
      <c r="Y232" s="2" t="str">
        <f aca="false">IF($B232="","",COUNTIFS(Datos_items!$B:$B,$B232,Datos_items!$AA:$AA,Y$4,Datos_items!$E:$E,Analisis_grupo!$C$4))</f>
        <v/>
      </c>
      <c r="Z232" s="2" t="str">
        <f aca="false">IF($B232="","",COUNTIFS(Datos_items!$B:$B,$B232,Datos_items!$AA:$AA,Z$4,Datos_items!$E:$E,Analisis_grupo!$C$4))</f>
        <v/>
      </c>
      <c r="AA232" s="2" t="str">
        <f aca="false">IF($B232="","",COUNTIFS(Datos_items!$B:$B,$B232,Datos_items!$AA:$AA,AA$4,Datos_items!$E:$E,Analisis_grupo!$C$4))</f>
        <v/>
      </c>
      <c r="AB232" s="2" t="str">
        <f aca="false">IF($B232="","",COUNTIFS(Datos_items!$B:$B,$B232,Datos_items!$AA:$AA,AB$4,Datos_items!$E:$E,Analisis_grupo!$C$4))</f>
        <v/>
      </c>
      <c r="AC232" s="2" t="str">
        <f aca="false">IF($B232="","",COUNTIFS(Datos_items!$B:$B,$B232,Datos_items!$AA:$AA,AC$4,Datos_items!$E:$E,Analisis_grupo!$C$4))</f>
        <v/>
      </c>
      <c r="AD232" s="2" t="str">
        <f aca="false">IF($B232="","",COUNTIFS(Datos_items!$B:$B,$B232,Datos_items!$AA:$AA,AD$4,Datos_items!$E:$E,Analisis_grupo!$C$4))</f>
        <v/>
      </c>
      <c r="AE232" s="2" t="str">
        <f aca="false">IF($B232="","",COUNTIFS(Datos_items!$B:$B,$B232,Datos_items!$AA:$AA,AE$4,Datos_items!$E:$E,Analisis_grupo!$C$4))</f>
        <v/>
      </c>
      <c r="AF232" s="2" t="str">
        <f aca="false">IF($B232="","",COUNTIFS(Datos_items!$B:$B,$B232,Datos_items!$AA:$AA,AF$4,Datos_items!$E:$E,Analisis_grupo!$C$4))</f>
        <v/>
      </c>
      <c r="AG232" s="2" t="str">
        <f aca="false">IF($B232="","",COUNTIFS(Datos_items!$B:$B,$B232,Datos_items!$AA:$AA,AG$4,Datos_items!$E:$E,Analisis_grupo!$C$4))</f>
        <v/>
      </c>
      <c r="AH232" s="2" t="str">
        <f aca="false">IF($B232="","",COUNTIFS(Datos_items!$B:$B,$B232,Datos_items!$AA:$AA,AH$4,Datos_items!$E:$E,Analisis_grupo!$C$4))</f>
        <v/>
      </c>
      <c r="AI232" s="2" t="str">
        <f aca="false">IF($B232="","",COUNTIFS(Datos_items!$B:$B,$B232,Datos_items!$AA:$AA,AI$4,Datos_items!$E:$E,Analisis_grupo!$C$4))</f>
        <v/>
      </c>
      <c r="AJ232" s="2" t="str">
        <f aca="false">IF($B232="","",COUNTIFS(Datos_items!$B:$B,$B232,Datos_items!$AA:$AA,AJ$4,Datos_items!$E:$E,Analisis_grupo!$C$4))</f>
        <v/>
      </c>
      <c r="AK232" s="2" t="str">
        <f aca="false">IF($B232="","",COUNTIFS(Datos_items!$B:$B,$B232,Datos_items!$AA:$AA,AK$4,Datos_items!$E:$E,Analisis_grupo!$C$4))</f>
        <v/>
      </c>
      <c r="AL232" s="2" t="str">
        <f aca="false">IF($B232="","",COUNTIFS(Datos_items!$B:$B,$B232,Datos_items!$AA:$AA,AL$4,Datos_items!$E:$E,Analisis_grupo!$C$4))</f>
        <v/>
      </c>
      <c r="AM232" s="2" t="str">
        <f aca="false">IF($B232="","",IF(MAX(Y232:AL232)=0,"",INDEX($Y$4:$AL$4,MATCH(MAX(Y232:AL232),Y232:AL232,0))))</f>
        <v/>
      </c>
      <c r="AN232" s="2" t="str">
        <f aca="false">IF($B232="","",COUNTIFS(Datos_problemas!$B:$B,$B232,Datos_problemas!$F:$F,"Práctica"))</f>
        <v/>
      </c>
      <c r="AO232" s="2" t="str">
        <f aca="false">IF($B232="","",SUMIFS(Datos_problemas!$AQ:$AQ,Datos_problemas!$B:$B,$B232,Datos_problemas!$F:$F,"Práctica"))</f>
        <v/>
      </c>
      <c r="AP232" s="2" t="str">
        <f aca="false">IF($B232="","",COUNTIFS(Datos_problemas!$B:$B,$B232,Datos_problemas!$F:$F,"Práctica",Datos_problemas!$AS:$AS,"Sí"))</f>
        <v/>
      </c>
    </row>
    <row r="233" customFormat="false" ht="15" hidden="false" customHeight="false" outlineLevel="0" collapsed="false">
      <c r="A233" s="2" t="n">
        <v>229</v>
      </c>
      <c r="B233" s="2" t="str">
        <f aca="false">IFERROR(INDEX(Datos_problemas!$B:$B,MATCH($A233,Datos_problemas!$AV:$AV,0)),"")</f>
        <v/>
      </c>
      <c r="C233" s="2" t="str">
        <f aca="false">IF($B233="","",INDEX(Datos_problemas!$C:$C,MATCH($A233,Datos_problemas!$AV:$AV,0)))</f>
        <v/>
      </c>
      <c r="D233" s="2" t="str">
        <f aca="false">IF($B233="","",INDEX(Datos_problemas!$D:$D,MATCH($A233,Datos_problemas!$AV:$AV,0)))</f>
        <v/>
      </c>
      <c r="E233" s="2" t="str">
        <f aca="false">IF($B233="","",COUNTIFS(Datos_problemas!$B:$B,$B233,Datos_problemas!$F:$F,"Evaluación"))</f>
        <v/>
      </c>
      <c r="F233" s="20" t="str">
        <f aca="false">IF($B233="","",IFERROR(AVERAGEIFS(Datos_problemas!$AE:$AE,Datos_problemas!$B:$B,$B233,Datos_problemas!$F:$F,"Evaluación"),""))</f>
        <v/>
      </c>
      <c r="G233" s="20" t="str">
        <f aca="false">IF($B233="","",IFERROR(AVERAGEIFS(Datos_problemas!$AE:$AE,Datos_problemas!$B:$B,$B233,Datos_problemas!$F:$F,"Evaluación",Datos_problemas!$E:$E,"Diagnóstico"),""))</f>
        <v/>
      </c>
      <c r="H233" s="20" t="str">
        <f aca="false">IF($B233="","",IFERROR(AVERAGEIFS(Datos_problemas!$AE:$AE,Datos_problemas!$B:$B,$B233,Datos_problemas!$F:$F,"Evaluación",Datos_problemas!$E:$E,"Final"),""))</f>
        <v/>
      </c>
      <c r="I233" s="21" t="str">
        <f aca="false">IF(OR(G233="",H233=""),"",IF(G233&gt;=10,"",(H233-G233)/(10-G233)))</f>
        <v/>
      </c>
      <c r="J233" s="18" t="str">
        <f aca="false">IF($B233="","",IFERROR(SUMIFS(Datos_items!$Z:$Z,Datos_items!$B:$B,$B233,Datos_items!$O:$O,J$4,Datos_items!$E:$E,Analisis_grupo!$C$4)/COUNTIFS(Datos_items!$B:$B,$B233,Datos_items!$O:$O,J$4,Datos_items!$E:$E,Analisis_grupo!$C$4),""))</f>
        <v/>
      </c>
      <c r="K233" s="18" t="str">
        <f aca="false">IF($B233="","",IFERROR(SUMIFS(Datos_items!$Z:$Z,Datos_items!$B:$B,$B233,Datos_items!$O:$O,K$4,Datos_items!$E:$E,Analisis_grupo!$C$4)/COUNTIFS(Datos_items!$B:$B,$B233,Datos_items!$O:$O,K$4,Datos_items!$E:$E,Analisis_grupo!$C$4),""))</f>
        <v/>
      </c>
      <c r="L233" s="18" t="str">
        <f aca="false">IF($B233="","",IFERROR(SUMIFS(Datos_items!$Z:$Z,Datos_items!$B:$B,$B233,Datos_items!$O:$O,L$4,Datos_items!$E:$E,Analisis_grupo!$C$4)/COUNTIFS(Datos_items!$B:$B,$B233,Datos_items!$O:$O,L$4,Datos_items!$E:$E,Analisis_grupo!$C$4),""))</f>
        <v/>
      </c>
      <c r="M233" s="18" t="str">
        <f aca="false">IF($B233="","",IFERROR(SUMIFS(Datos_items!$Z:$Z,Datos_items!$B:$B,$B233,Datos_items!$O:$O,M$4,Datos_items!$E:$E,Analisis_grupo!$C$4)/COUNTIFS(Datos_items!$B:$B,$B233,Datos_items!$O:$O,M$4,Datos_items!$E:$E,Analisis_grupo!$C$4),""))</f>
        <v/>
      </c>
      <c r="N233" s="18" t="str">
        <f aca="false">IF($B233="","",IFERROR(SUMIFS(Datos_items!$Z:$Z,Datos_items!$B:$B,$B233,Datos_items!$O:$O,N$4,Datos_items!$E:$E,Analisis_grupo!$C$4)/COUNTIFS(Datos_items!$B:$B,$B233,Datos_items!$O:$O,N$4,Datos_items!$E:$E,Analisis_grupo!$C$4),""))</f>
        <v/>
      </c>
      <c r="O233" s="18" t="str">
        <f aca="false">IF($B233="","",IFERROR(SUMIFS(Datos_items!$Z:$Z,Datos_items!$B:$B,$B233,Datos_items!$O:$O,O$4,Datos_items!$E:$E,Analisis_grupo!$C$4)/COUNTIFS(Datos_items!$B:$B,$B233,Datos_items!$O:$O,O$4,Datos_items!$E:$E,Analisis_grupo!$C$4),""))</f>
        <v/>
      </c>
      <c r="P233" s="18" t="str">
        <f aca="false">IF($B233="","",IFERROR(SUMIFS(Datos_items!$Z:$Z,Datos_items!$B:$B,$B233,Datos_items!$O:$O,P$4,Datos_items!$E:$E,Analisis_grupo!$C$4)/COUNTIFS(Datos_items!$B:$B,$B233,Datos_items!$O:$O,P$4,Datos_items!$E:$E,Analisis_grupo!$C$4),""))</f>
        <v/>
      </c>
      <c r="Q233" s="18" t="str">
        <f aca="false">IF($B233="","",IFERROR(SUMIFS(Datos_items!$Z:$Z,Datos_items!$B:$B,$B233,Datos_items!$O:$O,Q$4,Datos_items!$E:$E,Analisis_grupo!$C$4)/COUNTIFS(Datos_items!$B:$B,$B233,Datos_items!$O:$O,Q$4,Datos_items!$E:$E,Analisis_grupo!$C$4),""))</f>
        <v/>
      </c>
      <c r="R233" s="2" t="str">
        <f aca="false">IF(COUNT(J233:Q233)=0,"",IF(MIN(J233:Q233)&gt;=Analisis_grupo!$B$7,"(ninguna)",INDEX($J$4:$Q$4,MATCH(MIN(J233:Q233),J233:Q233,0))))</f>
        <v/>
      </c>
      <c r="S233" s="2" t="str">
        <f aca="false">IF($B233="","",COUNTIF(J233:Q233,"&lt;"&amp;Analisis_grupo!$B$7))</f>
        <v/>
      </c>
      <c r="T233" s="2" t="str">
        <f aca="false">IF($B233="","",COUNTIFS(Datos_items!$B:$B,$B233,Datos_items!$AA:$AA,T$4,Datos_items!$E:$E,Analisis_grupo!$C$4))</f>
        <v/>
      </c>
      <c r="U233" s="2" t="str">
        <f aca="false">IF($B233="","",COUNTIFS(Datos_items!$B:$B,$B233,Datos_items!$AA:$AA,U$4,Datos_items!$E:$E,Analisis_grupo!$C$4))</f>
        <v/>
      </c>
      <c r="V233" s="2" t="str">
        <f aca="false">IF($B233="","",COUNTIFS(Datos_items!$B:$B,$B233,Datos_items!$AA:$AA,V$4,Datos_items!$E:$E,Analisis_grupo!$C$4))</f>
        <v/>
      </c>
      <c r="W233" s="2" t="str">
        <f aca="false">IF($B233="","",COUNTIFS(Datos_items!$B:$B,$B233,Datos_items!$AA:$AA,W$4,Datos_items!$E:$E,Analisis_grupo!$C$4))</f>
        <v/>
      </c>
      <c r="X233" s="2" t="str">
        <f aca="false">IF($B233="","",COUNTIFS(Datos_items!$B:$B,$B233,Datos_items!$AA:$AA,X$4,Datos_items!$E:$E,Analisis_grupo!$C$4))</f>
        <v/>
      </c>
      <c r="Y233" s="2" t="str">
        <f aca="false">IF($B233="","",COUNTIFS(Datos_items!$B:$B,$B233,Datos_items!$AA:$AA,Y$4,Datos_items!$E:$E,Analisis_grupo!$C$4))</f>
        <v/>
      </c>
      <c r="Z233" s="2" t="str">
        <f aca="false">IF($B233="","",COUNTIFS(Datos_items!$B:$B,$B233,Datos_items!$AA:$AA,Z$4,Datos_items!$E:$E,Analisis_grupo!$C$4))</f>
        <v/>
      </c>
      <c r="AA233" s="2" t="str">
        <f aca="false">IF($B233="","",COUNTIFS(Datos_items!$B:$B,$B233,Datos_items!$AA:$AA,AA$4,Datos_items!$E:$E,Analisis_grupo!$C$4))</f>
        <v/>
      </c>
      <c r="AB233" s="2" t="str">
        <f aca="false">IF($B233="","",COUNTIFS(Datos_items!$B:$B,$B233,Datos_items!$AA:$AA,AB$4,Datos_items!$E:$E,Analisis_grupo!$C$4))</f>
        <v/>
      </c>
      <c r="AC233" s="2" t="str">
        <f aca="false">IF($B233="","",COUNTIFS(Datos_items!$B:$B,$B233,Datos_items!$AA:$AA,AC$4,Datos_items!$E:$E,Analisis_grupo!$C$4))</f>
        <v/>
      </c>
      <c r="AD233" s="2" t="str">
        <f aca="false">IF($B233="","",COUNTIFS(Datos_items!$B:$B,$B233,Datos_items!$AA:$AA,AD$4,Datos_items!$E:$E,Analisis_grupo!$C$4))</f>
        <v/>
      </c>
      <c r="AE233" s="2" t="str">
        <f aca="false">IF($B233="","",COUNTIFS(Datos_items!$B:$B,$B233,Datos_items!$AA:$AA,AE$4,Datos_items!$E:$E,Analisis_grupo!$C$4))</f>
        <v/>
      </c>
      <c r="AF233" s="2" t="str">
        <f aca="false">IF($B233="","",COUNTIFS(Datos_items!$B:$B,$B233,Datos_items!$AA:$AA,AF$4,Datos_items!$E:$E,Analisis_grupo!$C$4))</f>
        <v/>
      </c>
      <c r="AG233" s="2" t="str">
        <f aca="false">IF($B233="","",COUNTIFS(Datos_items!$B:$B,$B233,Datos_items!$AA:$AA,AG$4,Datos_items!$E:$E,Analisis_grupo!$C$4))</f>
        <v/>
      </c>
      <c r="AH233" s="2" t="str">
        <f aca="false">IF($B233="","",COUNTIFS(Datos_items!$B:$B,$B233,Datos_items!$AA:$AA,AH$4,Datos_items!$E:$E,Analisis_grupo!$C$4))</f>
        <v/>
      </c>
      <c r="AI233" s="2" t="str">
        <f aca="false">IF($B233="","",COUNTIFS(Datos_items!$B:$B,$B233,Datos_items!$AA:$AA,AI$4,Datos_items!$E:$E,Analisis_grupo!$C$4))</f>
        <v/>
      </c>
      <c r="AJ233" s="2" t="str">
        <f aca="false">IF($B233="","",COUNTIFS(Datos_items!$B:$B,$B233,Datos_items!$AA:$AA,AJ$4,Datos_items!$E:$E,Analisis_grupo!$C$4))</f>
        <v/>
      </c>
      <c r="AK233" s="2" t="str">
        <f aca="false">IF($B233="","",COUNTIFS(Datos_items!$B:$B,$B233,Datos_items!$AA:$AA,AK$4,Datos_items!$E:$E,Analisis_grupo!$C$4))</f>
        <v/>
      </c>
      <c r="AL233" s="2" t="str">
        <f aca="false">IF($B233="","",COUNTIFS(Datos_items!$B:$B,$B233,Datos_items!$AA:$AA,AL$4,Datos_items!$E:$E,Analisis_grupo!$C$4))</f>
        <v/>
      </c>
      <c r="AM233" s="2" t="str">
        <f aca="false">IF($B233="","",IF(MAX(Y233:AL233)=0,"",INDEX($Y$4:$AL$4,MATCH(MAX(Y233:AL233),Y233:AL233,0))))</f>
        <v/>
      </c>
      <c r="AN233" s="2" t="str">
        <f aca="false">IF($B233="","",COUNTIFS(Datos_problemas!$B:$B,$B233,Datos_problemas!$F:$F,"Práctica"))</f>
        <v/>
      </c>
      <c r="AO233" s="2" t="str">
        <f aca="false">IF($B233="","",SUMIFS(Datos_problemas!$AQ:$AQ,Datos_problemas!$B:$B,$B233,Datos_problemas!$F:$F,"Práctica"))</f>
        <v/>
      </c>
      <c r="AP233" s="2" t="str">
        <f aca="false">IF($B233="","",COUNTIFS(Datos_problemas!$B:$B,$B233,Datos_problemas!$F:$F,"Práctica",Datos_problemas!$AS:$AS,"Sí"))</f>
        <v/>
      </c>
    </row>
    <row r="234" customFormat="false" ht="15" hidden="false" customHeight="false" outlineLevel="0" collapsed="false">
      <c r="A234" s="2" t="n">
        <v>230</v>
      </c>
      <c r="B234" s="2" t="str">
        <f aca="false">IFERROR(INDEX(Datos_problemas!$B:$B,MATCH($A234,Datos_problemas!$AV:$AV,0)),"")</f>
        <v/>
      </c>
      <c r="C234" s="2" t="str">
        <f aca="false">IF($B234="","",INDEX(Datos_problemas!$C:$C,MATCH($A234,Datos_problemas!$AV:$AV,0)))</f>
        <v/>
      </c>
      <c r="D234" s="2" t="str">
        <f aca="false">IF($B234="","",INDEX(Datos_problemas!$D:$D,MATCH($A234,Datos_problemas!$AV:$AV,0)))</f>
        <v/>
      </c>
      <c r="E234" s="2" t="str">
        <f aca="false">IF($B234="","",COUNTIFS(Datos_problemas!$B:$B,$B234,Datos_problemas!$F:$F,"Evaluación"))</f>
        <v/>
      </c>
      <c r="F234" s="20" t="str">
        <f aca="false">IF($B234="","",IFERROR(AVERAGEIFS(Datos_problemas!$AE:$AE,Datos_problemas!$B:$B,$B234,Datos_problemas!$F:$F,"Evaluación"),""))</f>
        <v/>
      </c>
      <c r="G234" s="20" t="str">
        <f aca="false">IF($B234="","",IFERROR(AVERAGEIFS(Datos_problemas!$AE:$AE,Datos_problemas!$B:$B,$B234,Datos_problemas!$F:$F,"Evaluación",Datos_problemas!$E:$E,"Diagnóstico"),""))</f>
        <v/>
      </c>
      <c r="H234" s="20" t="str">
        <f aca="false">IF($B234="","",IFERROR(AVERAGEIFS(Datos_problemas!$AE:$AE,Datos_problemas!$B:$B,$B234,Datos_problemas!$F:$F,"Evaluación",Datos_problemas!$E:$E,"Final"),""))</f>
        <v/>
      </c>
      <c r="I234" s="21" t="str">
        <f aca="false">IF(OR(G234="",H234=""),"",IF(G234&gt;=10,"",(H234-G234)/(10-G234)))</f>
        <v/>
      </c>
      <c r="J234" s="18" t="str">
        <f aca="false">IF($B234="","",IFERROR(SUMIFS(Datos_items!$Z:$Z,Datos_items!$B:$B,$B234,Datos_items!$O:$O,J$4,Datos_items!$E:$E,Analisis_grupo!$C$4)/COUNTIFS(Datos_items!$B:$B,$B234,Datos_items!$O:$O,J$4,Datos_items!$E:$E,Analisis_grupo!$C$4),""))</f>
        <v/>
      </c>
      <c r="K234" s="18" t="str">
        <f aca="false">IF($B234="","",IFERROR(SUMIFS(Datos_items!$Z:$Z,Datos_items!$B:$B,$B234,Datos_items!$O:$O,K$4,Datos_items!$E:$E,Analisis_grupo!$C$4)/COUNTIFS(Datos_items!$B:$B,$B234,Datos_items!$O:$O,K$4,Datos_items!$E:$E,Analisis_grupo!$C$4),""))</f>
        <v/>
      </c>
      <c r="L234" s="18" t="str">
        <f aca="false">IF($B234="","",IFERROR(SUMIFS(Datos_items!$Z:$Z,Datos_items!$B:$B,$B234,Datos_items!$O:$O,L$4,Datos_items!$E:$E,Analisis_grupo!$C$4)/COUNTIFS(Datos_items!$B:$B,$B234,Datos_items!$O:$O,L$4,Datos_items!$E:$E,Analisis_grupo!$C$4),""))</f>
        <v/>
      </c>
      <c r="M234" s="18" t="str">
        <f aca="false">IF($B234="","",IFERROR(SUMIFS(Datos_items!$Z:$Z,Datos_items!$B:$B,$B234,Datos_items!$O:$O,M$4,Datos_items!$E:$E,Analisis_grupo!$C$4)/COUNTIFS(Datos_items!$B:$B,$B234,Datos_items!$O:$O,M$4,Datos_items!$E:$E,Analisis_grupo!$C$4),""))</f>
        <v/>
      </c>
      <c r="N234" s="18" t="str">
        <f aca="false">IF($B234="","",IFERROR(SUMIFS(Datos_items!$Z:$Z,Datos_items!$B:$B,$B234,Datos_items!$O:$O,N$4,Datos_items!$E:$E,Analisis_grupo!$C$4)/COUNTIFS(Datos_items!$B:$B,$B234,Datos_items!$O:$O,N$4,Datos_items!$E:$E,Analisis_grupo!$C$4),""))</f>
        <v/>
      </c>
      <c r="O234" s="18" t="str">
        <f aca="false">IF($B234="","",IFERROR(SUMIFS(Datos_items!$Z:$Z,Datos_items!$B:$B,$B234,Datos_items!$O:$O,O$4,Datos_items!$E:$E,Analisis_grupo!$C$4)/COUNTIFS(Datos_items!$B:$B,$B234,Datos_items!$O:$O,O$4,Datos_items!$E:$E,Analisis_grupo!$C$4),""))</f>
        <v/>
      </c>
      <c r="P234" s="18" t="str">
        <f aca="false">IF($B234="","",IFERROR(SUMIFS(Datos_items!$Z:$Z,Datos_items!$B:$B,$B234,Datos_items!$O:$O,P$4,Datos_items!$E:$E,Analisis_grupo!$C$4)/COUNTIFS(Datos_items!$B:$B,$B234,Datos_items!$O:$O,P$4,Datos_items!$E:$E,Analisis_grupo!$C$4),""))</f>
        <v/>
      </c>
      <c r="Q234" s="18" t="str">
        <f aca="false">IF($B234="","",IFERROR(SUMIFS(Datos_items!$Z:$Z,Datos_items!$B:$B,$B234,Datos_items!$O:$O,Q$4,Datos_items!$E:$E,Analisis_grupo!$C$4)/COUNTIFS(Datos_items!$B:$B,$B234,Datos_items!$O:$O,Q$4,Datos_items!$E:$E,Analisis_grupo!$C$4),""))</f>
        <v/>
      </c>
      <c r="R234" s="2" t="str">
        <f aca="false">IF(COUNT(J234:Q234)=0,"",IF(MIN(J234:Q234)&gt;=Analisis_grupo!$B$7,"(ninguna)",INDEX($J$4:$Q$4,MATCH(MIN(J234:Q234),J234:Q234,0))))</f>
        <v/>
      </c>
      <c r="S234" s="2" t="str">
        <f aca="false">IF($B234="","",COUNTIF(J234:Q234,"&lt;"&amp;Analisis_grupo!$B$7))</f>
        <v/>
      </c>
      <c r="T234" s="2" t="str">
        <f aca="false">IF($B234="","",COUNTIFS(Datos_items!$B:$B,$B234,Datos_items!$AA:$AA,T$4,Datos_items!$E:$E,Analisis_grupo!$C$4))</f>
        <v/>
      </c>
      <c r="U234" s="2" t="str">
        <f aca="false">IF($B234="","",COUNTIFS(Datos_items!$B:$B,$B234,Datos_items!$AA:$AA,U$4,Datos_items!$E:$E,Analisis_grupo!$C$4))</f>
        <v/>
      </c>
      <c r="V234" s="2" t="str">
        <f aca="false">IF($B234="","",COUNTIFS(Datos_items!$B:$B,$B234,Datos_items!$AA:$AA,V$4,Datos_items!$E:$E,Analisis_grupo!$C$4))</f>
        <v/>
      </c>
      <c r="W234" s="2" t="str">
        <f aca="false">IF($B234="","",COUNTIFS(Datos_items!$B:$B,$B234,Datos_items!$AA:$AA,W$4,Datos_items!$E:$E,Analisis_grupo!$C$4))</f>
        <v/>
      </c>
      <c r="X234" s="2" t="str">
        <f aca="false">IF($B234="","",COUNTIFS(Datos_items!$B:$B,$B234,Datos_items!$AA:$AA,X$4,Datos_items!$E:$E,Analisis_grupo!$C$4))</f>
        <v/>
      </c>
      <c r="Y234" s="2" t="str">
        <f aca="false">IF($B234="","",COUNTIFS(Datos_items!$B:$B,$B234,Datos_items!$AA:$AA,Y$4,Datos_items!$E:$E,Analisis_grupo!$C$4))</f>
        <v/>
      </c>
      <c r="Z234" s="2" t="str">
        <f aca="false">IF($B234="","",COUNTIFS(Datos_items!$B:$B,$B234,Datos_items!$AA:$AA,Z$4,Datos_items!$E:$E,Analisis_grupo!$C$4))</f>
        <v/>
      </c>
      <c r="AA234" s="2" t="str">
        <f aca="false">IF($B234="","",COUNTIFS(Datos_items!$B:$B,$B234,Datos_items!$AA:$AA,AA$4,Datos_items!$E:$E,Analisis_grupo!$C$4))</f>
        <v/>
      </c>
      <c r="AB234" s="2" t="str">
        <f aca="false">IF($B234="","",COUNTIFS(Datos_items!$B:$B,$B234,Datos_items!$AA:$AA,AB$4,Datos_items!$E:$E,Analisis_grupo!$C$4))</f>
        <v/>
      </c>
      <c r="AC234" s="2" t="str">
        <f aca="false">IF($B234="","",COUNTIFS(Datos_items!$B:$B,$B234,Datos_items!$AA:$AA,AC$4,Datos_items!$E:$E,Analisis_grupo!$C$4))</f>
        <v/>
      </c>
      <c r="AD234" s="2" t="str">
        <f aca="false">IF($B234="","",COUNTIFS(Datos_items!$B:$B,$B234,Datos_items!$AA:$AA,AD$4,Datos_items!$E:$E,Analisis_grupo!$C$4))</f>
        <v/>
      </c>
      <c r="AE234" s="2" t="str">
        <f aca="false">IF($B234="","",COUNTIFS(Datos_items!$B:$B,$B234,Datos_items!$AA:$AA,AE$4,Datos_items!$E:$E,Analisis_grupo!$C$4))</f>
        <v/>
      </c>
      <c r="AF234" s="2" t="str">
        <f aca="false">IF($B234="","",COUNTIFS(Datos_items!$B:$B,$B234,Datos_items!$AA:$AA,AF$4,Datos_items!$E:$E,Analisis_grupo!$C$4))</f>
        <v/>
      </c>
      <c r="AG234" s="2" t="str">
        <f aca="false">IF($B234="","",COUNTIFS(Datos_items!$B:$B,$B234,Datos_items!$AA:$AA,AG$4,Datos_items!$E:$E,Analisis_grupo!$C$4))</f>
        <v/>
      </c>
      <c r="AH234" s="2" t="str">
        <f aca="false">IF($B234="","",COUNTIFS(Datos_items!$B:$B,$B234,Datos_items!$AA:$AA,AH$4,Datos_items!$E:$E,Analisis_grupo!$C$4))</f>
        <v/>
      </c>
      <c r="AI234" s="2" t="str">
        <f aca="false">IF($B234="","",COUNTIFS(Datos_items!$B:$B,$B234,Datos_items!$AA:$AA,AI$4,Datos_items!$E:$E,Analisis_grupo!$C$4))</f>
        <v/>
      </c>
      <c r="AJ234" s="2" t="str">
        <f aca="false">IF($B234="","",COUNTIFS(Datos_items!$B:$B,$B234,Datos_items!$AA:$AA,AJ$4,Datos_items!$E:$E,Analisis_grupo!$C$4))</f>
        <v/>
      </c>
      <c r="AK234" s="2" t="str">
        <f aca="false">IF($B234="","",COUNTIFS(Datos_items!$B:$B,$B234,Datos_items!$AA:$AA,AK$4,Datos_items!$E:$E,Analisis_grupo!$C$4))</f>
        <v/>
      </c>
      <c r="AL234" s="2" t="str">
        <f aca="false">IF($B234="","",COUNTIFS(Datos_items!$B:$B,$B234,Datos_items!$AA:$AA,AL$4,Datos_items!$E:$E,Analisis_grupo!$C$4))</f>
        <v/>
      </c>
      <c r="AM234" s="2" t="str">
        <f aca="false">IF($B234="","",IF(MAX(Y234:AL234)=0,"",INDEX($Y$4:$AL$4,MATCH(MAX(Y234:AL234),Y234:AL234,0))))</f>
        <v/>
      </c>
      <c r="AN234" s="2" t="str">
        <f aca="false">IF($B234="","",COUNTIFS(Datos_problemas!$B:$B,$B234,Datos_problemas!$F:$F,"Práctica"))</f>
        <v/>
      </c>
      <c r="AO234" s="2" t="str">
        <f aca="false">IF($B234="","",SUMIFS(Datos_problemas!$AQ:$AQ,Datos_problemas!$B:$B,$B234,Datos_problemas!$F:$F,"Práctica"))</f>
        <v/>
      </c>
      <c r="AP234" s="2" t="str">
        <f aca="false">IF($B234="","",COUNTIFS(Datos_problemas!$B:$B,$B234,Datos_problemas!$F:$F,"Práctica",Datos_problemas!$AS:$AS,"Sí"))</f>
        <v/>
      </c>
    </row>
    <row r="235" customFormat="false" ht="15" hidden="false" customHeight="false" outlineLevel="0" collapsed="false">
      <c r="A235" s="2" t="n">
        <v>231</v>
      </c>
      <c r="B235" s="2" t="str">
        <f aca="false">IFERROR(INDEX(Datos_problemas!$B:$B,MATCH($A235,Datos_problemas!$AV:$AV,0)),"")</f>
        <v/>
      </c>
      <c r="C235" s="2" t="str">
        <f aca="false">IF($B235="","",INDEX(Datos_problemas!$C:$C,MATCH($A235,Datos_problemas!$AV:$AV,0)))</f>
        <v/>
      </c>
      <c r="D235" s="2" t="str">
        <f aca="false">IF($B235="","",INDEX(Datos_problemas!$D:$D,MATCH($A235,Datos_problemas!$AV:$AV,0)))</f>
        <v/>
      </c>
      <c r="E235" s="2" t="str">
        <f aca="false">IF($B235="","",COUNTIFS(Datos_problemas!$B:$B,$B235,Datos_problemas!$F:$F,"Evaluación"))</f>
        <v/>
      </c>
      <c r="F235" s="20" t="str">
        <f aca="false">IF($B235="","",IFERROR(AVERAGEIFS(Datos_problemas!$AE:$AE,Datos_problemas!$B:$B,$B235,Datos_problemas!$F:$F,"Evaluación"),""))</f>
        <v/>
      </c>
      <c r="G235" s="20" t="str">
        <f aca="false">IF($B235="","",IFERROR(AVERAGEIFS(Datos_problemas!$AE:$AE,Datos_problemas!$B:$B,$B235,Datos_problemas!$F:$F,"Evaluación",Datos_problemas!$E:$E,"Diagnóstico"),""))</f>
        <v/>
      </c>
      <c r="H235" s="20" t="str">
        <f aca="false">IF($B235="","",IFERROR(AVERAGEIFS(Datos_problemas!$AE:$AE,Datos_problemas!$B:$B,$B235,Datos_problemas!$F:$F,"Evaluación",Datos_problemas!$E:$E,"Final"),""))</f>
        <v/>
      </c>
      <c r="I235" s="21" t="str">
        <f aca="false">IF(OR(G235="",H235=""),"",IF(G235&gt;=10,"",(H235-G235)/(10-G235)))</f>
        <v/>
      </c>
      <c r="J235" s="18" t="str">
        <f aca="false">IF($B235="","",IFERROR(SUMIFS(Datos_items!$Z:$Z,Datos_items!$B:$B,$B235,Datos_items!$O:$O,J$4,Datos_items!$E:$E,Analisis_grupo!$C$4)/COUNTIFS(Datos_items!$B:$B,$B235,Datos_items!$O:$O,J$4,Datos_items!$E:$E,Analisis_grupo!$C$4),""))</f>
        <v/>
      </c>
      <c r="K235" s="18" t="str">
        <f aca="false">IF($B235="","",IFERROR(SUMIFS(Datos_items!$Z:$Z,Datos_items!$B:$B,$B235,Datos_items!$O:$O,K$4,Datos_items!$E:$E,Analisis_grupo!$C$4)/COUNTIFS(Datos_items!$B:$B,$B235,Datos_items!$O:$O,K$4,Datos_items!$E:$E,Analisis_grupo!$C$4),""))</f>
        <v/>
      </c>
      <c r="L235" s="18" t="str">
        <f aca="false">IF($B235="","",IFERROR(SUMIFS(Datos_items!$Z:$Z,Datos_items!$B:$B,$B235,Datos_items!$O:$O,L$4,Datos_items!$E:$E,Analisis_grupo!$C$4)/COUNTIFS(Datos_items!$B:$B,$B235,Datos_items!$O:$O,L$4,Datos_items!$E:$E,Analisis_grupo!$C$4),""))</f>
        <v/>
      </c>
      <c r="M235" s="18" t="str">
        <f aca="false">IF($B235="","",IFERROR(SUMIFS(Datos_items!$Z:$Z,Datos_items!$B:$B,$B235,Datos_items!$O:$O,M$4,Datos_items!$E:$E,Analisis_grupo!$C$4)/COUNTIFS(Datos_items!$B:$B,$B235,Datos_items!$O:$O,M$4,Datos_items!$E:$E,Analisis_grupo!$C$4),""))</f>
        <v/>
      </c>
      <c r="N235" s="18" t="str">
        <f aca="false">IF($B235="","",IFERROR(SUMIFS(Datos_items!$Z:$Z,Datos_items!$B:$B,$B235,Datos_items!$O:$O,N$4,Datos_items!$E:$E,Analisis_grupo!$C$4)/COUNTIFS(Datos_items!$B:$B,$B235,Datos_items!$O:$O,N$4,Datos_items!$E:$E,Analisis_grupo!$C$4),""))</f>
        <v/>
      </c>
      <c r="O235" s="18" t="str">
        <f aca="false">IF($B235="","",IFERROR(SUMIFS(Datos_items!$Z:$Z,Datos_items!$B:$B,$B235,Datos_items!$O:$O,O$4,Datos_items!$E:$E,Analisis_grupo!$C$4)/COUNTIFS(Datos_items!$B:$B,$B235,Datos_items!$O:$O,O$4,Datos_items!$E:$E,Analisis_grupo!$C$4),""))</f>
        <v/>
      </c>
      <c r="P235" s="18" t="str">
        <f aca="false">IF($B235="","",IFERROR(SUMIFS(Datos_items!$Z:$Z,Datos_items!$B:$B,$B235,Datos_items!$O:$O,P$4,Datos_items!$E:$E,Analisis_grupo!$C$4)/COUNTIFS(Datos_items!$B:$B,$B235,Datos_items!$O:$O,P$4,Datos_items!$E:$E,Analisis_grupo!$C$4),""))</f>
        <v/>
      </c>
      <c r="Q235" s="18" t="str">
        <f aca="false">IF($B235="","",IFERROR(SUMIFS(Datos_items!$Z:$Z,Datos_items!$B:$B,$B235,Datos_items!$O:$O,Q$4,Datos_items!$E:$E,Analisis_grupo!$C$4)/COUNTIFS(Datos_items!$B:$B,$B235,Datos_items!$O:$O,Q$4,Datos_items!$E:$E,Analisis_grupo!$C$4),""))</f>
        <v/>
      </c>
      <c r="R235" s="2" t="str">
        <f aca="false">IF(COUNT(J235:Q235)=0,"",IF(MIN(J235:Q235)&gt;=Analisis_grupo!$B$7,"(ninguna)",INDEX($J$4:$Q$4,MATCH(MIN(J235:Q235),J235:Q235,0))))</f>
        <v/>
      </c>
      <c r="S235" s="2" t="str">
        <f aca="false">IF($B235="","",COUNTIF(J235:Q235,"&lt;"&amp;Analisis_grupo!$B$7))</f>
        <v/>
      </c>
      <c r="T235" s="2" t="str">
        <f aca="false">IF($B235="","",COUNTIFS(Datos_items!$B:$B,$B235,Datos_items!$AA:$AA,T$4,Datos_items!$E:$E,Analisis_grupo!$C$4))</f>
        <v/>
      </c>
      <c r="U235" s="2" t="str">
        <f aca="false">IF($B235="","",COUNTIFS(Datos_items!$B:$B,$B235,Datos_items!$AA:$AA,U$4,Datos_items!$E:$E,Analisis_grupo!$C$4))</f>
        <v/>
      </c>
      <c r="V235" s="2" t="str">
        <f aca="false">IF($B235="","",COUNTIFS(Datos_items!$B:$B,$B235,Datos_items!$AA:$AA,V$4,Datos_items!$E:$E,Analisis_grupo!$C$4))</f>
        <v/>
      </c>
      <c r="W235" s="2" t="str">
        <f aca="false">IF($B235="","",COUNTIFS(Datos_items!$B:$B,$B235,Datos_items!$AA:$AA,W$4,Datos_items!$E:$E,Analisis_grupo!$C$4))</f>
        <v/>
      </c>
      <c r="X235" s="2" t="str">
        <f aca="false">IF($B235="","",COUNTIFS(Datos_items!$B:$B,$B235,Datos_items!$AA:$AA,X$4,Datos_items!$E:$E,Analisis_grupo!$C$4))</f>
        <v/>
      </c>
      <c r="Y235" s="2" t="str">
        <f aca="false">IF($B235="","",COUNTIFS(Datos_items!$B:$B,$B235,Datos_items!$AA:$AA,Y$4,Datos_items!$E:$E,Analisis_grupo!$C$4))</f>
        <v/>
      </c>
      <c r="Z235" s="2" t="str">
        <f aca="false">IF($B235="","",COUNTIFS(Datos_items!$B:$B,$B235,Datos_items!$AA:$AA,Z$4,Datos_items!$E:$E,Analisis_grupo!$C$4))</f>
        <v/>
      </c>
      <c r="AA235" s="2" t="str">
        <f aca="false">IF($B235="","",COUNTIFS(Datos_items!$B:$B,$B235,Datos_items!$AA:$AA,AA$4,Datos_items!$E:$E,Analisis_grupo!$C$4))</f>
        <v/>
      </c>
      <c r="AB235" s="2" t="str">
        <f aca="false">IF($B235="","",COUNTIFS(Datos_items!$B:$B,$B235,Datos_items!$AA:$AA,AB$4,Datos_items!$E:$E,Analisis_grupo!$C$4))</f>
        <v/>
      </c>
      <c r="AC235" s="2" t="str">
        <f aca="false">IF($B235="","",COUNTIFS(Datos_items!$B:$B,$B235,Datos_items!$AA:$AA,AC$4,Datos_items!$E:$E,Analisis_grupo!$C$4))</f>
        <v/>
      </c>
      <c r="AD235" s="2" t="str">
        <f aca="false">IF($B235="","",COUNTIFS(Datos_items!$B:$B,$B235,Datos_items!$AA:$AA,AD$4,Datos_items!$E:$E,Analisis_grupo!$C$4))</f>
        <v/>
      </c>
      <c r="AE235" s="2" t="str">
        <f aca="false">IF($B235="","",COUNTIFS(Datos_items!$B:$B,$B235,Datos_items!$AA:$AA,AE$4,Datos_items!$E:$E,Analisis_grupo!$C$4))</f>
        <v/>
      </c>
      <c r="AF235" s="2" t="str">
        <f aca="false">IF($B235="","",COUNTIFS(Datos_items!$B:$B,$B235,Datos_items!$AA:$AA,AF$4,Datos_items!$E:$E,Analisis_grupo!$C$4))</f>
        <v/>
      </c>
      <c r="AG235" s="2" t="str">
        <f aca="false">IF($B235="","",COUNTIFS(Datos_items!$B:$B,$B235,Datos_items!$AA:$AA,AG$4,Datos_items!$E:$E,Analisis_grupo!$C$4))</f>
        <v/>
      </c>
      <c r="AH235" s="2" t="str">
        <f aca="false">IF($B235="","",COUNTIFS(Datos_items!$B:$B,$B235,Datos_items!$AA:$AA,AH$4,Datos_items!$E:$E,Analisis_grupo!$C$4))</f>
        <v/>
      </c>
      <c r="AI235" s="2" t="str">
        <f aca="false">IF($B235="","",COUNTIFS(Datos_items!$B:$B,$B235,Datos_items!$AA:$AA,AI$4,Datos_items!$E:$E,Analisis_grupo!$C$4))</f>
        <v/>
      </c>
      <c r="AJ235" s="2" t="str">
        <f aca="false">IF($B235="","",COUNTIFS(Datos_items!$B:$B,$B235,Datos_items!$AA:$AA,AJ$4,Datos_items!$E:$E,Analisis_grupo!$C$4))</f>
        <v/>
      </c>
      <c r="AK235" s="2" t="str">
        <f aca="false">IF($B235="","",COUNTIFS(Datos_items!$B:$B,$B235,Datos_items!$AA:$AA,AK$4,Datos_items!$E:$E,Analisis_grupo!$C$4))</f>
        <v/>
      </c>
      <c r="AL235" s="2" t="str">
        <f aca="false">IF($B235="","",COUNTIFS(Datos_items!$B:$B,$B235,Datos_items!$AA:$AA,AL$4,Datos_items!$E:$E,Analisis_grupo!$C$4))</f>
        <v/>
      </c>
      <c r="AM235" s="2" t="str">
        <f aca="false">IF($B235="","",IF(MAX(Y235:AL235)=0,"",INDEX($Y$4:$AL$4,MATCH(MAX(Y235:AL235),Y235:AL235,0))))</f>
        <v/>
      </c>
      <c r="AN235" s="2" t="str">
        <f aca="false">IF($B235="","",COUNTIFS(Datos_problemas!$B:$B,$B235,Datos_problemas!$F:$F,"Práctica"))</f>
        <v/>
      </c>
      <c r="AO235" s="2" t="str">
        <f aca="false">IF($B235="","",SUMIFS(Datos_problemas!$AQ:$AQ,Datos_problemas!$B:$B,$B235,Datos_problemas!$F:$F,"Práctica"))</f>
        <v/>
      </c>
      <c r="AP235" s="2" t="str">
        <f aca="false">IF($B235="","",COUNTIFS(Datos_problemas!$B:$B,$B235,Datos_problemas!$F:$F,"Práctica",Datos_problemas!$AS:$AS,"Sí"))</f>
        <v/>
      </c>
    </row>
    <row r="236" customFormat="false" ht="15" hidden="false" customHeight="false" outlineLevel="0" collapsed="false">
      <c r="A236" s="2" t="n">
        <v>232</v>
      </c>
      <c r="B236" s="2" t="str">
        <f aca="false">IFERROR(INDEX(Datos_problemas!$B:$B,MATCH($A236,Datos_problemas!$AV:$AV,0)),"")</f>
        <v/>
      </c>
      <c r="C236" s="2" t="str">
        <f aca="false">IF($B236="","",INDEX(Datos_problemas!$C:$C,MATCH($A236,Datos_problemas!$AV:$AV,0)))</f>
        <v/>
      </c>
      <c r="D236" s="2" t="str">
        <f aca="false">IF($B236="","",INDEX(Datos_problemas!$D:$D,MATCH($A236,Datos_problemas!$AV:$AV,0)))</f>
        <v/>
      </c>
      <c r="E236" s="2" t="str">
        <f aca="false">IF($B236="","",COUNTIFS(Datos_problemas!$B:$B,$B236,Datos_problemas!$F:$F,"Evaluación"))</f>
        <v/>
      </c>
      <c r="F236" s="20" t="str">
        <f aca="false">IF($B236="","",IFERROR(AVERAGEIFS(Datos_problemas!$AE:$AE,Datos_problemas!$B:$B,$B236,Datos_problemas!$F:$F,"Evaluación"),""))</f>
        <v/>
      </c>
      <c r="G236" s="20" t="str">
        <f aca="false">IF($B236="","",IFERROR(AVERAGEIFS(Datos_problemas!$AE:$AE,Datos_problemas!$B:$B,$B236,Datos_problemas!$F:$F,"Evaluación",Datos_problemas!$E:$E,"Diagnóstico"),""))</f>
        <v/>
      </c>
      <c r="H236" s="20" t="str">
        <f aca="false">IF($B236="","",IFERROR(AVERAGEIFS(Datos_problemas!$AE:$AE,Datos_problemas!$B:$B,$B236,Datos_problemas!$F:$F,"Evaluación",Datos_problemas!$E:$E,"Final"),""))</f>
        <v/>
      </c>
      <c r="I236" s="21" t="str">
        <f aca="false">IF(OR(G236="",H236=""),"",IF(G236&gt;=10,"",(H236-G236)/(10-G236)))</f>
        <v/>
      </c>
      <c r="J236" s="18" t="str">
        <f aca="false">IF($B236="","",IFERROR(SUMIFS(Datos_items!$Z:$Z,Datos_items!$B:$B,$B236,Datos_items!$O:$O,J$4,Datos_items!$E:$E,Analisis_grupo!$C$4)/COUNTIFS(Datos_items!$B:$B,$B236,Datos_items!$O:$O,J$4,Datos_items!$E:$E,Analisis_grupo!$C$4),""))</f>
        <v/>
      </c>
      <c r="K236" s="18" t="str">
        <f aca="false">IF($B236="","",IFERROR(SUMIFS(Datos_items!$Z:$Z,Datos_items!$B:$B,$B236,Datos_items!$O:$O,K$4,Datos_items!$E:$E,Analisis_grupo!$C$4)/COUNTIFS(Datos_items!$B:$B,$B236,Datos_items!$O:$O,K$4,Datos_items!$E:$E,Analisis_grupo!$C$4),""))</f>
        <v/>
      </c>
      <c r="L236" s="18" t="str">
        <f aca="false">IF($B236="","",IFERROR(SUMIFS(Datos_items!$Z:$Z,Datos_items!$B:$B,$B236,Datos_items!$O:$O,L$4,Datos_items!$E:$E,Analisis_grupo!$C$4)/COUNTIFS(Datos_items!$B:$B,$B236,Datos_items!$O:$O,L$4,Datos_items!$E:$E,Analisis_grupo!$C$4),""))</f>
        <v/>
      </c>
      <c r="M236" s="18" t="str">
        <f aca="false">IF($B236="","",IFERROR(SUMIFS(Datos_items!$Z:$Z,Datos_items!$B:$B,$B236,Datos_items!$O:$O,M$4,Datos_items!$E:$E,Analisis_grupo!$C$4)/COUNTIFS(Datos_items!$B:$B,$B236,Datos_items!$O:$O,M$4,Datos_items!$E:$E,Analisis_grupo!$C$4),""))</f>
        <v/>
      </c>
      <c r="N236" s="18" t="str">
        <f aca="false">IF($B236="","",IFERROR(SUMIFS(Datos_items!$Z:$Z,Datos_items!$B:$B,$B236,Datos_items!$O:$O,N$4,Datos_items!$E:$E,Analisis_grupo!$C$4)/COUNTIFS(Datos_items!$B:$B,$B236,Datos_items!$O:$O,N$4,Datos_items!$E:$E,Analisis_grupo!$C$4),""))</f>
        <v/>
      </c>
      <c r="O236" s="18" t="str">
        <f aca="false">IF($B236="","",IFERROR(SUMIFS(Datos_items!$Z:$Z,Datos_items!$B:$B,$B236,Datos_items!$O:$O,O$4,Datos_items!$E:$E,Analisis_grupo!$C$4)/COUNTIFS(Datos_items!$B:$B,$B236,Datos_items!$O:$O,O$4,Datos_items!$E:$E,Analisis_grupo!$C$4),""))</f>
        <v/>
      </c>
      <c r="P236" s="18" t="str">
        <f aca="false">IF($B236="","",IFERROR(SUMIFS(Datos_items!$Z:$Z,Datos_items!$B:$B,$B236,Datos_items!$O:$O,P$4,Datos_items!$E:$E,Analisis_grupo!$C$4)/COUNTIFS(Datos_items!$B:$B,$B236,Datos_items!$O:$O,P$4,Datos_items!$E:$E,Analisis_grupo!$C$4),""))</f>
        <v/>
      </c>
      <c r="Q236" s="18" t="str">
        <f aca="false">IF($B236="","",IFERROR(SUMIFS(Datos_items!$Z:$Z,Datos_items!$B:$B,$B236,Datos_items!$O:$O,Q$4,Datos_items!$E:$E,Analisis_grupo!$C$4)/COUNTIFS(Datos_items!$B:$B,$B236,Datos_items!$O:$O,Q$4,Datos_items!$E:$E,Analisis_grupo!$C$4),""))</f>
        <v/>
      </c>
      <c r="R236" s="2" t="str">
        <f aca="false">IF(COUNT(J236:Q236)=0,"",IF(MIN(J236:Q236)&gt;=Analisis_grupo!$B$7,"(ninguna)",INDEX($J$4:$Q$4,MATCH(MIN(J236:Q236),J236:Q236,0))))</f>
        <v/>
      </c>
      <c r="S236" s="2" t="str">
        <f aca="false">IF($B236="","",COUNTIF(J236:Q236,"&lt;"&amp;Analisis_grupo!$B$7))</f>
        <v/>
      </c>
      <c r="T236" s="2" t="str">
        <f aca="false">IF($B236="","",COUNTIFS(Datos_items!$B:$B,$B236,Datos_items!$AA:$AA,T$4,Datos_items!$E:$E,Analisis_grupo!$C$4))</f>
        <v/>
      </c>
      <c r="U236" s="2" t="str">
        <f aca="false">IF($B236="","",COUNTIFS(Datos_items!$B:$B,$B236,Datos_items!$AA:$AA,U$4,Datos_items!$E:$E,Analisis_grupo!$C$4))</f>
        <v/>
      </c>
      <c r="V236" s="2" t="str">
        <f aca="false">IF($B236="","",COUNTIFS(Datos_items!$B:$B,$B236,Datos_items!$AA:$AA,V$4,Datos_items!$E:$E,Analisis_grupo!$C$4))</f>
        <v/>
      </c>
      <c r="W236" s="2" t="str">
        <f aca="false">IF($B236="","",COUNTIFS(Datos_items!$B:$B,$B236,Datos_items!$AA:$AA,W$4,Datos_items!$E:$E,Analisis_grupo!$C$4))</f>
        <v/>
      </c>
      <c r="X236" s="2" t="str">
        <f aca="false">IF($B236="","",COUNTIFS(Datos_items!$B:$B,$B236,Datos_items!$AA:$AA,X$4,Datos_items!$E:$E,Analisis_grupo!$C$4))</f>
        <v/>
      </c>
      <c r="Y236" s="2" t="str">
        <f aca="false">IF($B236="","",COUNTIFS(Datos_items!$B:$B,$B236,Datos_items!$AA:$AA,Y$4,Datos_items!$E:$E,Analisis_grupo!$C$4))</f>
        <v/>
      </c>
      <c r="Z236" s="2" t="str">
        <f aca="false">IF($B236="","",COUNTIFS(Datos_items!$B:$B,$B236,Datos_items!$AA:$AA,Z$4,Datos_items!$E:$E,Analisis_grupo!$C$4))</f>
        <v/>
      </c>
      <c r="AA236" s="2" t="str">
        <f aca="false">IF($B236="","",COUNTIFS(Datos_items!$B:$B,$B236,Datos_items!$AA:$AA,AA$4,Datos_items!$E:$E,Analisis_grupo!$C$4))</f>
        <v/>
      </c>
      <c r="AB236" s="2" t="str">
        <f aca="false">IF($B236="","",COUNTIFS(Datos_items!$B:$B,$B236,Datos_items!$AA:$AA,AB$4,Datos_items!$E:$E,Analisis_grupo!$C$4))</f>
        <v/>
      </c>
      <c r="AC236" s="2" t="str">
        <f aca="false">IF($B236="","",COUNTIFS(Datos_items!$B:$B,$B236,Datos_items!$AA:$AA,AC$4,Datos_items!$E:$E,Analisis_grupo!$C$4))</f>
        <v/>
      </c>
      <c r="AD236" s="2" t="str">
        <f aca="false">IF($B236="","",COUNTIFS(Datos_items!$B:$B,$B236,Datos_items!$AA:$AA,AD$4,Datos_items!$E:$E,Analisis_grupo!$C$4))</f>
        <v/>
      </c>
      <c r="AE236" s="2" t="str">
        <f aca="false">IF($B236="","",COUNTIFS(Datos_items!$B:$B,$B236,Datos_items!$AA:$AA,AE$4,Datos_items!$E:$E,Analisis_grupo!$C$4))</f>
        <v/>
      </c>
      <c r="AF236" s="2" t="str">
        <f aca="false">IF($B236="","",COUNTIFS(Datos_items!$B:$B,$B236,Datos_items!$AA:$AA,AF$4,Datos_items!$E:$E,Analisis_grupo!$C$4))</f>
        <v/>
      </c>
      <c r="AG236" s="2" t="str">
        <f aca="false">IF($B236="","",COUNTIFS(Datos_items!$B:$B,$B236,Datos_items!$AA:$AA,AG$4,Datos_items!$E:$E,Analisis_grupo!$C$4))</f>
        <v/>
      </c>
      <c r="AH236" s="2" t="str">
        <f aca="false">IF($B236="","",COUNTIFS(Datos_items!$B:$B,$B236,Datos_items!$AA:$AA,AH$4,Datos_items!$E:$E,Analisis_grupo!$C$4))</f>
        <v/>
      </c>
      <c r="AI236" s="2" t="str">
        <f aca="false">IF($B236="","",COUNTIFS(Datos_items!$B:$B,$B236,Datos_items!$AA:$AA,AI$4,Datos_items!$E:$E,Analisis_grupo!$C$4))</f>
        <v/>
      </c>
      <c r="AJ236" s="2" t="str">
        <f aca="false">IF($B236="","",COUNTIFS(Datos_items!$B:$B,$B236,Datos_items!$AA:$AA,AJ$4,Datos_items!$E:$E,Analisis_grupo!$C$4))</f>
        <v/>
      </c>
      <c r="AK236" s="2" t="str">
        <f aca="false">IF($B236="","",COUNTIFS(Datos_items!$B:$B,$B236,Datos_items!$AA:$AA,AK$4,Datos_items!$E:$E,Analisis_grupo!$C$4))</f>
        <v/>
      </c>
      <c r="AL236" s="2" t="str">
        <f aca="false">IF($B236="","",COUNTIFS(Datos_items!$B:$B,$B236,Datos_items!$AA:$AA,AL$4,Datos_items!$E:$E,Analisis_grupo!$C$4))</f>
        <v/>
      </c>
      <c r="AM236" s="2" t="str">
        <f aca="false">IF($B236="","",IF(MAX(Y236:AL236)=0,"",INDEX($Y$4:$AL$4,MATCH(MAX(Y236:AL236),Y236:AL236,0))))</f>
        <v/>
      </c>
      <c r="AN236" s="2" t="str">
        <f aca="false">IF($B236="","",COUNTIFS(Datos_problemas!$B:$B,$B236,Datos_problemas!$F:$F,"Práctica"))</f>
        <v/>
      </c>
      <c r="AO236" s="2" t="str">
        <f aca="false">IF($B236="","",SUMIFS(Datos_problemas!$AQ:$AQ,Datos_problemas!$B:$B,$B236,Datos_problemas!$F:$F,"Práctica"))</f>
        <v/>
      </c>
      <c r="AP236" s="2" t="str">
        <f aca="false">IF($B236="","",COUNTIFS(Datos_problemas!$B:$B,$B236,Datos_problemas!$F:$F,"Práctica",Datos_problemas!$AS:$AS,"Sí"))</f>
        <v/>
      </c>
    </row>
    <row r="237" customFormat="false" ht="15" hidden="false" customHeight="false" outlineLevel="0" collapsed="false">
      <c r="A237" s="2" t="n">
        <v>233</v>
      </c>
      <c r="B237" s="2" t="str">
        <f aca="false">IFERROR(INDEX(Datos_problemas!$B:$B,MATCH($A237,Datos_problemas!$AV:$AV,0)),"")</f>
        <v/>
      </c>
      <c r="C237" s="2" t="str">
        <f aca="false">IF($B237="","",INDEX(Datos_problemas!$C:$C,MATCH($A237,Datos_problemas!$AV:$AV,0)))</f>
        <v/>
      </c>
      <c r="D237" s="2" t="str">
        <f aca="false">IF($B237="","",INDEX(Datos_problemas!$D:$D,MATCH($A237,Datos_problemas!$AV:$AV,0)))</f>
        <v/>
      </c>
      <c r="E237" s="2" t="str">
        <f aca="false">IF($B237="","",COUNTIFS(Datos_problemas!$B:$B,$B237,Datos_problemas!$F:$F,"Evaluación"))</f>
        <v/>
      </c>
      <c r="F237" s="20" t="str">
        <f aca="false">IF($B237="","",IFERROR(AVERAGEIFS(Datos_problemas!$AE:$AE,Datos_problemas!$B:$B,$B237,Datos_problemas!$F:$F,"Evaluación"),""))</f>
        <v/>
      </c>
      <c r="G237" s="20" t="str">
        <f aca="false">IF($B237="","",IFERROR(AVERAGEIFS(Datos_problemas!$AE:$AE,Datos_problemas!$B:$B,$B237,Datos_problemas!$F:$F,"Evaluación",Datos_problemas!$E:$E,"Diagnóstico"),""))</f>
        <v/>
      </c>
      <c r="H237" s="20" t="str">
        <f aca="false">IF($B237="","",IFERROR(AVERAGEIFS(Datos_problemas!$AE:$AE,Datos_problemas!$B:$B,$B237,Datos_problemas!$F:$F,"Evaluación",Datos_problemas!$E:$E,"Final"),""))</f>
        <v/>
      </c>
      <c r="I237" s="21" t="str">
        <f aca="false">IF(OR(G237="",H237=""),"",IF(G237&gt;=10,"",(H237-G237)/(10-G237)))</f>
        <v/>
      </c>
      <c r="J237" s="18" t="str">
        <f aca="false">IF($B237="","",IFERROR(SUMIFS(Datos_items!$Z:$Z,Datos_items!$B:$B,$B237,Datos_items!$O:$O,J$4,Datos_items!$E:$E,Analisis_grupo!$C$4)/COUNTIFS(Datos_items!$B:$B,$B237,Datos_items!$O:$O,J$4,Datos_items!$E:$E,Analisis_grupo!$C$4),""))</f>
        <v/>
      </c>
      <c r="K237" s="18" t="str">
        <f aca="false">IF($B237="","",IFERROR(SUMIFS(Datos_items!$Z:$Z,Datos_items!$B:$B,$B237,Datos_items!$O:$O,K$4,Datos_items!$E:$E,Analisis_grupo!$C$4)/COUNTIFS(Datos_items!$B:$B,$B237,Datos_items!$O:$O,K$4,Datos_items!$E:$E,Analisis_grupo!$C$4),""))</f>
        <v/>
      </c>
      <c r="L237" s="18" t="str">
        <f aca="false">IF($B237="","",IFERROR(SUMIFS(Datos_items!$Z:$Z,Datos_items!$B:$B,$B237,Datos_items!$O:$O,L$4,Datos_items!$E:$E,Analisis_grupo!$C$4)/COUNTIFS(Datos_items!$B:$B,$B237,Datos_items!$O:$O,L$4,Datos_items!$E:$E,Analisis_grupo!$C$4),""))</f>
        <v/>
      </c>
      <c r="M237" s="18" t="str">
        <f aca="false">IF($B237="","",IFERROR(SUMIFS(Datos_items!$Z:$Z,Datos_items!$B:$B,$B237,Datos_items!$O:$O,M$4,Datos_items!$E:$E,Analisis_grupo!$C$4)/COUNTIFS(Datos_items!$B:$B,$B237,Datos_items!$O:$O,M$4,Datos_items!$E:$E,Analisis_grupo!$C$4),""))</f>
        <v/>
      </c>
      <c r="N237" s="18" t="str">
        <f aca="false">IF($B237="","",IFERROR(SUMIFS(Datos_items!$Z:$Z,Datos_items!$B:$B,$B237,Datos_items!$O:$O,N$4,Datos_items!$E:$E,Analisis_grupo!$C$4)/COUNTIFS(Datos_items!$B:$B,$B237,Datos_items!$O:$O,N$4,Datos_items!$E:$E,Analisis_grupo!$C$4),""))</f>
        <v/>
      </c>
      <c r="O237" s="18" t="str">
        <f aca="false">IF($B237="","",IFERROR(SUMIFS(Datos_items!$Z:$Z,Datos_items!$B:$B,$B237,Datos_items!$O:$O,O$4,Datos_items!$E:$E,Analisis_grupo!$C$4)/COUNTIFS(Datos_items!$B:$B,$B237,Datos_items!$O:$O,O$4,Datos_items!$E:$E,Analisis_grupo!$C$4),""))</f>
        <v/>
      </c>
      <c r="P237" s="18" t="str">
        <f aca="false">IF($B237="","",IFERROR(SUMIFS(Datos_items!$Z:$Z,Datos_items!$B:$B,$B237,Datos_items!$O:$O,P$4,Datos_items!$E:$E,Analisis_grupo!$C$4)/COUNTIFS(Datos_items!$B:$B,$B237,Datos_items!$O:$O,P$4,Datos_items!$E:$E,Analisis_grupo!$C$4),""))</f>
        <v/>
      </c>
      <c r="Q237" s="18" t="str">
        <f aca="false">IF($B237="","",IFERROR(SUMIFS(Datos_items!$Z:$Z,Datos_items!$B:$B,$B237,Datos_items!$O:$O,Q$4,Datos_items!$E:$E,Analisis_grupo!$C$4)/COUNTIFS(Datos_items!$B:$B,$B237,Datos_items!$O:$O,Q$4,Datos_items!$E:$E,Analisis_grupo!$C$4),""))</f>
        <v/>
      </c>
      <c r="R237" s="2" t="str">
        <f aca="false">IF(COUNT(J237:Q237)=0,"",IF(MIN(J237:Q237)&gt;=Analisis_grupo!$B$7,"(ninguna)",INDEX($J$4:$Q$4,MATCH(MIN(J237:Q237),J237:Q237,0))))</f>
        <v/>
      </c>
      <c r="S237" s="2" t="str">
        <f aca="false">IF($B237="","",COUNTIF(J237:Q237,"&lt;"&amp;Analisis_grupo!$B$7))</f>
        <v/>
      </c>
      <c r="T237" s="2" t="str">
        <f aca="false">IF($B237="","",COUNTIFS(Datos_items!$B:$B,$B237,Datos_items!$AA:$AA,T$4,Datos_items!$E:$E,Analisis_grupo!$C$4))</f>
        <v/>
      </c>
      <c r="U237" s="2" t="str">
        <f aca="false">IF($B237="","",COUNTIFS(Datos_items!$B:$B,$B237,Datos_items!$AA:$AA,U$4,Datos_items!$E:$E,Analisis_grupo!$C$4))</f>
        <v/>
      </c>
      <c r="V237" s="2" t="str">
        <f aca="false">IF($B237="","",COUNTIFS(Datos_items!$B:$B,$B237,Datos_items!$AA:$AA,V$4,Datos_items!$E:$E,Analisis_grupo!$C$4))</f>
        <v/>
      </c>
      <c r="W237" s="2" t="str">
        <f aca="false">IF($B237="","",COUNTIFS(Datos_items!$B:$B,$B237,Datos_items!$AA:$AA,W$4,Datos_items!$E:$E,Analisis_grupo!$C$4))</f>
        <v/>
      </c>
      <c r="X237" s="2" t="str">
        <f aca="false">IF($B237="","",COUNTIFS(Datos_items!$B:$B,$B237,Datos_items!$AA:$AA,X$4,Datos_items!$E:$E,Analisis_grupo!$C$4))</f>
        <v/>
      </c>
      <c r="Y237" s="2" t="str">
        <f aca="false">IF($B237="","",COUNTIFS(Datos_items!$B:$B,$B237,Datos_items!$AA:$AA,Y$4,Datos_items!$E:$E,Analisis_grupo!$C$4))</f>
        <v/>
      </c>
      <c r="Z237" s="2" t="str">
        <f aca="false">IF($B237="","",COUNTIFS(Datos_items!$B:$B,$B237,Datos_items!$AA:$AA,Z$4,Datos_items!$E:$E,Analisis_grupo!$C$4))</f>
        <v/>
      </c>
      <c r="AA237" s="2" t="str">
        <f aca="false">IF($B237="","",COUNTIFS(Datos_items!$B:$B,$B237,Datos_items!$AA:$AA,AA$4,Datos_items!$E:$E,Analisis_grupo!$C$4))</f>
        <v/>
      </c>
      <c r="AB237" s="2" t="str">
        <f aca="false">IF($B237="","",COUNTIFS(Datos_items!$B:$B,$B237,Datos_items!$AA:$AA,AB$4,Datos_items!$E:$E,Analisis_grupo!$C$4))</f>
        <v/>
      </c>
      <c r="AC237" s="2" t="str">
        <f aca="false">IF($B237="","",COUNTIFS(Datos_items!$B:$B,$B237,Datos_items!$AA:$AA,AC$4,Datos_items!$E:$E,Analisis_grupo!$C$4))</f>
        <v/>
      </c>
      <c r="AD237" s="2" t="str">
        <f aca="false">IF($B237="","",COUNTIFS(Datos_items!$B:$B,$B237,Datos_items!$AA:$AA,AD$4,Datos_items!$E:$E,Analisis_grupo!$C$4))</f>
        <v/>
      </c>
      <c r="AE237" s="2" t="str">
        <f aca="false">IF($B237="","",COUNTIFS(Datos_items!$B:$B,$B237,Datos_items!$AA:$AA,AE$4,Datos_items!$E:$E,Analisis_grupo!$C$4))</f>
        <v/>
      </c>
      <c r="AF237" s="2" t="str">
        <f aca="false">IF($B237="","",COUNTIFS(Datos_items!$B:$B,$B237,Datos_items!$AA:$AA,AF$4,Datos_items!$E:$E,Analisis_grupo!$C$4))</f>
        <v/>
      </c>
      <c r="AG237" s="2" t="str">
        <f aca="false">IF($B237="","",COUNTIFS(Datos_items!$B:$B,$B237,Datos_items!$AA:$AA,AG$4,Datos_items!$E:$E,Analisis_grupo!$C$4))</f>
        <v/>
      </c>
      <c r="AH237" s="2" t="str">
        <f aca="false">IF($B237="","",COUNTIFS(Datos_items!$B:$B,$B237,Datos_items!$AA:$AA,AH$4,Datos_items!$E:$E,Analisis_grupo!$C$4))</f>
        <v/>
      </c>
      <c r="AI237" s="2" t="str">
        <f aca="false">IF($B237="","",COUNTIFS(Datos_items!$B:$B,$B237,Datos_items!$AA:$AA,AI$4,Datos_items!$E:$E,Analisis_grupo!$C$4))</f>
        <v/>
      </c>
      <c r="AJ237" s="2" t="str">
        <f aca="false">IF($B237="","",COUNTIFS(Datos_items!$B:$B,$B237,Datos_items!$AA:$AA,AJ$4,Datos_items!$E:$E,Analisis_grupo!$C$4))</f>
        <v/>
      </c>
      <c r="AK237" s="2" t="str">
        <f aca="false">IF($B237="","",COUNTIFS(Datos_items!$B:$B,$B237,Datos_items!$AA:$AA,AK$4,Datos_items!$E:$E,Analisis_grupo!$C$4))</f>
        <v/>
      </c>
      <c r="AL237" s="2" t="str">
        <f aca="false">IF($B237="","",COUNTIFS(Datos_items!$B:$B,$B237,Datos_items!$AA:$AA,AL$4,Datos_items!$E:$E,Analisis_grupo!$C$4))</f>
        <v/>
      </c>
      <c r="AM237" s="2" t="str">
        <f aca="false">IF($B237="","",IF(MAX(Y237:AL237)=0,"",INDEX($Y$4:$AL$4,MATCH(MAX(Y237:AL237),Y237:AL237,0))))</f>
        <v/>
      </c>
      <c r="AN237" s="2" t="str">
        <f aca="false">IF($B237="","",COUNTIFS(Datos_problemas!$B:$B,$B237,Datos_problemas!$F:$F,"Práctica"))</f>
        <v/>
      </c>
      <c r="AO237" s="2" t="str">
        <f aca="false">IF($B237="","",SUMIFS(Datos_problemas!$AQ:$AQ,Datos_problemas!$B:$B,$B237,Datos_problemas!$F:$F,"Práctica"))</f>
        <v/>
      </c>
      <c r="AP237" s="2" t="str">
        <f aca="false">IF($B237="","",COUNTIFS(Datos_problemas!$B:$B,$B237,Datos_problemas!$F:$F,"Práctica",Datos_problemas!$AS:$AS,"Sí"))</f>
        <v/>
      </c>
    </row>
    <row r="238" customFormat="false" ht="15" hidden="false" customHeight="false" outlineLevel="0" collapsed="false">
      <c r="A238" s="2" t="n">
        <v>234</v>
      </c>
      <c r="B238" s="2" t="str">
        <f aca="false">IFERROR(INDEX(Datos_problemas!$B:$B,MATCH($A238,Datos_problemas!$AV:$AV,0)),"")</f>
        <v/>
      </c>
      <c r="C238" s="2" t="str">
        <f aca="false">IF($B238="","",INDEX(Datos_problemas!$C:$C,MATCH($A238,Datos_problemas!$AV:$AV,0)))</f>
        <v/>
      </c>
      <c r="D238" s="2" t="str">
        <f aca="false">IF($B238="","",INDEX(Datos_problemas!$D:$D,MATCH($A238,Datos_problemas!$AV:$AV,0)))</f>
        <v/>
      </c>
      <c r="E238" s="2" t="str">
        <f aca="false">IF($B238="","",COUNTIFS(Datos_problemas!$B:$B,$B238,Datos_problemas!$F:$F,"Evaluación"))</f>
        <v/>
      </c>
      <c r="F238" s="20" t="str">
        <f aca="false">IF($B238="","",IFERROR(AVERAGEIFS(Datos_problemas!$AE:$AE,Datos_problemas!$B:$B,$B238,Datos_problemas!$F:$F,"Evaluación"),""))</f>
        <v/>
      </c>
      <c r="G238" s="20" t="str">
        <f aca="false">IF($B238="","",IFERROR(AVERAGEIFS(Datos_problemas!$AE:$AE,Datos_problemas!$B:$B,$B238,Datos_problemas!$F:$F,"Evaluación",Datos_problemas!$E:$E,"Diagnóstico"),""))</f>
        <v/>
      </c>
      <c r="H238" s="20" t="str">
        <f aca="false">IF($B238="","",IFERROR(AVERAGEIFS(Datos_problemas!$AE:$AE,Datos_problemas!$B:$B,$B238,Datos_problemas!$F:$F,"Evaluación",Datos_problemas!$E:$E,"Final"),""))</f>
        <v/>
      </c>
      <c r="I238" s="21" t="str">
        <f aca="false">IF(OR(G238="",H238=""),"",IF(G238&gt;=10,"",(H238-G238)/(10-G238)))</f>
        <v/>
      </c>
      <c r="J238" s="18" t="str">
        <f aca="false">IF($B238="","",IFERROR(SUMIFS(Datos_items!$Z:$Z,Datos_items!$B:$B,$B238,Datos_items!$O:$O,J$4,Datos_items!$E:$E,Analisis_grupo!$C$4)/COUNTIFS(Datos_items!$B:$B,$B238,Datos_items!$O:$O,J$4,Datos_items!$E:$E,Analisis_grupo!$C$4),""))</f>
        <v/>
      </c>
      <c r="K238" s="18" t="str">
        <f aca="false">IF($B238="","",IFERROR(SUMIFS(Datos_items!$Z:$Z,Datos_items!$B:$B,$B238,Datos_items!$O:$O,K$4,Datos_items!$E:$E,Analisis_grupo!$C$4)/COUNTIFS(Datos_items!$B:$B,$B238,Datos_items!$O:$O,K$4,Datos_items!$E:$E,Analisis_grupo!$C$4),""))</f>
        <v/>
      </c>
      <c r="L238" s="18" t="str">
        <f aca="false">IF($B238="","",IFERROR(SUMIFS(Datos_items!$Z:$Z,Datos_items!$B:$B,$B238,Datos_items!$O:$O,L$4,Datos_items!$E:$E,Analisis_grupo!$C$4)/COUNTIFS(Datos_items!$B:$B,$B238,Datos_items!$O:$O,L$4,Datos_items!$E:$E,Analisis_grupo!$C$4),""))</f>
        <v/>
      </c>
      <c r="M238" s="18" t="str">
        <f aca="false">IF($B238="","",IFERROR(SUMIFS(Datos_items!$Z:$Z,Datos_items!$B:$B,$B238,Datos_items!$O:$O,M$4,Datos_items!$E:$E,Analisis_grupo!$C$4)/COUNTIFS(Datos_items!$B:$B,$B238,Datos_items!$O:$O,M$4,Datos_items!$E:$E,Analisis_grupo!$C$4),""))</f>
        <v/>
      </c>
      <c r="N238" s="18" t="str">
        <f aca="false">IF($B238="","",IFERROR(SUMIFS(Datos_items!$Z:$Z,Datos_items!$B:$B,$B238,Datos_items!$O:$O,N$4,Datos_items!$E:$E,Analisis_grupo!$C$4)/COUNTIFS(Datos_items!$B:$B,$B238,Datos_items!$O:$O,N$4,Datos_items!$E:$E,Analisis_grupo!$C$4),""))</f>
        <v/>
      </c>
      <c r="O238" s="18" t="str">
        <f aca="false">IF($B238="","",IFERROR(SUMIFS(Datos_items!$Z:$Z,Datos_items!$B:$B,$B238,Datos_items!$O:$O,O$4,Datos_items!$E:$E,Analisis_grupo!$C$4)/COUNTIFS(Datos_items!$B:$B,$B238,Datos_items!$O:$O,O$4,Datos_items!$E:$E,Analisis_grupo!$C$4),""))</f>
        <v/>
      </c>
      <c r="P238" s="18" t="str">
        <f aca="false">IF($B238="","",IFERROR(SUMIFS(Datos_items!$Z:$Z,Datos_items!$B:$B,$B238,Datos_items!$O:$O,P$4,Datos_items!$E:$E,Analisis_grupo!$C$4)/COUNTIFS(Datos_items!$B:$B,$B238,Datos_items!$O:$O,P$4,Datos_items!$E:$E,Analisis_grupo!$C$4),""))</f>
        <v/>
      </c>
      <c r="Q238" s="18" t="str">
        <f aca="false">IF($B238="","",IFERROR(SUMIFS(Datos_items!$Z:$Z,Datos_items!$B:$B,$B238,Datos_items!$O:$O,Q$4,Datos_items!$E:$E,Analisis_grupo!$C$4)/COUNTIFS(Datos_items!$B:$B,$B238,Datos_items!$O:$O,Q$4,Datos_items!$E:$E,Analisis_grupo!$C$4),""))</f>
        <v/>
      </c>
      <c r="R238" s="2" t="str">
        <f aca="false">IF(COUNT(J238:Q238)=0,"",IF(MIN(J238:Q238)&gt;=Analisis_grupo!$B$7,"(ninguna)",INDEX($J$4:$Q$4,MATCH(MIN(J238:Q238),J238:Q238,0))))</f>
        <v/>
      </c>
      <c r="S238" s="2" t="str">
        <f aca="false">IF($B238="","",COUNTIF(J238:Q238,"&lt;"&amp;Analisis_grupo!$B$7))</f>
        <v/>
      </c>
      <c r="T238" s="2" t="str">
        <f aca="false">IF($B238="","",COUNTIFS(Datos_items!$B:$B,$B238,Datos_items!$AA:$AA,T$4,Datos_items!$E:$E,Analisis_grupo!$C$4))</f>
        <v/>
      </c>
      <c r="U238" s="2" t="str">
        <f aca="false">IF($B238="","",COUNTIFS(Datos_items!$B:$B,$B238,Datos_items!$AA:$AA,U$4,Datos_items!$E:$E,Analisis_grupo!$C$4))</f>
        <v/>
      </c>
      <c r="V238" s="2" t="str">
        <f aca="false">IF($B238="","",COUNTIFS(Datos_items!$B:$B,$B238,Datos_items!$AA:$AA,V$4,Datos_items!$E:$E,Analisis_grupo!$C$4))</f>
        <v/>
      </c>
      <c r="W238" s="2" t="str">
        <f aca="false">IF($B238="","",COUNTIFS(Datos_items!$B:$B,$B238,Datos_items!$AA:$AA,W$4,Datos_items!$E:$E,Analisis_grupo!$C$4))</f>
        <v/>
      </c>
      <c r="X238" s="2" t="str">
        <f aca="false">IF($B238="","",COUNTIFS(Datos_items!$B:$B,$B238,Datos_items!$AA:$AA,X$4,Datos_items!$E:$E,Analisis_grupo!$C$4))</f>
        <v/>
      </c>
      <c r="Y238" s="2" t="str">
        <f aca="false">IF($B238="","",COUNTIFS(Datos_items!$B:$B,$B238,Datos_items!$AA:$AA,Y$4,Datos_items!$E:$E,Analisis_grupo!$C$4))</f>
        <v/>
      </c>
      <c r="Z238" s="2" t="str">
        <f aca="false">IF($B238="","",COUNTIFS(Datos_items!$B:$B,$B238,Datos_items!$AA:$AA,Z$4,Datos_items!$E:$E,Analisis_grupo!$C$4))</f>
        <v/>
      </c>
      <c r="AA238" s="2" t="str">
        <f aca="false">IF($B238="","",COUNTIFS(Datos_items!$B:$B,$B238,Datos_items!$AA:$AA,AA$4,Datos_items!$E:$E,Analisis_grupo!$C$4))</f>
        <v/>
      </c>
      <c r="AB238" s="2" t="str">
        <f aca="false">IF($B238="","",COUNTIFS(Datos_items!$B:$B,$B238,Datos_items!$AA:$AA,AB$4,Datos_items!$E:$E,Analisis_grupo!$C$4))</f>
        <v/>
      </c>
      <c r="AC238" s="2" t="str">
        <f aca="false">IF($B238="","",COUNTIFS(Datos_items!$B:$B,$B238,Datos_items!$AA:$AA,AC$4,Datos_items!$E:$E,Analisis_grupo!$C$4))</f>
        <v/>
      </c>
      <c r="AD238" s="2" t="str">
        <f aca="false">IF($B238="","",COUNTIFS(Datos_items!$B:$B,$B238,Datos_items!$AA:$AA,AD$4,Datos_items!$E:$E,Analisis_grupo!$C$4))</f>
        <v/>
      </c>
      <c r="AE238" s="2" t="str">
        <f aca="false">IF($B238="","",COUNTIFS(Datos_items!$B:$B,$B238,Datos_items!$AA:$AA,AE$4,Datos_items!$E:$E,Analisis_grupo!$C$4))</f>
        <v/>
      </c>
      <c r="AF238" s="2" t="str">
        <f aca="false">IF($B238="","",COUNTIFS(Datos_items!$B:$B,$B238,Datos_items!$AA:$AA,AF$4,Datos_items!$E:$E,Analisis_grupo!$C$4))</f>
        <v/>
      </c>
      <c r="AG238" s="2" t="str">
        <f aca="false">IF($B238="","",COUNTIFS(Datos_items!$B:$B,$B238,Datos_items!$AA:$AA,AG$4,Datos_items!$E:$E,Analisis_grupo!$C$4))</f>
        <v/>
      </c>
      <c r="AH238" s="2" t="str">
        <f aca="false">IF($B238="","",COUNTIFS(Datos_items!$B:$B,$B238,Datos_items!$AA:$AA,AH$4,Datos_items!$E:$E,Analisis_grupo!$C$4))</f>
        <v/>
      </c>
      <c r="AI238" s="2" t="str">
        <f aca="false">IF($B238="","",COUNTIFS(Datos_items!$B:$B,$B238,Datos_items!$AA:$AA,AI$4,Datos_items!$E:$E,Analisis_grupo!$C$4))</f>
        <v/>
      </c>
      <c r="AJ238" s="2" t="str">
        <f aca="false">IF($B238="","",COUNTIFS(Datos_items!$B:$B,$B238,Datos_items!$AA:$AA,AJ$4,Datos_items!$E:$E,Analisis_grupo!$C$4))</f>
        <v/>
      </c>
      <c r="AK238" s="2" t="str">
        <f aca="false">IF($B238="","",COUNTIFS(Datos_items!$B:$B,$B238,Datos_items!$AA:$AA,AK$4,Datos_items!$E:$E,Analisis_grupo!$C$4))</f>
        <v/>
      </c>
      <c r="AL238" s="2" t="str">
        <f aca="false">IF($B238="","",COUNTIFS(Datos_items!$B:$B,$B238,Datos_items!$AA:$AA,AL$4,Datos_items!$E:$E,Analisis_grupo!$C$4))</f>
        <v/>
      </c>
      <c r="AM238" s="2" t="str">
        <f aca="false">IF($B238="","",IF(MAX(Y238:AL238)=0,"",INDEX($Y$4:$AL$4,MATCH(MAX(Y238:AL238),Y238:AL238,0))))</f>
        <v/>
      </c>
      <c r="AN238" s="2" t="str">
        <f aca="false">IF($B238="","",COUNTIFS(Datos_problemas!$B:$B,$B238,Datos_problemas!$F:$F,"Práctica"))</f>
        <v/>
      </c>
      <c r="AO238" s="2" t="str">
        <f aca="false">IF($B238="","",SUMIFS(Datos_problemas!$AQ:$AQ,Datos_problemas!$B:$B,$B238,Datos_problemas!$F:$F,"Práctica"))</f>
        <v/>
      </c>
      <c r="AP238" s="2" t="str">
        <f aca="false">IF($B238="","",COUNTIFS(Datos_problemas!$B:$B,$B238,Datos_problemas!$F:$F,"Práctica",Datos_problemas!$AS:$AS,"Sí"))</f>
        <v/>
      </c>
    </row>
    <row r="239" customFormat="false" ht="15" hidden="false" customHeight="false" outlineLevel="0" collapsed="false">
      <c r="A239" s="2" t="n">
        <v>235</v>
      </c>
      <c r="B239" s="2" t="str">
        <f aca="false">IFERROR(INDEX(Datos_problemas!$B:$B,MATCH($A239,Datos_problemas!$AV:$AV,0)),"")</f>
        <v/>
      </c>
      <c r="C239" s="2" t="str">
        <f aca="false">IF($B239="","",INDEX(Datos_problemas!$C:$C,MATCH($A239,Datos_problemas!$AV:$AV,0)))</f>
        <v/>
      </c>
      <c r="D239" s="2" t="str">
        <f aca="false">IF($B239="","",INDEX(Datos_problemas!$D:$D,MATCH($A239,Datos_problemas!$AV:$AV,0)))</f>
        <v/>
      </c>
      <c r="E239" s="2" t="str">
        <f aca="false">IF($B239="","",COUNTIFS(Datos_problemas!$B:$B,$B239,Datos_problemas!$F:$F,"Evaluación"))</f>
        <v/>
      </c>
      <c r="F239" s="20" t="str">
        <f aca="false">IF($B239="","",IFERROR(AVERAGEIFS(Datos_problemas!$AE:$AE,Datos_problemas!$B:$B,$B239,Datos_problemas!$F:$F,"Evaluación"),""))</f>
        <v/>
      </c>
      <c r="G239" s="20" t="str">
        <f aca="false">IF($B239="","",IFERROR(AVERAGEIFS(Datos_problemas!$AE:$AE,Datos_problemas!$B:$B,$B239,Datos_problemas!$F:$F,"Evaluación",Datos_problemas!$E:$E,"Diagnóstico"),""))</f>
        <v/>
      </c>
      <c r="H239" s="20" t="str">
        <f aca="false">IF($B239="","",IFERROR(AVERAGEIFS(Datos_problemas!$AE:$AE,Datos_problemas!$B:$B,$B239,Datos_problemas!$F:$F,"Evaluación",Datos_problemas!$E:$E,"Final"),""))</f>
        <v/>
      </c>
      <c r="I239" s="21" t="str">
        <f aca="false">IF(OR(G239="",H239=""),"",IF(G239&gt;=10,"",(H239-G239)/(10-G239)))</f>
        <v/>
      </c>
      <c r="J239" s="18" t="str">
        <f aca="false">IF($B239="","",IFERROR(SUMIFS(Datos_items!$Z:$Z,Datos_items!$B:$B,$B239,Datos_items!$O:$O,J$4,Datos_items!$E:$E,Analisis_grupo!$C$4)/COUNTIFS(Datos_items!$B:$B,$B239,Datos_items!$O:$O,J$4,Datos_items!$E:$E,Analisis_grupo!$C$4),""))</f>
        <v/>
      </c>
      <c r="K239" s="18" t="str">
        <f aca="false">IF($B239="","",IFERROR(SUMIFS(Datos_items!$Z:$Z,Datos_items!$B:$B,$B239,Datos_items!$O:$O,K$4,Datos_items!$E:$E,Analisis_grupo!$C$4)/COUNTIFS(Datos_items!$B:$B,$B239,Datos_items!$O:$O,K$4,Datos_items!$E:$E,Analisis_grupo!$C$4),""))</f>
        <v/>
      </c>
      <c r="L239" s="18" t="str">
        <f aca="false">IF($B239="","",IFERROR(SUMIFS(Datos_items!$Z:$Z,Datos_items!$B:$B,$B239,Datos_items!$O:$O,L$4,Datos_items!$E:$E,Analisis_grupo!$C$4)/COUNTIFS(Datos_items!$B:$B,$B239,Datos_items!$O:$O,L$4,Datos_items!$E:$E,Analisis_grupo!$C$4),""))</f>
        <v/>
      </c>
      <c r="M239" s="18" t="str">
        <f aca="false">IF($B239="","",IFERROR(SUMIFS(Datos_items!$Z:$Z,Datos_items!$B:$B,$B239,Datos_items!$O:$O,M$4,Datos_items!$E:$E,Analisis_grupo!$C$4)/COUNTIFS(Datos_items!$B:$B,$B239,Datos_items!$O:$O,M$4,Datos_items!$E:$E,Analisis_grupo!$C$4),""))</f>
        <v/>
      </c>
      <c r="N239" s="18" t="str">
        <f aca="false">IF($B239="","",IFERROR(SUMIFS(Datos_items!$Z:$Z,Datos_items!$B:$B,$B239,Datos_items!$O:$O,N$4,Datos_items!$E:$E,Analisis_grupo!$C$4)/COUNTIFS(Datos_items!$B:$B,$B239,Datos_items!$O:$O,N$4,Datos_items!$E:$E,Analisis_grupo!$C$4),""))</f>
        <v/>
      </c>
      <c r="O239" s="18" t="str">
        <f aca="false">IF($B239="","",IFERROR(SUMIFS(Datos_items!$Z:$Z,Datos_items!$B:$B,$B239,Datos_items!$O:$O,O$4,Datos_items!$E:$E,Analisis_grupo!$C$4)/COUNTIFS(Datos_items!$B:$B,$B239,Datos_items!$O:$O,O$4,Datos_items!$E:$E,Analisis_grupo!$C$4),""))</f>
        <v/>
      </c>
      <c r="P239" s="18" t="str">
        <f aca="false">IF($B239="","",IFERROR(SUMIFS(Datos_items!$Z:$Z,Datos_items!$B:$B,$B239,Datos_items!$O:$O,P$4,Datos_items!$E:$E,Analisis_grupo!$C$4)/COUNTIFS(Datos_items!$B:$B,$B239,Datos_items!$O:$O,P$4,Datos_items!$E:$E,Analisis_grupo!$C$4),""))</f>
        <v/>
      </c>
      <c r="Q239" s="18" t="str">
        <f aca="false">IF($B239="","",IFERROR(SUMIFS(Datos_items!$Z:$Z,Datos_items!$B:$B,$B239,Datos_items!$O:$O,Q$4,Datos_items!$E:$E,Analisis_grupo!$C$4)/COUNTIFS(Datos_items!$B:$B,$B239,Datos_items!$O:$O,Q$4,Datos_items!$E:$E,Analisis_grupo!$C$4),""))</f>
        <v/>
      </c>
      <c r="R239" s="2" t="str">
        <f aca="false">IF(COUNT(J239:Q239)=0,"",IF(MIN(J239:Q239)&gt;=Analisis_grupo!$B$7,"(ninguna)",INDEX($J$4:$Q$4,MATCH(MIN(J239:Q239),J239:Q239,0))))</f>
        <v/>
      </c>
      <c r="S239" s="2" t="str">
        <f aca="false">IF($B239="","",COUNTIF(J239:Q239,"&lt;"&amp;Analisis_grupo!$B$7))</f>
        <v/>
      </c>
      <c r="T239" s="2" t="str">
        <f aca="false">IF($B239="","",COUNTIFS(Datos_items!$B:$B,$B239,Datos_items!$AA:$AA,T$4,Datos_items!$E:$E,Analisis_grupo!$C$4))</f>
        <v/>
      </c>
      <c r="U239" s="2" t="str">
        <f aca="false">IF($B239="","",COUNTIFS(Datos_items!$B:$B,$B239,Datos_items!$AA:$AA,U$4,Datos_items!$E:$E,Analisis_grupo!$C$4))</f>
        <v/>
      </c>
      <c r="V239" s="2" t="str">
        <f aca="false">IF($B239="","",COUNTIFS(Datos_items!$B:$B,$B239,Datos_items!$AA:$AA,V$4,Datos_items!$E:$E,Analisis_grupo!$C$4))</f>
        <v/>
      </c>
      <c r="W239" s="2" t="str">
        <f aca="false">IF($B239="","",COUNTIFS(Datos_items!$B:$B,$B239,Datos_items!$AA:$AA,W$4,Datos_items!$E:$E,Analisis_grupo!$C$4))</f>
        <v/>
      </c>
      <c r="X239" s="2" t="str">
        <f aca="false">IF($B239="","",COUNTIFS(Datos_items!$B:$B,$B239,Datos_items!$AA:$AA,X$4,Datos_items!$E:$E,Analisis_grupo!$C$4))</f>
        <v/>
      </c>
      <c r="Y239" s="2" t="str">
        <f aca="false">IF($B239="","",COUNTIFS(Datos_items!$B:$B,$B239,Datos_items!$AA:$AA,Y$4,Datos_items!$E:$E,Analisis_grupo!$C$4))</f>
        <v/>
      </c>
      <c r="Z239" s="2" t="str">
        <f aca="false">IF($B239="","",COUNTIFS(Datos_items!$B:$B,$B239,Datos_items!$AA:$AA,Z$4,Datos_items!$E:$E,Analisis_grupo!$C$4))</f>
        <v/>
      </c>
      <c r="AA239" s="2" t="str">
        <f aca="false">IF($B239="","",COUNTIFS(Datos_items!$B:$B,$B239,Datos_items!$AA:$AA,AA$4,Datos_items!$E:$E,Analisis_grupo!$C$4))</f>
        <v/>
      </c>
      <c r="AB239" s="2" t="str">
        <f aca="false">IF($B239="","",COUNTIFS(Datos_items!$B:$B,$B239,Datos_items!$AA:$AA,AB$4,Datos_items!$E:$E,Analisis_grupo!$C$4))</f>
        <v/>
      </c>
      <c r="AC239" s="2" t="str">
        <f aca="false">IF($B239="","",COUNTIFS(Datos_items!$B:$B,$B239,Datos_items!$AA:$AA,AC$4,Datos_items!$E:$E,Analisis_grupo!$C$4))</f>
        <v/>
      </c>
      <c r="AD239" s="2" t="str">
        <f aca="false">IF($B239="","",COUNTIFS(Datos_items!$B:$B,$B239,Datos_items!$AA:$AA,AD$4,Datos_items!$E:$E,Analisis_grupo!$C$4))</f>
        <v/>
      </c>
      <c r="AE239" s="2" t="str">
        <f aca="false">IF($B239="","",COUNTIFS(Datos_items!$B:$B,$B239,Datos_items!$AA:$AA,AE$4,Datos_items!$E:$E,Analisis_grupo!$C$4))</f>
        <v/>
      </c>
      <c r="AF239" s="2" t="str">
        <f aca="false">IF($B239="","",COUNTIFS(Datos_items!$B:$B,$B239,Datos_items!$AA:$AA,AF$4,Datos_items!$E:$E,Analisis_grupo!$C$4))</f>
        <v/>
      </c>
      <c r="AG239" s="2" t="str">
        <f aca="false">IF($B239="","",COUNTIFS(Datos_items!$B:$B,$B239,Datos_items!$AA:$AA,AG$4,Datos_items!$E:$E,Analisis_grupo!$C$4))</f>
        <v/>
      </c>
      <c r="AH239" s="2" t="str">
        <f aca="false">IF($B239="","",COUNTIFS(Datos_items!$B:$B,$B239,Datos_items!$AA:$AA,AH$4,Datos_items!$E:$E,Analisis_grupo!$C$4))</f>
        <v/>
      </c>
      <c r="AI239" s="2" t="str">
        <f aca="false">IF($B239="","",COUNTIFS(Datos_items!$B:$B,$B239,Datos_items!$AA:$AA,AI$4,Datos_items!$E:$E,Analisis_grupo!$C$4))</f>
        <v/>
      </c>
      <c r="AJ239" s="2" t="str">
        <f aca="false">IF($B239="","",COUNTIFS(Datos_items!$B:$B,$B239,Datos_items!$AA:$AA,AJ$4,Datos_items!$E:$E,Analisis_grupo!$C$4))</f>
        <v/>
      </c>
      <c r="AK239" s="2" t="str">
        <f aca="false">IF($B239="","",COUNTIFS(Datos_items!$B:$B,$B239,Datos_items!$AA:$AA,AK$4,Datos_items!$E:$E,Analisis_grupo!$C$4))</f>
        <v/>
      </c>
      <c r="AL239" s="2" t="str">
        <f aca="false">IF($B239="","",COUNTIFS(Datos_items!$B:$B,$B239,Datos_items!$AA:$AA,AL$4,Datos_items!$E:$E,Analisis_grupo!$C$4))</f>
        <v/>
      </c>
      <c r="AM239" s="2" t="str">
        <f aca="false">IF($B239="","",IF(MAX(Y239:AL239)=0,"",INDEX($Y$4:$AL$4,MATCH(MAX(Y239:AL239),Y239:AL239,0))))</f>
        <v/>
      </c>
      <c r="AN239" s="2" t="str">
        <f aca="false">IF($B239="","",COUNTIFS(Datos_problemas!$B:$B,$B239,Datos_problemas!$F:$F,"Práctica"))</f>
        <v/>
      </c>
      <c r="AO239" s="2" t="str">
        <f aca="false">IF($B239="","",SUMIFS(Datos_problemas!$AQ:$AQ,Datos_problemas!$B:$B,$B239,Datos_problemas!$F:$F,"Práctica"))</f>
        <v/>
      </c>
      <c r="AP239" s="2" t="str">
        <f aca="false">IF($B239="","",COUNTIFS(Datos_problemas!$B:$B,$B239,Datos_problemas!$F:$F,"Práctica",Datos_problemas!$AS:$AS,"Sí"))</f>
        <v/>
      </c>
    </row>
    <row r="240" customFormat="false" ht="15" hidden="false" customHeight="false" outlineLevel="0" collapsed="false">
      <c r="A240" s="2" t="n">
        <v>236</v>
      </c>
      <c r="B240" s="2" t="str">
        <f aca="false">IFERROR(INDEX(Datos_problemas!$B:$B,MATCH($A240,Datos_problemas!$AV:$AV,0)),"")</f>
        <v/>
      </c>
      <c r="C240" s="2" t="str">
        <f aca="false">IF($B240="","",INDEX(Datos_problemas!$C:$C,MATCH($A240,Datos_problemas!$AV:$AV,0)))</f>
        <v/>
      </c>
      <c r="D240" s="2" t="str">
        <f aca="false">IF($B240="","",INDEX(Datos_problemas!$D:$D,MATCH($A240,Datos_problemas!$AV:$AV,0)))</f>
        <v/>
      </c>
      <c r="E240" s="2" t="str">
        <f aca="false">IF($B240="","",COUNTIFS(Datos_problemas!$B:$B,$B240,Datos_problemas!$F:$F,"Evaluación"))</f>
        <v/>
      </c>
      <c r="F240" s="20" t="str">
        <f aca="false">IF($B240="","",IFERROR(AVERAGEIFS(Datos_problemas!$AE:$AE,Datos_problemas!$B:$B,$B240,Datos_problemas!$F:$F,"Evaluación"),""))</f>
        <v/>
      </c>
      <c r="G240" s="20" t="str">
        <f aca="false">IF($B240="","",IFERROR(AVERAGEIFS(Datos_problemas!$AE:$AE,Datos_problemas!$B:$B,$B240,Datos_problemas!$F:$F,"Evaluación",Datos_problemas!$E:$E,"Diagnóstico"),""))</f>
        <v/>
      </c>
      <c r="H240" s="20" t="str">
        <f aca="false">IF($B240="","",IFERROR(AVERAGEIFS(Datos_problemas!$AE:$AE,Datos_problemas!$B:$B,$B240,Datos_problemas!$F:$F,"Evaluación",Datos_problemas!$E:$E,"Final"),""))</f>
        <v/>
      </c>
      <c r="I240" s="21" t="str">
        <f aca="false">IF(OR(G240="",H240=""),"",IF(G240&gt;=10,"",(H240-G240)/(10-G240)))</f>
        <v/>
      </c>
      <c r="J240" s="18" t="str">
        <f aca="false">IF($B240="","",IFERROR(SUMIFS(Datos_items!$Z:$Z,Datos_items!$B:$B,$B240,Datos_items!$O:$O,J$4,Datos_items!$E:$E,Analisis_grupo!$C$4)/COUNTIFS(Datos_items!$B:$B,$B240,Datos_items!$O:$O,J$4,Datos_items!$E:$E,Analisis_grupo!$C$4),""))</f>
        <v/>
      </c>
      <c r="K240" s="18" t="str">
        <f aca="false">IF($B240="","",IFERROR(SUMIFS(Datos_items!$Z:$Z,Datos_items!$B:$B,$B240,Datos_items!$O:$O,K$4,Datos_items!$E:$E,Analisis_grupo!$C$4)/COUNTIFS(Datos_items!$B:$B,$B240,Datos_items!$O:$O,K$4,Datos_items!$E:$E,Analisis_grupo!$C$4),""))</f>
        <v/>
      </c>
      <c r="L240" s="18" t="str">
        <f aca="false">IF($B240="","",IFERROR(SUMIFS(Datos_items!$Z:$Z,Datos_items!$B:$B,$B240,Datos_items!$O:$O,L$4,Datos_items!$E:$E,Analisis_grupo!$C$4)/COUNTIFS(Datos_items!$B:$B,$B240,Datos_items!$O:$O,L$4,Datos_items!$E:$E,Analisis_grupo!$C$4),""))</f>
        <v/>
      </c>
      <c r="M240" s="18" t="str">
        <f aca="false">IF($B240="","",IFERROR(SUMIFS(Datos_items!$Z:$Z,Datos_items!$B:$B,$B240,Datos_items!$O:$O,M$4,Datos_items!$E:$E,Analisis_grupo!$C$4)/COUNTIFS(Datos_items!$B:$B,$B240,Datos_items!$O:$O,M$4,Datos_items!$E:$E,Analisis_grupo!$C$4),""))</f>
        <v/>
      </c>
      <c r="N240" s="18" t="str">
        <f aca="false">IF($B240="","",IFERROR(SUMIFS(Datos_items!$Z:$Z,Datos_items!$B:$B,$B240,Datos_items!$O:$O,N$4,Datos_items!$E:$E,Analisis_grupo!$C$4)/COUNTIFS(Datos_items!$B:$B,$B240,Datos_items!$O:$O,N$4,Datos_items!$E:$E,Analisis_grupo!$C$4),""))</f>
        <v/>
      </c>
      <c r="O240" s="18" t="str">
        <f aca="false">IF($B240="","",IFERROR(SUMIFS(Datos_items!$Z:$Z,Datos_items!$B:$B,$B240,Datos_items!$O:$O,O$4,Datos_items!$E:$E,Analisis_grupo!$C$4)/COUNTIFS(Datos_items!$B:$B,$B240,Datos_items!$O:$O,O$4,Datos_items!$E:$E,Analisis_grupo!$C$4),""))</f>
        <v/>
      </c>
      <c r="P240" s="18" t="str">
        <f aca="false">IF($B240="","",IFERROR(SUMIFS(Datos_items!$Z:$Z,Datos_items!$B:$B,$B240,Datos_items!$O:$O,P$4,Datos_items!$E:$E,Analisis_grupo!$C$4)/COUNTIFS(Datos_items!$B:$B,$B240,Datos_items!$O:$O,P$4,Datos_items!$E:$E,Analisis_grupo!$C$4),""))</f>
        <v/>
      </c>
      <c r="Q240" s="18" t="str">
        <f aca="false">IF($B240="","",IFERROR(SUMIFS(Datos_items!$Z:$Z,Datos_items!$B:$B,$B240,Datos_items!$O:$O,Q$4,Datos_items!$E:$E,Analisis_grupo!$C$4)/COUNTIFS(Datos_items!$B:$B,$B240,Datos_items!$O:$O,Q$4,Datos_items!$E:$E,Analisis_grupo!$C$4),""))</f>
        <v/>
      </c>
      <c r="R240" s="2" t="str">
        <f aca="false">IF(COUNT(J240:Q240)=0,"",IF(MIN(J240:Q240)&gt;=Analisis_grupo!$B$7,"(ninguna)",INDEX($J$4:$Q$4,MATCH(MIN(J240:Q240),J240:Q240,0))))</f>
        <v/>
      </c>
      <c r="S240" s="2" t="str">
        <f aca="false">IF($B240="","",COUNTIF(J240:Q240,"&lt;"&amp;Analisis_grupo!$B$7))</f>
        <v/>
      </c>
      <c r="T240" s="2" t="str">
        <f aca="false">IF($B240="","",COUNTIFS(Datos_items!$B:$B,$B240,Datos_items!$AA:$AA,T$4,Datos_items!$E:$E,Analisis_grupo!$C$4))</f>
        <v/>
      </c>
      <c r="U240" s="2" t="str">
        <f aca="false">IF($B240="","",COUNTIFS(Datos_items!$B:$B,$B240,Datos_items!$AA:$AA,U$4,Datos_items!$E:$E,Analisis_grupo!$C$4))</f>
        <v/>
      </c>
      <c r="V240" s="2" t="str">
        <f aca="false">IF($B240="","",COUNTIFS(Datos_items!$B:$B,$B240,Datos_items!$AA:$AA,V$4,Datos_items!$E:$E,Analisis_grupo!$C$4))</f>
        <v/>
      </c>
      <c r="W240" s="2" t="str">
        <f aca="false">IF($B240="","",COUNTIFS(Datos_items!$B:$B,$B240,Datos_items!$AA:$AA,W$4,Datos_items!$E:$E,Analisis_grupo!$C$4))</f>
        <v/>
      </c>
      <c r="X240" s="2" t="str">
        <f aca="false">IF($B240="","",COUNTIFS(Datos_items!$B:$B,$B240,Datos_items!$AA:$AA,X$4,Datos_items!$E:$E,Analisis_grupo!$C$4))</f>
        <v/>
      </c>
      <c r="Y240" s="2" t="str">
        <f aca="false">IF($B240="","",COUNTIFS(Datos_items!$B:$B,$B240,Datos_items!$AA:$AA,Y$4,Datos_items!$E:$E,Analisis_grupo!$C$4))</f>
        <v/>
      </c>
      <c r="Z240" s="2" t="str">
        <f aca="false">IF($B240="","",COUNTIFS(Datos_items!$B:$B,$B240,Datos_items!$AA:$AA,Z$4,Datos_items!$E:$E,Analisis_grupo!$C$4))</f>
        <v/>
      </c>
      <c r="AA240" s="2" t="str">
        <f aca="false">IF($B240="","",COUNTIFS(Datos_items!$B:$B,$B240,Datos_items!$AA:$AA,AA$4,Datos_items!$E:$E,Analisis_grupo!$C$4))</f>
        <v/>
      </c>
      <c r="AB240" s="2" t="str">
        <f aca="false">IF($B240="","",COUNTIFS(Datos_items!$B:$B,$B240,Datos_items!$AA:$AA,AB$4,Datos_items!$E:$E,Analisis_grupo!$C$4))</f>
        <v/>
      </c>
      <c r="AC240" s="2" t="str">
        <f aca="false">IF($B240="","",COUNTIFS(Datos_items!$B:$B,$B240,Datos_items!$AA:$AA,AC$4,Datos_items!$E:$E,Analisis_grupo!$C$4))</f>
        <v/>
      </c>
      <c r="AD240" s="2" t="str">
        <f aca="false">IF($B240="","",COUNTIFS(Datos_items!$B:$B,$B240,Datos_items!$AA:$AA,AD$4,Datos_items!$E:$E,Analisis_grupo!$C$4))</f>
        <v/>
      </c>
      <c r="AE240" s="2" t="str">
        <f aca="false">IF($B240="","",COUNTIFS(Datos_items!$B:$B,$B240,Datos_items!$AA:$AA,AE$4,Datos_items!$E:$E,Analisis_grupo!$C$4))</f>
        <v/>
      </c>
      <c r="AF240" s="2" t="str">
        <f aca="false">IF($B240="","",COUNTIFS(Datos_items!$B:$B,$B240,Datos_items!$AA:$AA,AF$4,Datos_items!$E:$E,Analisis_grupo!$C$4))</f>
        <v/>
      </c>
      <c r="AG240" s="2" t="str">
        <f aca="false">IF($B240="","",COUNTIFS(Datos_items!$B:$B,$B240,Datos_items!$AA:$AA,AG$4,Datos_items!$E:$E,Analisis_grupo!$C$4))</f>
        <v/>
      </c>
      <c r="AH240" s="2" t="str">
        <f aca="false">IF($B240="","",COUNTIFS(Datos_items!$B:$B,$B240,Datos_items!$AA:$AA,AH$4,Datos_items!$E:$E,Analisis_grupo!$C$4))</f>
        <v/>
      </c>
      <c r="AI240" s="2" t="str">
        <f aca="false">IF($B240="","",COUNTIFS(Datos_items!$B:$B,$B240,Datos_items!$AA:$AA,AI$4,Datos_items!$E:$E,Analisis_grupo!$C$4))</f>
        <v/>
      </c>
      <c r="AJ240" s="2" t="str">
        <f aca="false">IF($B240="","",COUNTIFS(Datos_items!$B:$B,$B240,Datos_items!$AA:$AA,AJ$4,Datos_items!$E:$E,Analisis_grupo!$C$4))</f>
        <v/>
      </c>
      <c r="AK240" s="2" t="str">
        <f aca="false">IF($B240="","",COUNTIFS(Datos_items!$B:$B,$B240,Datos_items!$AA:$AA,AK$4,Datos_items!$E:$E,Analisis_grupo!$C$4))</f>
        <v/>
      </c>
      <c r="AL240" s="2" t="str">
        <f aca="false">IF($B240="","",COUNTIFS(Datos_items!$B:$B,$B240,Datos_items!$AA:$AA,AL$4,Datos_items!$E:$E,Analisis_grupo!$C$4))</f>
        <v/>
      </c>
      <c r="AM240" s="2" t="str">
        <f aca="false">IF($B240="","",IF(MAX(Y240:AL240)=0,"",INDEX($Y$4:$AL$4,MATCH(MAX(Y240:AL240),Y240:AL240,0))))</f>
        <v/>
      </c>
      <c r="AN240" s="2" t="str">
        <f aca="false">IF($B240="","",COUNTIFS(Datos_problemas!$B:$B,$B240,Datos_problemas!$F:$F,"Práctica"))</f>
        <v/>
      </c>
      <c r="AO240" s="2" t="str">
        <f aca="false">IF($B240="","",SUMIFS(Datos_problemas!$AQ:$AQ,Datos_problemas!$B:$B,$B240,Datos_problemas!$F:$F,"Práctica"))</f>
        <v/>
      </c>
      <c r="AP240" s="2" t="str">
        <f aca="false">IF($B240="","",COUNTIFS(Datos_problemas!$B:$B,$B240,Datos_problemas!$F:$F,"Práctica",Datos_problemas!$AS:$AS,"Sí"))</f>
        <v/>
      </c>
    </row>
    <row r="241" customFormat="false" ht="15" hidden="false" customHeight="false" outlineLevel="0" collapsed="false">
      <c r="A241" s="2" t="n">
        <v>237</v>
      </c>
      <c r="B241" s="2" t="str">
        <f aca="false">IFERROR(INDEX(Datos_problemas!$B:$B,MATCH($A241,Datos_problemas!$AV:$AV,0)),"")</f>
        <v/>
      </c>
      <c r="C241" s="2" t="str">
        <f aca="false">IF($B241="","",INDEX(Datos_problemas!$C:$C,MATCH($A241,Datos_problemas!$AV:$AV,0)))</f>
        <v/>
      </c>
      <c r="D241" s="2" t="str">
        <f aca="false">IF($B241="","",INDEX(Datos_problemas!$D:$D,MATCH($A241,Datos_problemas!$AV:$AV,0)))</f>
        <v/>
      </c>
      <c r="E241" s="2" t="str">
        <f aca="false">IF($B241="","",COUNTIFS(Datos_problemas!$B:$B,$B241,Datos_problemas!$F:$F,"Evaluación"))</f>
        <v/>
      </c>
      <c r="F241" s="20" t="str">
        <f aca="false">IF($B241="","",IFERROR(AVERAGEIFS(Datos_problemas!$AE:$AE,Datos_problemas!$B:$B,$B241,Datos_problemas!$F:$F,"Evaluación"),""))</f>
        <v/>
      </c>
      <c r="G241" s="20" t="str">
        <f aca="false">IF($B241="","",IFERROR(AVERAGEIFS(Datos_problemas!$AE:$AE,Datos_problemas!$B:$B,$B241,Datos_problemas!$F:$F,"Evaluación",Datos_problemas!$E:$E,"Diagnóstico"),""))</f>
        <v/>
      </c>
      <c r="H241" s="20" t="str">
        <f aca="false">IF($B241="","",IFERROR(AVERAGEIFS(Datos_problemas!$AE:$AE,Datos_problemas!$B:$B,$B241,Datos_problemas!$F:$F,"Evaluación",Datos_problemas!$E:$E,"Final"),""))</f>
        <v/>
      </c>
      <c r="I241" s="21" t="str">
        <f aca="false">IF(OR(G241="",H241=""),"",IF(G241&gt;=10,"",(H241-G241)/(10-G241)))</f>
        <v/>
      </c>
      <c r="J241" s="18" t="str">
        <f aca="false">IF($B241="","",IFERROR(SUMIFS(Datos_items!$Z:$Z,Datos_items!$B:$B,$B241,Datos_items!$O:$O,J$4,Datos_items!$E:$E,Analisis_grupo!$C$4)/COUNTIFS(Datos_items!$B:$B,$B241,Datos_items!$O:$O,J$4,Datos_items!$E:$E,Analisis_grupo!$C$4),""))</f>
        <v/>
      </c>
      <c r="K241" s="18" t="str">
        <f aca="false">IF($B241="","",IFERROR(SUMIFS(Datos_items!$Z:$Z,Datos_items!$B:$B,$B241,Datos_items!$O:$O,K$4,Datos_items!$E:$E,Analisis_grupo!$C$4)/COUNTIFS(Datos_items!$B:$B,$B241,Datos_items!$O:$O,K$4,Datos_items!$E:$E,Analisis_grupo!$C$4),""))</f>
        <v/>
      </c>
      <c r="L241" s="18" t="str">
        <f aca="false">IF($B241="","",IFERROR(SUMIFS(Datos_items!$Z:$Z,Datos_items!$B:$B,$B241,Datos_items!$O:$O,L$4,Datos_items!$E:$E,Analisis_grupo!$C$4)/COUNTIFS(Datos_items!$B:$B,$B241,Datos_items!$O:$O,L$4,Datos_items!$E:$E,Analisis_grupo!$C$4),""))</f>
        <v/>
      </c>
      <c r="M241" s="18" t="str">
        <f aca="false">IF($B241="","",IFERROR(SUMIFS(Datos_items!$Z:$Z,Datos_items!$B:$B,$B241,Datos_items!$O:$O,M$4,Datos_items!$E:$E,Analisis_grupo!$C$4)/COUNTIFS(Datos_items!$B:$B,$B241,Datos_items!$O:$O,M$4,Datos_items!$E:$E,Analisis_grupo!$C$4),""))</f>
        <v/>
      </c>
      <c r="N241" s="18" t="str">
        <f aca="false">IF($B241="","",IFERROR(SUMIFS(Datos_items!$Z:$Z,Datos_items!$B:$B,$B241,Datos_items!$O:$O,N$4,Datos_items!$E:$E,Analisis_grupo!$C$4)/COUNTIFS(Datos_items!$B:$B,$B241,Datos_items!$O:$O,N$4,Datos_items!$E:$E,Analisis_grupo!$C$4),""))</f>
        <v/>
      </c>
      <c r="O241" s="18" t="str">
        <f aca="false">IF($B241="","",IFERROR(SUMIFS(Datos_items!$Z:$Z,Datos_items!$B:$B,$B241,Datos_items!$O:$O,O$4,Datos_items!$E:$E,Analisis_grupo!$C$4)/COUNTIFS(Datos_items!$B:$B,$B241,Datos_items!$O:$O,O$4,Datos_items!$E:$E,Analisis_grupo!$C$4),""))</f>
        <v/>
      </c>
      <c r="P241" s="18" t="str">
        <f aca="false">IF($B241="","",IFERROR(SUMIFS(Datos_items!$Z:$Z,Datos_items!$B:$B,$B241,Datos_items!$O:$O,P$4,Datos_items!$E:$E,Analisis_grupo!$C$4)/COUNTIFS(Datos_items!$B:$B,$B241,Datos_items!$O:$O,P$4,Datos_items!$E:$E,Analisis_grupo!$C$4),""))</f>
        <v/>
      </c>
      <c r="Q241" s="18" t="str">
        <f aca="false">IF($B241="","",IFERROR(SUMIFS(Datos_items!$Z:$Z,Datos_items!$B:$B,$B241,Datos_items!$O:$O,Q$4,Datos_items!$E:$E,Analisis_grupo!$C$4)/COUNTIFS(Datos_items!$B:$B,$B241,Datos_items!$O:$O,Q$4,Datos_items!$E:$E,Analisis_grupo!$C$4),""))</f>
        <v/>
      </c>
      <c r="R241" s="2" t="str">
        <f aca="false">IF(COUNT(J241:Q241)=0,"",IF(MIN(J241:Q241)&gt;=Analisis_grupo!$B$7,"(ninguna)",INDEX($J$4:$Q$4,MATCH(MIN(J241:Q241),J241:Q241,0))))</f>
        <v/>
      </c>
      <c r="S241" s="2" t="str">
        <f aca="false">IF($B241="","",COUNTIF(J241:Q241,"&lt;"&amp;Analisis_grupo!$B$7))</f>
        <v/>
      </c>
      <c r="T241" s="2" t="str">
        <f aca="false">IF($B241="","",COUNTIFS(Datos_items!$B:$B,$B241,Datos_items!$AA:$AA,T$4,Datos_items!$E:$E,Analisis_grupo!$C$4))</f>
        <v/>
      </c>
      <c r="U241" s="2" t="str">
        <f aca="false">IF($B241="","",COUNTIFS(Datos_items!$B:$B,$B241,Datos_items!$AA:$AA,U$4,Datos_items!$E:$E,Analisis_grupo!$C$4))</f>
        <v/>
      </c>
      <c r="V241" s="2" t="str">
        <f aca="false">IF($B241="","",COUNTIFS(Datos_items!$B:$B,$B241,Datos_items!$AA:$AA,V$4,Datos_items!$E:$E,Analisis_grupo!$C$4))</f>
        <v/>
      </c>
      <c r="W241" s="2" t="str">
        <f aca="false">IF($B241="","",COUNTIFS(Datos_items!$B:$B,$B241,Datos_items!$AA:$AA,W$4,Datos_items!$E:$E,Analisis_grupo!$C$4))</f>
        <v/>
      </c>
      <c r="X241" s="2" t="str">
        <f aca="false">IF($B241="","",COUNTIFS(Datos_items!$B:$B,$B241,Datos_items!$AA:$AA,X$4,Datos_items!$E:$E,Analisis_grupo!$C$4))</f>
        <v/>
      </c>
      <c r="Y241" s="2" t="str">
        <f aca="false">IF($B241="","",COUNTIFS(Datos_items!$B:$B,$B241,Datos_items!$AA:$AA,Y$4,Datos_items!$E:$E,Analisis_grupo!$C$4))</f>
        <v/>
      </c>
      <c r="Z241" s="2" t="str">
        <f aca="false">IF($B241="","",COUNTIFS(Datos_items!$B:$B,$B241,Datos_items!$AA:$AA,Z$4,Datos_items!$E:$E,Analisis_grupo!$C$4))</f>
        <v/>
      </c>
      <c r="AA241" s="2" t="str">
        <f aca="false">IF($B241="","",COUNTIFS(Datos_items!$B:$B,$B241,Datos_items!$AA:$AA,AA$4,Datos_items!$E:$E,Analisis_grupo!$C$4))</f>
        <v/>
      </c>
      <c r="AB241" s="2" t="str">
        <f aca="false">IF($B241="","",COUNTIFS(Datos_items!$B:$B,$B241,Datos_items!$AA:$AA,AB$4,Datos_items!$E:$E,Analisis_grupo!$C$4))</f>
        <v/>
      </c>
      <c r="AC241" s="2" t="str">
        <f aca="false">IF($B241="","",COUNTIFS(Datos_items!$B:$B,$B241,Datos_items!$AA:$AA,AC$4,Datos_items!$E:$E,Analisis_grupo!$C$4))</f>
        <v/>
      </c>
      <c r="AD241" s="2" t="str">
        <f aca="false">IF($B241="","",COUNTIFS(Datos_items!$B:$B,$B241,Datos_items!$AA:$AA,AD$4,Datos_items!$E:$E,Analisis_grupo!$C$4))</f>
        <v/>
      </c>
      <c r="AE241" s="2" t="str">
        <f aca="false">IF($B241="","",COUNTIFS(Datos_items!$B:$B,$B241,Datos_items!$AA:$AA,AE$4,Datos_items!$E:$E,Analisis_grupo!$C$4))</f>
        <v/>
      </c>
      <c r="AF241" s="2" t="str">
        <f aca="false">IF($B241="","",COUNTIFS(Datos_items!$B:$B,$B241,Datos_items!$AA:$AA,AF$4,Datos_items!$E:$E,Analisis_grupo!$C$4))</f>
        <v/>
      </c>
      <c r="AG241" s="2" t="str">
        <f aca="false">IF($B241="","",COUNTIFS(Datos_items!$B:$B,$B241,Datos_items!$AA:$AA,AG$4,Datos_items!$E:$E,Analisis_grupo!$C$4))</f>
        <v/>
      </c>
      <c r="AH241" s="2" t="str">
        <f aca="false">IF($B241="","",COUNTIFS(Datos_items!$B:$B,$B241,Datos_items!$AA:$AA,AH$4,Datos_items!$E:$E,Analisis_grupo!$C$4))</f>
        <v/>
      </c>
      <c r="AI241" s="2" t="str">
        <f aca="false">IF($B241="","",COUNTIFS(Datos_items!$B:$B,$B241,Datos_items!$AA:$AA,AI$4,Datos_items!$E:$E,Analisis_grupo!$C$4))</f>
        <v/>
      </c>
      <c r="AJ241" s="2" t="str">
        <f aca="false">IF($B241="","",COUNTIFS(Datos_items!$B:$B,$B241,Datos_items!$AA:$AA,AJ$4,Datos_items!$E:$E,Analisis_grupo!$C$4))</f>
        <v/>
      </c>
      <c r="AK241" s="2" t="str">
        <f aca="false">IF($B241="","",COUNTIFS(Datos_items!$B:$B,$B241,Datos_items!$AA:$AA,AK$4,Datos_items!$E:$E,Analisis_grupo!$C$4))</f>
        <v/>
      </c>
      <c r="AL241" s="2" t="str">
        <f aca="false">IF($B241="","",COUNTIFS(Datos_items!$B:$B,$B241,Datos_items!$AA:$AA,AL$4,Datos_items!$E:$E,Analisis_grupo!$C$4))</f>
        <v/>
      </c>
      <c r="AM241" s="2" t="str">
        <f aca="false">IF($B241="","",IF(MAX(Y241:AL241)=0,"",INDEX($Y$4:$AL$4,MATCH(MAX(Y241:AL241),Y241:AL241,0))))</f>
        <v/>
      </c>
      <c r="AN241" s="2" t="str">
        <f aca="false">IF($B241="","",COUNTIFS(Datos_problemas!$B:$B,$B241,Datos_problemas!$F:$F,"Práctica"))</f>
        <v/>
      </c>
      <c r="AO241" s="2" t="str">
        <f aca="false">IF($B241="","",SUMIFS(Datos_problemas!$AQ:$AQ,Datos_problemas!$B:$B,$B241,Datos_problemas!$F:$F,"Práctica"))</f>
        <v/>
      </c>
      <c r="AP241" s="2" t="str">
        <f aca="false">IF($B241="","",COUNTIFS(Datos_problemas!$B:$B,$B241,Datos_problemas!$F:$F,"Práctica",Datos_problemas!$AS:$AS,"Sí"))</f>
        <v/>
      </c>
    </row>
    <row r="242" customFormat="false" ht="15" hidden="false" customHeight="false" outlineLevel="0" collapsed="false">
      <c r="A242" s="2" t="n">
        <v>238</v>
      </c>
      <c r="B242" s="2" t="str">
        <f aca="false">IFERROR(INDEX(Datos_problemas!$B:$B,MATCH($A242,Datos_problemas!$AV:$AV,0)),"")</f>
        <v/>
      </c>
      <c r="C242" s="2" t="str">
        <f aca="false">IF($B242="","",INDEX(Datos_problemas!$C:$C,MATCH($A242,Datos_problemas!$AV:$AV,0)))</f>
        <v/>
      </c>
      <c r="D242" s="2" t="str">
        <f aca="false">IF($B242="","",INDEX(Datos_problemas!$D:$D,MATCH($A242,Datos_problemas!$AV:$AV,0)))</f>
        <v/>
      </c>
      <c r="E242" s="2" t="str">
        <f aca="false">IF($B242="","",COUNTIFS(Datos_problemas!$B:$B,$B242,Datos_problemas!$F:$F,"Evaluación"))</f>
        <v/>
      </c>
      <c r="F242" s="20" t="str">
        <f aca="false">IF($B242="","",IFERROR(AVERAGEIFS(Datos_problemas!$AE:$AE,Datos_problemas!$B:$B,$B242,Datos_problemas!$F:$F,"Evaluación"),""))</f>
        <v/>
      </c>
      <c r="G242" s="20" t="str">
        <f aca="false">IF($B242="","",IFERROR(AVERAGEIFS(Datos_problemas!$AE:$AE,Datos_problemas!$B:$B,$B242,Datos_problemas!$F:$F,"Evaluación",Datos_problemas!$E:$E,"Diagnóstico"),""))</f>
        <v/>
      </c>
      <c r="H242" s="20" t="str">
        <f aca="false">IF($B242="","",IFERROR(AVERAGEIFS(Datos_problemas!$AE:$AE,Datos_problemas!$B:$B,$B242,Datos_problemas!$F:$F,"Evaluación",Datos_problemas!$E:$E,"Final"),""))</f>
        <v/>
      </c>
      <c r="I242" s="21" t="str">
        <f aca="false">IF(OR(G242="",H242=""),"",IF(G242&gt;=10,"",(H242-G242)/(10-G242)))</f>
        <v/>
      </c>
      <c r="J242" s="18" t="str">
        <f aca="false">IF($B242="","",IFERROR(SUMIFS(Datos_items!$Z:$Z,Datos_items!$B:$B,$B242,Datos_items!$O:$O,J$4,Datos_items!$E:$E,Analisis_grupo!$C$4)/COUNTIFS(Datos_items!$B:$B,$B242,Datos_items!$O:$O,J$4,Datos_items!$E:$E,Analisis_grupo!$C$4),""))</f>
        <v/>
      </c>
      <c r="K242" s="18" t="str">
        <f aca="false">IF($B242="","",IFERROR(SUMIFS(Datos_items!$Z:$Z,Datos_items!$B:$B,$B242,Datos_items!$O:$O,K$4,Datos_items!$E:$E,Analisis_grupo!$C$4)/COUNTIFS(Datos_items!$B:$B,$B242,Datos_items!$O:$O,K$4,Datos_items!$E:$E,Analisis_grupo!$C$4),""))</f>
        <v/>
      </c>
      <c r="L242" s="18" t="str">
        <f aca="false">IF($B242="","",IFERROR(SUMIFS(Datos_items!$Z:$Z,Datos_items!$B:$B,$B242,Datos_items!$O:$O,L$4,Datos_items!$E:$E,Analisis_grupo!$C$4)/COUNTIFS(Datos_items!$B:$B,$B242,Datos_items!$O:$O,L$4,Datos_items!$E:$E,Analisis_grupo!$C$4),""))</f>
        <v/>
      </c>
      <c r="M242" s="18" t="str">
        <f aca="false">IF($B242="","",IFERROR(SUMIFS(Datos_items!$Z:$Z,Datos_items!$B:$B,$B242,Datos_items!$O:$O,M$4,Datos_items!$E:$E,Analisis_grupo!$C$4)/COUNTIFS(Datos_items!$B:$B,$B242,Datos_items!$O:$O,M$4,Datos_items!$E:$E,Analisis_grupo!$C$4),""))</f>
        <v/>
      </c>
      <c r="N242" s="18" t="str">
        <f aca="false">IF($B242="","",IFERROR(SUMIFS(Datos_items!$Z:$Z,Datos_items!$B:$B,$B242,Datos_items!$O:$O,N$4,Datos_items!$E:$E,Analisis_grupo!$C$4)/COUNTIFS(Datos_items!$B:$B,$B242,Datos_items!$O:$O,N$4,Datos_items!$E:$E,Analisis_grupo!$C$4),""))</f>
        <v/>
      </c>
      <c r="O242" s="18" t="str">
        <f aca="false">IF($B242="","",IFERROR(SUMIFS(Datos_items!$Z:$Z,Datos_items!$B:$B,$B242,Datos_items!$O:$O,O$4,Datos_items!$E:$E,Analisis_grupo!$C$4)/COUNTIFS(Datos_items!$B:$B,$B242,Datos_items!$O:$O,O$4,Datos_items!$E:$E,Analisis_grupo!$C$4),""))</f>
        <v/>
      </c>
      <c r="P242" s="18" t="str">
        <f aca="false">IF($B242="","",IFERROR(SUMIFS(Datos_items!$Z:$Z,Datos_items!$B:$B,$B242,Datos_items!$O:$O,P$4,Datos_items!$E:$E,Analisis_grupo!$C$4)/COUNTIFS(Datos_items!$B:$B,$B242,Datos_items!$O:$O,P$4,Datos_items!$E:$E,Analisis_grupo!$C$4),""))</f>
        <v/>
      </c>
      <c r="Q242" s="18" t="str">
        <f aca="false">IF($B242="","",IFERROR(SUMIFS(Datos_items!$Z:$Z,Datos_items!$B:$B,$B242,Datos_items!$O:$O,Q$4,Datos_items!$E:$E,Analisis_grupo!$C$4)/COUNTIFS(Datos_items!$B:$B,$B242,Datos_items!$O:$O,Q$4,Datos_items!$E:$E,Analisis_grupo!$C$4),""))</f>
        <v/>
      </c>
      <c r="R242" s="2" t="str">
        <f aca="false">IF(COUNT(J242:Q242)=0,"",IF(MIN(J242:Q242)&gt;=Analisis_grupo!$B$7,"(ninguna)",INDEX($J$4:$Q$4,MATCH(MIN(J242:Q242),J242:Q242,0))))</f>
        <v/>
      </c>
      <c r="S242" s="2" t="str">
        <f aca="false">IF($B242="","",COUNTIF(J242:Q242,"&lt;"&amp;Analisis_grupo!$B$7))</f>
        <v/>
      </c>
      <c r="T242" s="2" t="str">
        <f aca="false">IF($B242="","",COUNTIFS(Datos_items!$B:$B,$B242,Datos_items!$AA:$AA,T$4,Datos_items!$E:$E,Analisis_grupo!$C$4))</f>
        <v/>
      </c>
      <c r="U242" s="2" t="str">
        <f aca="false">IF($B242="","",COUNTIFS(Datos_items!$B:$B,$B242,Datos_items!$AA:$AA,U$4,Datos_items!$E:$E,Analisis_grupo!$C$4))</f>
        <v/>
      </c>
      <c r="V242" s="2" t="str">
        <f aca="false">IF($B242="","",COUNTIFS(Datos_items!$B:$B,$B242,Datos_items!$AA:$AA,V$4,Datos_items!$E:$E,Analisis_grupo!$C$4))</f>
        <v/>
      </c>
      <c r="W242" s="2" t="str">
        <f aca="false">IF($B242="","",COUNTIFS(Datos_items!$B:$B,$B242,Datos_items!$AA:$AA,W$4,Datos_items!$E:$E,Analisis_grupo!$C$4))</f>
        <v/>
      </c>
      <c r="X242" s="2" t="str">
        <f aca="false">IF($B242="","",COUNTIFS(Datos_items!$B:$B,$B242,Datos_items!$AA:$AA,X$4,Datos_items!$E:$E,Analisis_grupo!$C$4))</f>
        <v/>
      </c>
      <c r="Y242" s="2" t="str">
        <f aca="false">IF($B242="","",COUNTIFS(Datos_items!$B:$B,$B242,Datos_items!$AA:$AA,Y$4,Datos_items!$E:$E,Analisis_grupo!$C$4))</f>
        <v/>
      </c>
      <c r="Z242" s="2" t="str">
        <f aca="false">IF($B242="","",COUNTIFS(Datos_items!$B:$B,$B242,Datos_items!$AA:$AA,Z$4,Datos_items!$E:$E,Analisis_grupo!$C$4))</f>
        <v/>
      </c>
      <c r="AA242" s="2" t="str">
        <f aca="false">IF($B242="","",COUNTIFS(Datos_items!$B:$B,$B242,Datos_items!$AA:$AA,AA$4,Datos_items!$E:$E,Analisis_grupo!$C$4))</f>
        <v/>
      </c>
      <c r="AB242" s="2" t="str">
        <f aca="false">IF($B242="","",COUNTIFS(Datos_items!$B:$B,$B242,Datos_items!$AA:$AA,AB$4,Datos_items!$E:$E,Analisis_grupo!$C$4))</f>
        <v/>
      </c>
      <c r="AC242" s="2" t="str">
        <f aca="false">IF($B242="","",COUNTIFS(Datos_items!$B:$B,$B242,Datos_items!$AA:$AA,AC$4,Datos_items!$E:$E,Analisis_grupo!$C$4))</f>
        <v/>
      </c>
      <c r="AD242" s="2" t="str">
        <f aca="false">IF($B242="","",COUNTIFS(Datos_items!$B:$B,$B242,Datos_items!$AA:$AA,AD$4,Datos_items!$E:$E,Analisis_grupo!$C$4))</f>
        <v/>
      </c>
      <c r="AE242" s="2" t="str">
        <f aca="false">IF($B242="","",COUNTIFS(Datos_items!$B:$B,$B242,Datos_items!$AA:$AA,AE$4,Datos_items!$E:$E,Analisis_grupo!$C$4))</f>
        <v/>
      </c>
      <c r="AF242" s="2" t="str">
        <f aca="false">IF($B242="","",COUNTIFS(Datos_items!$B:$B,$B242,Datos_items!$AA:$AA,AF$4,Datos_items!$E:$E,Analisis_grupo!$C$4))</f>
        <v/>
      </c>
      <c r="AG242" s="2" t="str">
        <f aca="false">IF($B242="","",COUNTIFS(Datos_items!$B:$B,$B242,Datos_items!$AA:$AA,AG$4,Datos_items!$E:$E,Analisis_grupo!$C$4))</f>
        <v/>
      </c>
      <c r="AH242" s="2" t="str">
        <f aca="false">IF($B242="","",COUNTIFS(Datos_items!$B:$B,$B242,Datos_items!$AA:$AA,AH$4,Datos_items!$E:$E,Analisis_grupo!$C$4))</f>
        <v/>
      </c>
      <c r="AI242" s="2" t="str">
        <f aca="false">IF($B242="","",COUNTIFS(Datos_items!$B:$B,$B242,Datos_items!$AA:$AA,AI$4,Datos_items!$E:$E,Analisis_grupo!$C$4))</f>
        <v/>
      </c>
      <c r="AJ242" s="2" t="str">
        <f aca="false">IF($B242="","",COUNTIFS(Datos_items!$B:$B,$B242,Datos_items!$AA:$AA,AJ$4,Datos_items!$E:$E,Analisis_grupo!$C$4))</f>
        <v/>
      </c>
      <c r="AK242" s="2" t="str">
        <f aca="false">IF($B242="","",COUNTIFS(Datos_items!$B:$B,$B242,Datos_items!$AA:$AA,AK$4,Datos_items!$E:$E,Analisis_grupo!$C$4))</f>
        <v/>
      </c>
      <c r="AL242" s="2" t="str">
        <f aca="false">IF($B242="","",COUNTIFS(Datos_items!$B:$B,$B242,Datos_items!$AA:$AA,AL$4,Datos_items!$E:$E,Analisis_grupo!$C$4))</f>
        <v/>
      </c>
      <c r="AM242" s="2" t="str">
        <f aca="false">IF($B242="","",IF(MAX(Y242:AL242)=0,"",INDEX($Y$4:$AL$4,MATCH(MAX(Y242:AL242),Y242:AL242,0))))</f>
        <v/>
      </c>
      <c r="AN242" s="2" t="str">
        <f aca="false">IF($B242="","",COUNTIFS(Datos_problemas!$B:$B,$B242,Datos_problemas!$F:$F,"Práctica"))</f>
        <v/>
      </c>
      <c r="AO242" s="2" t="str">
        <f aca="false">IF($B242="","",SUMIFS(Datos_problemas!$AQ:$AQ,Datos_problemas!$B:$B,$B242,Datos_problemas!$F:$F,"Práctica"))</f>
        <v/>
      </c>
      <c r="AP242" s="2" t="str">
        <f aca="false">IF($B242="","",COUNTIFS(Datos_problemas!$B:$B,$B242,Datos_problemas!$F:$F,"Práctica",Datos_problemas!$AS:$AS,"Sí"))</f>
        <v/>
      </c>
    </row>
    <row r="243" customFormat="false" ht="15" hidden="false" customHeight="false" outlineLevel="0" collapsed="false">
      <c r="A243" s="2" t="n">
        <v>239</v>
      </c>
      <c r="B243" s="2" t="str">
        <f aca="false">IFERROR(INDEX(Datos_problemas!$B:$B,MATCH($A243,Datos_problemas!$AV:$AV,0)),"")</f>
        <v/>
      </c>
      <c r="C243" s="2" t="str">
        <f aca="false">IF($B243="","",INDEX(Datos_problemas!$C:$C,MATCH($A243,Datos_problemas!$AV:$AV,0)))</f>
        <v/>
      </c>
      <c r="D243" s="2" t="str">
        <f aca="false">IF($B243="","",INDEX(Datos_problemas!$D:$D,MATCH($A243,Datos_problemas!$AV:$AV,0)))</f>
        <v/>
      </c>
      <c r="E243" s="2" t="str">
        <f aca="false">IF($B243="","",COUNTIFS(Datos_problemas!$B:$B,$B243,Datos_problemas!$F:$F,"Evaluación"))</f>
        <v/>
      </c>
      <c r="F243" s="20" t="str">
        <f aca="false">IF($B243="","",IFERROR(AVERAGEIFS(Datos_problemas!$AE:$AE,Datos_problemas!$B:$B,$B243,Datos_problemas!$F:$F,"Evaluación"),""))</f>
        <v/>
      </c>
      <c r="G243" s="20" t="str">
        <f aca="false">IF($B243="","",IFERROR(AVERAGEIFS(Datos_problemas!$AE:$AE,Datos_problemas!$B:$B,$B243,Datos_problemas!$F:$F,"Evaluación",Datos_problemas!$E:$E,"Diagnóstico"),""))</f>
        <v/>
      </c>
      <c r="H243" s="20" t="str">
        <f aca="false">IF($B243="","",IFERROR(AVERAGEIFS(Datos_problemas!$AE:$AE,Datos_problemas!$B:$B,$B243,Datos_problemas!$F:$F,"Evaluación",Datos_problemas!$E:$E,"Final"),""))</f>
        <v/>
      </c>
      <c r="I243" s="21" t="str">
        <f aca="false">IF(OR(G243="",H243=""),"",IF(G243&gt;=10,"",(H243-G243)/(10-G243)))</f>
        <v/>
      </c>
      <c r="J243" s="18" t="str">
        <f aca="false">IF($B243="","",IFERROR(SUMIFS(Datos_items!$Z:$Z,Datos_items!$B:$B,$B243,Datos_items!$O:$O,J$4,Datos_items!$E:$E,Analisis_grupo!$C$4)/COUNTIFS(Datos_items!$B:$B,$B243,Datos_items!$O:$O,J$4,Datos_items!$E:$E,Analisis_grupo!$C$4),""))</f>
        <v/>
      </c>
      <c r="K243" s="18" t="str">
        <f aca="false">IF($B243="","",IFERROR(SUMIFS(Datos_items!$Z:$Z,Datos_items!$B:$B,$B243,Datos_items!$O:$O,K$4,Datos_items!$E:$E,Analisis_grupo!$C$4)/COUNTIFS(Datos_items!$B:$B,$B243,Datos_items!$O:$O,K$4,Datos_items!$E:$E,Analisis_grupo!$C$4),""))</f>
        <v/>
      </c>
      <c r="L243" s="18" t="str">
        <f aca="false">IF($B243="","",IFERROR(SUMIFS(Datos_items!$Z:$Z,Datos_items!$B:$B,$B243,Datos_items!$O:$O,L$4,Datos_items!$E:$E,Analisis_grupo!$C$4)/COUNTIFS(Datos_items!$B:$B,$B243,Datos_items!$O:$O,L$4,Datos_items!$E:$E,Analisis_grupo!$C$4),""))</f>
        <v/>
      </c>
      <c r="M243" s="18" t="str">
        <f aca="false">IF($B243="","",IFERROR(SUMIFS(Datos_items!$Z:$Z,Datos_items!$B:$B,$B243,Datos_items!$O:$O,M$4,Datos_items!$E:$E,Analisis_grupo!$C$4)/COUNTIFS(Datos_items!$B:$B,$B243,Datos_items!$O:$O,M$4,Datos_items!$E:$E,Analisis_grupo!$C$4),""))</f>
        <v/>
      </c>
      <c r="N243" s="18" t="str">
        <f aca="false">IF($B243="","",IFERROR(SUMIFS(Datos_items!$Z:$Z,Datos_items!$B:$B,$B243,Datos_items!$O:$O,N$4,Datos_items!$E:$E,Analisis_grupo!$C$4)/COUNTIFS(Datos_items!$B:$B,$B243,Datos_items!$O:$O,N$4,Datos_items!$E:$E,Analisis_grupo!$C$4),""))</f>
        <v/>
      </c>
      <c r="O243" s="18" t="str">
        <f aca="false">IF($B243="","",IFERROR(SUMIFS(Datos_items!$Z:$Z,Datos_items!$B:$B,$B243,Datos_items!$O:$O,O$4,Datos_items!$E:$E,Analisis_grupo!$C$4)/COUNTIFS(Datos_items!$B:$B,$B243,Datos_items!$O:$O,O$4,Datos_items!$E:$E,Analisis_grupo!$C$4),""))</f>
        <v/>
      </c>
      <c r="P243" s="18" t="str">
        <f aca="false">IF($B243="","",IFERROR(SUMIFS(Datos_items!$Z:$Z,Datos_items!$B:$B,$B243,Datos_items!$O:$O,P$4,Datos_items!$E:$E,Analisis_grupo!$C$4)/COUNTIFS(Datos_items!$B:$B,$B243,Datos_items!$O:$O,P$4,Datos_items!$E:$E,Analisis_grupo!$C$4),""))</f>
        <v/>
      </c>
      <c r="Q243" s="18" t="str">
        <f aca="false">IF($B243="","",IFERROR(SUMIFS(Datos_items!$Z:$Z,Datos_items!$B:$B,$B243,Datos_items!$O:$O,Q$4,Datos_items!$E:$E,Analisis_grupo!$C$4)/COUNTIFS(Datos_items!$B:$B,$B243,Datos_items!$O:$O,Q$4,Datos_items!$E:$E,Analisis_grupo!$C$4),""))</f>
        <v/>
      </c>
      <c r="R243" s="2" t="str">
        <f aca="false">IF(COUNT(J243:Q243)=0,"",IF(MIN(J243:Q243)&gt;=Analisis_grupo!$B$7,"(ninguna)",INDEX($J$4:$Q$4,MATCH(MIN(J243:Q243),J243:Q243,0))))</f>
        <v/>
      </c>
      <c r="S243" s="2" t="str">
        <f aca="false">IF($B243="","",COUNTIF(J243:Q243,"&lt;"&amp;Analisis_grupo!$B$7))</f>
        <v/>
      </c>
      <c r="T243" s="2" t="str">
        <f aca="false">IF($B243="","",COUNTIFS(Datos_items!$B:$B,$B243,Datos_items!$AA:$AA,T$4,Datos_items!$E:$E,Analisis_grupo!$C$4))</f>
        <v/>
      </c>
      <c r="U243" s="2" t="str">
        <f aca="false">IF($B243="","",COUNTIFS(Datos_items!$B:$B,$B243,Datos_items!$AA:$AA,U$4,Datos_items!$E:$E,Analisis_grupo!$C$4))</f>
        <v/>
      </c>
      <c r="V243" s="2" t="str">
        <f aca="false">IF($B243="","",COUNTIFS(Datos_items!$B:$B,$B243,Datos_items!$AA:$AA,V$4,Datos_items!$E:$E,Analisis_grupo!$C$4))</f>
        <v/>
      </c>
      <c r="W243" s="2" t="str">
        <f aca="false">IF($B243="","",COUNTIFS(Datos_items!$B:$B,$B243,Datos_items!$AA:$AA,W$4,Datos_items!$E:$E,Analisis_grupo!$C$4))</f>
        <v/>
      </c>
      <c r="X243" s="2" t="str">
        <f aca="false">IF($B243="","",COUNTIFS(Datos_items!$B:$B,$B243,Datos_items!$AA:$AA,X$4,Datos_items!$E:$E,Analisis_grupo!$C$4))</f>
        <v/>
      </c>
      <c r="Y243" s="2" t="str">
        <f aca="false">IF($B243="","",COUNTIFS(Datos_items!$B:$B,$B243,Datos_items!$AA:$AA,Y$4,Datos_items!$E:$E,Analisis_grupo!$C$4))</f>
        <v/>
      </c>
      <c r="Z243" s="2" t="str">
        <f aca="false">IF($B243="","",COUNTIFS(Datos_items!$B:$B,$B243,Datos_items!$AA:$AA,Z$4,Datos_items!$E:$E,Analisis_grupo!$C$4))</f>
        <v/>
      </c>
      <c r="AA243" s="2" t="str">
        <f aca="false">IF($B243="","",COUNTIFS(Datos_items!$B:$B,$B243,Datos_items!$AA:$AA,AA$4,Datos_items!$E:$E,Analisis_grupo!$C$4))</f>
        <v/>
      </c>
      <c r="AB243" s="2" t="str">
        <f aca="false">IF($B243="","",COUNTIFS(Datos_items!$B:$B,$B243,Datos_items!$AA:$AA,AB$4,Datos_items!$E:$E,Analisis_grupo!$C$4))</f>
        <v/>
      </c>
      <c r="AC243" s="2" t="str">
        <f aca="false">IF($B243="","",COUNTIFS(Datos_items!$B:$B,$B243,Datos_items!$AA:$AA,AC$4,Datos_items!$E:$E,Analisis_grupo!$C$4))</f>
        <v/>
      </c>
      <c r="AD243" s="2" t="str">
        <f aca="false">IF($B243="","",COUNTIFS(Datos_items!$B:$B,$B243,Datos_items!$AA:$AA,AD$4,Datos_items!$E:$E,Analisis_grupo!$C$4))</f>
        <v/>
      </c>
      <c r="AE243" s="2" t="str">
        <f aca="false">IF($B243="","",COUNTIFS(Datos_items!$B:$B,$B243,Datos_items!$AA:$AA,AE$4,Datos_items!$E:$E,Analisis_grupo!$C$4))</f>
        <v/>
      </c>
      <c r="AF243" s="2" t="str">
        <f aca="false">IF($B243="","",COUNTIFS(Datos_items!$B:$B,$B243,Datos_items!$AA:$AA,AF$4,Datos_items!$E:$E,Analisis_grupo!$C$4))</f>
        <v/>
      </c>
      <c r="AG243" s="2" t="str">
        <f aca="false">IF($B243="","",COUNTIFS(Datos_items!$B:$B,$B243,Datos_items!$AA:$AA,AG$4,Datos_items!$E:$E,Analisis_grupo!$C$4))</f>
        <v/>
      </c>
      <c r="AH243" s="2" t="str">
        <f aca="false">IF($B243="","",COUNTIFS(Datos_items!$B:$B,$B243,Datos_items!$AA:$AA,AH$4,Datos_items!$E:$E,Analisis_grupo!$C$4))</f>
        <v/>
      </c>
      <c r="AI243" s="2" t="str">
        <f aca="false">IF($B243="","",COUNTIFS(Datos_items!$B:$B,$B243,Datos_items!$AA:$AA,AI$4,Datos_items!$E:$E,Analisis_grupo!$C$4))</f>
        <v/>
      </c>
      <c r="AJ243" s="2" t="str">
        <f aca="false">IF($B243="","",COUNTIFS(Datos_items!$B:$B,$B243,Datos_items!$AA:$AA,AJ$4,Datos_items!$E:$E,Analisis_grupo!$C$4))</f>
        <v/>
      </c>
      <c r="AK243" s="2" t="str">
        <f aca="false">IF($B243="","",COUNTIFS(Datos_items!$B:$B,$B243,Datos_items!$AA:$AA,AK$4,Datos_items!$E:$E,Analisis_grupo!$C$4))</f>
        <v/>
      </c>
      <c r="AL243" s="2" t="str">
        <f aca="false">IF($B243="","",COUNTIFS(Datos_items!$B:$B,$B243,Datos_items!$AA:$AA,AL$4,Datos_items!$E:$E,Analisis_grupo!$C$4))</f>
        <v/>
      </c>
      <c r="AM243" s="2" t="str">
        <f aca="false">IF($B243="","",IF(MAX(Y243:AL243)=0,"",INDEX($Y$4:$AL$4,MATCH(MAX(Y243:AL243),Y243:AL243,0))))</f>
        <v/>
      </c>
      <c r="AN243" s="2" t="str">
        <f aca="false">IF($B243="","",COUNTIFS(Datos_problemas!$B:$B,$B243,Datos_problemas!$F:$F,"Práctica"))</f>
        <v/>
      </c>
      <c r="AO243" s="2" t="str">
        <f aca="false">IF($B243="","",SUMIFS(Datos_problemas!$AQ:$AQ,Datos_problemas!$B:$B,$B243,Datos_problemas!$F:$F,"Práctica"))</f>
        <v/>
      </c>
      <c r="AP243" s="2" t="str">
        <f aca="false">IF($B243="","",COUNTIFS(Datos_problemas!$B:$B,$B243,Datos_problemas!$F:$F,"Práctica",Datos_problemas!$AS:$AS,"Sí"))</f>
        <v/>
      </c>
    </row>
    <row r="244" customFormat="false" ht="15" hidden="false" customHeight="false" outlineLevel="0" collapsed="false">
      <c r="A244" s="2" t="n">
        <v>240</v>
      </c>
      <c r="B244" s="2" t="str">
        <f aca="false">IFERROR(INDEX(Datos_problemas!$B:$B,MATCH($A244,Datos_problemas!$AV:$AV,0)),"")</f>
        <v/>
      </c>
      <c r="C244" s="2" t="str">
        <f aca="false">IF($B244="","",INDEX(Datos_problemas!$C:$C,MATCH($A244,Datos_problemas!$AV:$AV,0)))</f>
        <v/>
      </c>
      <c r="D244" s="2" t="str">
        <f aca="false">IF($B244="","",INDEX(Datos_problemas!$D:$D,MATCH($A244,Datos_problemas!$AV:$AV,0)))</f>
        <v/>
      </c>
      <c r="E244" s="2" t="str">
        <f aca="false">IF($B244="","",COUNTIFS(Datos_problemas!$B:$B,$B244,Datos_problemas!$F:$F,"Evaluación"))</f>
        <v/>
      </c>
      <c r="F244" s="20" t="str">
        <f aca="false">IF($B244="","",IFERROR(AVERAGEIFS(Datos_problemas!$AE:$AE,Datos_problemas!$B:$B,$B244,Datos_problemas!$F:$F,"Evaluación"),""))</f>
        <v/>
      </c>
      <c r="G244" s="20" t="str">
        <f aca="false">IF($B244="","",IFERROR(AVERAGEIFS(Datos_problemas!$AE:$AE,Datos_problemas!$B:$B,$B244,Datos_problemas!$F:$F,"Evaluación",Datos_problemas!$E:$E,"Diagnóstico"),""))</f>
        <v/>
      </c>
      <c r="H244" s="20" t="str">
        <f aca="false">IF($B244="","",IFERROR(AVERAGEIFS(Datos_problemas!$AE:$AE,Datos_problemas!$B:$B,$B244,Datos_problemas!$F:$F,"Evaluación",Datos_problemas!$E:$E,"Final"),""))</f>
        <v/>
      </c>
      <c r="I244" s="21" t="str">
        <f aca="false">IF(OR(G244="",H244=""),"",IF(G244&gt;=10,"",(H244-G244)/(10-G244)))</f>
        <v/>
      </c>
      <c r="J244" s="18" t="str">
        <f aca="false">IF($B244="","",IFERROR(SUMIFS(Datos_items!$Z:$Z,Datos_items!$B:$B,$B244,Datos_items!$O:$O,J$4,Datos_items!$E:$E,Analisis_grupo!$C$4)/COUNTIFS(Datos_items!$B:$B,$B244,Datos_items!$O:$O,J$4,Datos_items!$E:$E,Analisis_grupo!$C$4),""))</f>
        <v/>
      </c>
      <c r="K244" s="18" t="str">
        <f aca="false">IF($B244="","",IFERROR(SUMIFS(Datos_items!$Z:$Z,Datos_items!$B:$B,$B244,Datos_items!$O:$O,K$4,Datos_items!$E:$E,Analisis_grupo!$C$4)/COUNTIFS(Datos_items!$B:$B,$B244,Datos_items!$O:$O,K$4,Datos_items!$E:$E,Analisis_grupo!$C$4),""))</f>
        <v/>
      </c>
      <c r="L244" s="18" t="str">
        <f aca="false">IF($B244="","",IFERROR(SUMIFS(Datos_items!$Z:$Z,Datos_items!$B:$B,$B244,Datos_items!$O:$O,L$4,Datos_items!$E:$E,Analisis_grupo!$C$4)/COUNTIFS(Datos_items!$B:$B,$B244,Datos_items!$O:$O,L$4,Datos_items!$E:$E,Analisis_grupo!$C$4),""))</f>
        <v/>
      </c>
      <c r="M244" s="18" t="str">
        <f aca="false">IF($B244="","",IFERROR(SUMIFS(Datos_items!$Z:$Z,Datos_items!$B:$B,$B244,Datos_items!$O:$O,M$4,Datos_items!$E:$E,Analisis_grupo!$C$4)/COUNTIFS(Datos_items!$B:$B,$B244,Datos_items!$O:$O,M$4,Datos_items!$E:$E,Analisis_grupo!$C$4),""))</f>
        <v/>
      </c>
      <c r="N244" s="18" t="str">
        <f aca="false">IF($B244="","",IFERROR(SUMIFS(Datos_items!$Z:$Z,Datos_items!$B:$B,$B244,Datos_items!$O:$O,N$4,Datos_items!$E:$E,Analisis_grupo!$C$4)/COUNTIFS(Datos_items!$B:$B,$B244,Datos_items!$O:$O,N$4,Datos_items!$E:$E,Analisis_grupo!$C$4),""))</f>
        <v/>
      </c>
      <c r="O244" s="18" t="str">
        <f aca="false">IF($B244="","",IFERROR(SUMIFS(Datos_items!$Z:$Z,Datos_items!$B:$B,$B244,Datos_items!$O:$O,O$4,Datos_items!$E:$E,Analisis_grupo!$C$4)/COUNTIFS(Datos_items!$B:$B,$B244,Datos_items!$O:$O,O$4,Datos_items!$E:$E,Analisis_grupo!$C$4),""))</f>
        <v/>
      </c>
      <c r="P244" s="18" t="str">
        <f aca="false">IF($B244="","",IFERROR(SUMIFS(Datos_items!$Z:$Z,Datos_items!$B:$B,$B244,Datos_items!$O:$O,P$4,Datos_items!$E:$E,Analisis_grupo!$C$4)/COUNTIFS(Datos_items!$B:$B,$B244,Datos_items!$O:$O,P$4,Datos_items!$E:$E,Analisis_grupo!$C$4),""))</f>
        <v/>
      </c>
      <c r="Q244" s="18" t="str">
        <f aca="false">IF($B244="","",IFERROR(SUMIFS(Datos_items!$Z:$Z,Datos_items!$B:$B,$B244,Datos_items!$O:$O,Q$4,Datos_items!$E:$E,Analisis_grupo!$C$4)/COUNTIFS(Datos_items!$B:$B,$B244,Datos_items!$O:$O,Q$4,Datos_items!$E:$E,Analisis_grupo!$C$4),""))</f>
        <v/>
      </c>
      <c r="R244" s="2" t="str">
        <f aca="false">IF(COUNT(J244:Q244)=0,"",IF(MIN(J244:Q244)&gt;=Analisis_grupo!$B$7,"(ninguna)",INDEX($J$4:$Q$4,MATCH(MIN(J244:Q244),J244:Q244,0))))</f>
        <v/>
      </c>
      <c r="S244" s="2" t="str">
        <f aca="false">IF($B244="","",COUNTIF(J244:Q244,"&lt;"&amp;Analisis_grupo!$B$7))</f>
        <v/>
      </c>
      <c r="T244" s="2" t="str">
        <f aca="false">IF($B244="","",COUNTIFS(Datos_items!$B:$B,$B244,Datos_items!$AA:$AA,T$4,Datos_items!$E:$E,Analisis_grupo!$C$4))</f>
        <v/>
      </c>
      <c r="U244" s="2" t="str">
        <f aca="false">IF($B244="","",COUNTIFS(Datos_items!$B:$B,$B244,Datos_items!$AA:$AA,U$4,Datos_items!$E:$E,Analisis_grupo!$C$4))</f>
        <v/>
      </c>
      <c r="V244" s="2" t="str">
        <f aca="false">IF($B244="","",COUNTIFS(Datos_items!$B:$B,$B244,Datos_items!$AA:$AA,V$4,Datos_items!$E:$E,Analisis_grupo!$C$4))</f>
        <v/>
      </c>
      <c r="W244" s="2" t="str">
        <f aca="false">IF($B244="","",COUNTIFS(Datos_items!$B:$B,$B244,Datos_items!$AA:$AA,W$4,Datos_items!$E:$E,Analisis_grupo!$C$4))</f>
        <v/>
      </c>
      <c r="X244" s="2" t="str">
        <f aca="false">IF($B244="","",COUNTIFS(Datos_items!$B:$B,$B244,Datos_items!$AA:$AA,X$4,Datos_items!$E:$E,Analisis_grupo!$C$4))</f>
        <v/>
      </c>
      <c r="Y244" s="2" t="str">
        <f aca="false">IF($B244="","",COUNTIFS(Datos_items!$B:$B,$B244,Datos_items!$AA:$AA,Y$4,Datos_items!$E:$E,Analisis_grupo!$C$4))</f>
        <v/>
      </c>
      <c r="Z244" s="2" t="str">
        <f aca="false">IF($B244="","",COUNTIFS(Datos_items!$B:$B,$B244,Datos_items!$AA:$AA,Z$4,Datos_items!$E:$E,Analisis_grupo!$C$4))</f>
        <v/>
      </c>
      <c r="AA244" s="2" t="str">
        <f aca="false">IF($B244="","",COUNTIFS(Datos_items!$B:$B,$B244,Datos_items!$AA:$AA,AA$4,Datos_items!$E:$E,Analisis_grupo!$C$4))</f>
        <v/>
      </c>
      <c r="AB244" s="2" t="str">
        <f aca="false">IF($B244="","",COUNTIFS(Datos_items!$B:$B,$B244,Datos_items!$AA:$AA,AB$4,Datos_items!$E:$E,Analisis_grupo!$C$4))</f>
        <v/>
      </c>
      <c r="AC244" s="2" t="str">
        <f aca="false">IF($B244="","",COUNTIFS(Datos_items!$B:$B,$B244,Datos_items!$AA:$AA,AC$4,Datos_items!$E:$E,Analisis_grupo!$C$4))</f>
        <v/>
      </c>
      <c r="AD244" s="2" t="str">
        <f aca="false">IF($B244="","",COUNTIFS(Datos_items!$B:$B,$B244,Datos_items!$AA:$AA,AD$4,Datos_items!$E:$E,Analisis_grupo!$C$4))</f>
        <v/>
      </c>
      <c r="AE244" s="2" t="str">
        <f aca="false">IF($B244="","",COUNTIFS(Datos_items!$B:$B,$B244,Datos_items!$AA:$AA,AE$4,Datos_items!$E:$E,Analisis_grupo!$C$4))</f>
        <v/>
      </c>
      <c r="AF244" s="2" t="str">
        <f aca="false">IF($B244="","",COUNTIFS(Datos_items!$B:$B,$B244,Datos_items!$AA:$AA,AF$4,Datos_items!$E:$E,Analisis_grupo!$C$4))</f>
        <v/>
      </c>
      <c r="AG244" s="2" t="str">
        <f aca="false">IF($B244="","",COUNTIFS(Datos_items!$B:$B,$B244,Datos_items!$AA:$AA,AG$4,Datos_items!$E:$E,Analisis_grupo!$C$4))</f>
        <v/>
      </c>
      <c r="AH244" s="2" t="str">
        <f aca="false">IF($B244="","",COUNTIFS(Datos_items!$B:$B,$B244,Datos_items!$AA:$AA,AH$4,Datos_items!$E:$E,Analisis_grupo!$C$4))</f>
        <v/>
      </c>
      <c r="AI244" s="2" t="str">
        <f aca="false">IF($B244="","",COUNTIFS(Datos_items!$B:$B,$B244,Datos_items!$AA:$AA,AI$4,Datos_items!$E:$E,Analisis_grupo!$C$4))</f>
        <v/>
      </c>
      <c r="AJ244" s="2" t="str">
        <f aca="false">IF($B244="","",COUNTIFS(Datos_items!$B:$B,$B244,Datos_items!$AA:$AA,AJ$4,Datos_items!$E:$E,Analisis_grupo!$C$4))</f>
        <v/>
      </c>
      <c r="AK244" s="2" t="str">
        <f aca="false">IF($B244="","",COUNTIFS(Datos_items!$B:$B,$B244,Datos_items!$AA:$AA,AK$4,Datos_items!$E:$E,Analisis_grupo!$C$4))</f>
        <v/>
      </c>
      <c r="AL244" s="2" t="str">
        <f aca="false">IF($B244="","",COUNTIFS(Datos_items!$B:$B,$B244,Datos_items!$AA:$AA,AL$4,Datos_items!$E:$E,Analisis_grupo!$C$4))</f>
        <v/>
      </c>
      <c r="AM244" s="2" t="str">
        <f aca="false">IF($B244="","",IF(MAX(Y244:AL244)=0,"",INDEX($Y$4:$AL$4,MATCH(MAX(Y244:AL244),Y244:AL244,0))))</f>
        <v/>
      </c>
      <c r="AN244" s="2" t="str">
        <f aca="false">IF($B244="","",COUNTIFS(Datos_problemas!$B:$B,$B244,Datos_problemas!$F:$F,"Práctica"))</f>
        <v/>
      </c>
      <c r="AO244" s="2" t="str">
        <f aca="false">IF($B244="","",SUMIFS(Datos_problemas!$AQ:$AQ,Datos_problemas!$B:$B,$B244,Datos_problemas!$F:$F,"Práctica"))</f>
        <v/>
      </c>
      <c r="AP244" s="2" t="str">
        <f aca="false">IF($B244="","",COUNTIFS(Datos_problemas!$B:$B,$B244,Datos_problemas!$F:$F,"Práctica",Datos_problemas!$AS:$AS,"Sí"))</f>
        <v/>
      </c>
    </row>
    <row r="245" customFormat="false" ht="15" hidden="false" customHeight="false" outlineLevel="0" collapsed="false">
      <c r="A245" s="2" t="n">
        <v>241</v>
      </c>
      <c r="B245" s="2" t="str">
        <f aca="false">IFERROR(INDEX(Datos_problemas!$B:$B,MATCH($A245,Datos_problemas!$AV:$AV,0)),"")</f>
        <v/>
      </c>
      <c r="C245" s="2" t="str">
        <f aca="false">IF($B245="","",INDEX(Datos_problemas!$C:$C,MATCH($A245,Datos_problemas!$AV:$AV,0)))</f>
        <v/>
      </c>
      <c r="D245" s="2" t="str">
        <f aca="false">IF($B245="","",INDEX(Datos_problemas!$D:$D,MATCH($A245,Datos_problemas!$AV:$AV,0)))</f>
        <v/>
      </c>
      <c r="E245" s="2" t="str">
        <f aca="false">IF($B245="","",COUNTIFS(Datos_problemas!$B:$B,$B245,Datos_problemas!$F:$F,"Evaluación"))</f>
        <v/>
      </c>
      <c r="F245" s="20" t="str">
        <f aca="false">IF($B245="","",IFERROR(AVERAGEIFS(Datos_problemas!$AE:$AE,Datos_problemas!$B:$B,$B245,Datos_problemas!$F:$F,"Evaluación"),""))</f>
        <v/>
      </c>
      <c r="G245" s="20" t="str">
        <f aca="false">IF($B245="","",IFERROR(AVERAGEIFS(Datos_problemas!$AE:$AE,Datos_problemas!$B:$B,$B245,Datos_problemas!$F:$F,"Evaluación",Datos_problemas!$E:$E,"Diagnóstico"),""))</f>
        <v/>
      </c>
      <c r="H245" s="20" t="str">
        <f aca="false">IF($B245="","",IFERROR(AVERAGEIFS(Datos_problemas!$AE:$AE,Datos_problemas!$B:$B,$B245,Datos_problemas!$F:$F,"Evaluación",Datos_problemas!$E:$E,"Final"),""))</f>
        <v/>
      </c>
      <c r="I245" s="21" t="str">
        <f aca="false">IF(OR(G245="",H245=""),"",IF(G245&gt;=10,"",(H245-G245)/(10-G245)))</f>
        <v/>
      </c>
      <c r="J245" s="18" t="str">
        <f aca="false">IF($B245="","",IFERROR(SUMIFS(Datos_items!$Z:$Z,Datos_items!$B:$B,$B245,Datos_items!$O:$O,J$4,Datos_items!$E:$E,Analisis_grupo!$C$4)/COUNTIFS(Datos_items!$B:$B,$B245,Datos_items!$O:$O,J$4,Datos_items!$E:$E,Analisis_grupo!$C$4),""))</f>
        <v/>
      </c>
      <c r="K245" s="18" t="str">
        <f aca="false">IF($B245="","",IFERROR(SUMIFS(Datos_items!$Z:$Z,Datos_items!$B:$B,$B245,Datos_items!$O:$O,K$4,Datos_items!$E:$E,Analisis_grupo!$C$4)/COUNTIFS(Datos_items!$B:$B,$B245,Datos_items!$O:$O,K$4,Datos_items!$E:$E,Analisis_grupo!$C$4),""))</f>
        <v/>
      </c>
      <c r="L245" s="18" t="str">
        <f aca="false">IF($B245="","",IFERROR(SUMIFS(Datos_items!$Z:$Z,Datos_items!$B:$B,$B245,Datos_items!$O:$O,L$4,Datos_items!$E:$E,Analisis_grupo!$C$4)/COUNTIFS(Datos_items!$B:$B,$B245,Datos_items!$O:$O,L$4,Datos_items!$E:$E,Analisis_grupo!$C$4),""))</f>
        <v/>
      </c>
      <c r="M245" s="18" t="str">
        <f aca="false">IF($B245="","",IFERROR(SUMIFS(Datos_items!$Z:$Z,Datos_items!$B:$B,$B245,Datos_items!$O:$O,M$4,Datos_items!$E:$E,Analisis_grupo!$C$4)/COUNTIFS(Datos_items!$B:$B,$B245,Datos_items!$O:$O,M$4,Datos_items!$E:$E,Analisis_grupo!$C$4),""))</f>
        <v/>
      </c>
      <c r="N245" s="18" t="str">
        <f aca="false">IF($B245="","",IFERROR(SUMIFS(Datos_items!$Z:$Z,Datos_items!$B:$B,$B245,Datos_items!$O:$O,N$4,Datos_items!$E:$E,Analisis_grupo!$C$4)/COUNTIFS(Datos_items!$B:$B,$B245,Datos_items!$O:$O,N$4,Datos_items!$E:$E,Analisis_grupo!$C$4),""))</f>
        <v/>
      </c>
      <c r="O245" s="18" t="str">
        <f aca="false">IF($B245="","",IFERROR(SUMIFS(Datos_items!$Z:$Z,Datos_items!$B:$B,$B245,Datos_items!$O:$O,O$4,Datos_items!$E:$E,Analisis_grupo!$C$4)/COUNTIFS(Datos_items!$B:$B,$B245,Datos_items!$O:$O,O$4,Datos_items!$E:$E,Analisis_grupo!$C$4),""))</f>
        <v/>
      </c>
      <c r="P245" s="18" t="str">
        <f aca="false">IF($B245="","",IFERROR(SUMIFS(Datos_items!$Z:$Z,Datos_items!$B:$B,$B245,Datos_items!$O:$O,P$4,Datos_items!$E:$E,Analisis_grupo!$C$4)/COUNTIFS(Datos_items!$B:$B,$B245,Datos_items!$O:$O,P$4,Datos_items!$E:$E,Analisis_grupo!$C$4),""))</f>
        <v/>
      </c>
      <c r="Q245" s="18" t="str">
        <f aca="false">IF($B245="","",IFERROR(SUMIFS(Datos_items!$Z:$Z,Datos_items!$B:$B,$B245,Datos_items!$O:$O,Q$4,Datos_items!$E:$E,Analisis_grupo!$C$4)/COUNTIFS(Datos_items!$B:$B,$B245,Datos_items!$O:$O,Q$4,Datos_items!$E:$E,Analisis_grupo!$C$4),""))</f>
        <v/>
      </c>
      <c r="R245" s="2" t="str">
        <f aca="false">IF(COUNT(J245:Q245)=0,"",IF(MIN(J245:Q245)&gt;=Analisis_grupo!$B$7,"(ninguna)",INDEX($J$4:$Q$4,MATCH(MIN(J245:Q245),J245:Q245,0))))</f>
        <v/>
      </c>
      <c r="S245" s="2" t="str">
        <f aca="false">IF($B245="","",COUNTIF(J245:Q245,"&lt;"&amp;Analisis_grupo!$B$7))</f>
        <v/>
      </c>
      <c r="T245" s="2" t="str">
        <f aca="false">IF($B245="","",COUNTIFS(Datos_items!$B:$B,$B245,Datos_items!$AA:$AA,T$4,Datos_items!$E:$E,Analisis_grupo!$C$4))</f>
        <v/>
      </c>
      <c r="U245" s="2" t="str">
        <f aca="false">IF($B245="","",COUNTIFS(Datos_items!$B:$B,$B245,Datos_items!$AA:$AA,U$4,Datos_items!$E:$E,Analisis_grupo!$C$4))</f>
        <v/>
      </c>
      <c r="V245" s="2" t="str">
        <f aca="false">IF($B245="","",COUNTIFS(Datos_items!$B:$B,$B245,Datos_items!$AA:$AA,V$4,Datos_items!$E:$E,Analisis_grupo!$C$4))</f>
        <v/>
      </c>
      <c r="W245" s="2" t="str">
        <f aca="false">IF($B245="","",COUNTIFS(Datos_items!$B:$B,$B245,Datos_items!$AA:$AA,W$4,Datos_items!$E:$E,Analisis_grupo!$C$4))</f>
        <v/>
      </c>
      <c r="X245" s="2" t="str">
        <f aca="false">IF($B245="","",COUNTIFS(Datos_items!$B:$B,$B245,Datos_items!$AA:$AA,X$4,Datos_items!$E:$E,Analisis_grupo!$C$4))</f>
        <v/>
      </c>
      <c r="Y245" s="2" t="str">
        <f aca="false">IF($B245="","",COUNTIFS(Datos_items!$B:$B,$B245,Datos_items!$AA:$AA,Y$4,Datos_items!$E:$E,Analisis_grupo!$C$4))</f>
        <v/>
      </c>
      <c r="Z245" s="2" t="str">
        <f aca="false">IF($B245="","",COUNTIFS(Datos_items!$B:$B,$B245,Datos_items!$AA:$AA,Z$4,Datos_items!$E:$E,Analisis_grupo!$C$4))</f>
        <v/>
      </c>
      <c r="AA245" s="2" t="str">
        <f aca="false">IF($B245="","",COUNTIFS(Datos_items!$B:$B,$B245,Datos_items!$AA:$AA,AA$4,Datos_items!$E:$E,Analisis_grupo!$C$4))</f>
        <v/>
      </c>
      <c r="AB245" s="2" t="str">
        <f aca="false">IF($B245="","",COUNTIFS(Datos_items!$B:$B,$B245,Datos_items!$AA:$AA,AB$4,Datos_items!$E:$E,Analisis_grupo!$C$4))</f>
        <v/>
      </c>
      <c r="AC245" s="2" t="str">
        <f aca="false">IF($B245="","",COUNTIFS(Datos_items!$B:$B,$B245,Datos_items!$AA:$AA,AC$4,Datos_items!$E:$E,Analisis_grupo!$C$4))</f>
        <v/>
      </c>
      <c r="AD245" s="2" t="str">
        <f aca="false">IF($B245="","",COUNTIFS(Datos_items!$B:$B,$B245,Datos_items!$AA:$AA,AD$4,Datos_items!$E:$E,Analisis_grupo!$C$4))</f>
        <v/>
      </c>
      <c r="AE245" s="2" t="str">
        <f aca="false">IF($B245="","",COUNTIFS(Datos_items!$B:$B,$B245,Datos_items!$AA:$AA,AE$4,Datos_items!$E:$E,Analisis_grupo!$C$4))</f>
        <v/>
      </c>
      <c r="AF245" s="2" t="str">
        <f aca="false">IF($B245="","",COUNTIFS(Datos_items!$B:$B,$B245,Datos_items!$AA:$AA,AF$4,Datos_items!$E:$E,Analisis_grupo!$C$4))</f>
        <v/>
      </c>
      <c r="AG245" s="2" t="str">
        <f aca="false">IF($B245="","",COUNTIFS(Datos_items!$B:$B,$B245,Datos_items!$AA:$AA,AG$4,Datos_items!$E:$E,Analisis_grupo!$C$4))</f>
        <v/>
      </c>
      <c r="AH245" s="2" t="str">
        <f aca="false">IF($B245="","",COUNTIFS(Datos_items!$B:$B,$B245,Datos_items!$AA:$AA,AH$4,Datos_items!$E:$E,Analisis_grupo!$C$4))</f>
        <v/>
      </c>
      <c r="AI245" s="2" t="str">
        <f aca="false">IF($B245="","",COUNTIFS(Datos_items!$B:$B,$B245,Datos_items!$AA:$AA,AI$4,Datos_items!$E:$E,Analisis_grupo!$C$4))</f>
        <v/>
      </c>
      <c r="AJ245" s="2" t="str">
        <f aca="false">IF($B245="","",COUNTIFS(Datos_items!$B:$B,$B245,Datos_items!$AA:$AA,AJ$4,Datos_items!$E:$E,Analisis_grupo!$C$4))</f>
        <v/>
      </c>
      <c r="AK245" s="2" t="str">
        <f aca="false">IF($B245="","",COUNTIFS(Datos_items!$B:$B,$B245,Datos_items!$AA:$AA,AK$4,Datos_items!$E:$E,Analisis_grupo!$C$4))</f>
        <v/>
      </c>
      <c r="AL245" s="2" t="str">
        <f aca="false">IF($B245="","",COUNTIFS(Datos_items!$B:$B,$B245,Datos_items!$AA:$AA,AL$4,Datos_items!$E:$E,Analisis_grupo!$C$4))</f>
        <v/>
      </c>
      <c r="AM245" s="2" t="str">
        <f aca="false">IF($B245="","",IF(MAX(Y245:AL245)=0,"",INDEX($Y$4:$AL$4,MATCH(MAX(Y245:AL245),Y245:AL245,0))))</f>
        <v/>
      </c>
      <c r="AN245" s="2" t="str">
        <f aca="false">IF($B245="","",COUNTIFS(Datos_problemas!$B:$B,$B245,Datos_problemas!$F:$F,"Práctica"))</f>
        <v/>
      </c>
      <c r="AO245" s="2" t="str">
        <f aca="false">IF($B245="","",SUMIFS(Datos_problemas!$AQ:$AQ,Datos_problemas!$B:$B,$B245,Datos_problemas!$F:$F,"Práctica"))</f>
        <v/>
      </c>
      <c r="AP245" s="2" t="str">
        <f aca="false">IF($B245="","",COUNTIFS(Datos_problemas!$B:$B,$B245,Datos_problemas!$F:$F,"Práctica",Datos_problemas!$AS:$AS,"Sí"))</f>
        <v/>
      </c>
    </row>
    <row r="246" customFormat="false" ht="15" hidden="false" customHeight="false" outlineLevel="0" collapsed="false">
      <c r="A246" s="2" t="n">
        <v>242</v>
      </c>
      <c r="B246" s="2" t="str">
        <f aca="false">IFERROR(INDEX(Datos_problemas!$B:$B,MATCH($A246,Datos_problemas!$AV:$AV,0)),"")</f>
        <v/>
      </c>
      <c r="C246" s="2" t="str">
        <f aca="false">IF($B246="","",INDEX(Datos_problemas!$C:$C,MATCH($A246,Datos_problemas!$AV:$AV,0)))</f>
        <v/>
      </c>
      <c r="D246" s="2" t="str">
        <f aca="false">IF($B246="","",INDEX(Datos_problemas!$D:$D,MATCH($A246,Datos_problemas!$AV:$AV,0)))</f>
        <v/>
      </c>
      <c r="E246" s="2" t="str">
        <f aca="false">IF($B246="","",COUNTIFS(Datos_problemas!$B:$B,$B246,Datos_problemas!$F:$F,"Evaluación"))</f>
        <v/>
      </c>
      <c r="F246" s="20" t="str">
        <f aca="false">IF($B246="","",IFERROR(AVERAGEIFS(Datos_problemas!$AE:$AE,Datos_problemas!$B:$B,$B246,Datos_problemas!$F:$F,"Evaluación"),""))</f>
        <v/>
      </c>
      <c r="G246" s="20" t="str">
        <f aca="false">IF($B246="","",IFERROR(AVERAGEIFS(Datos_problemas!$AE:$AE,Datos_problemas!$B:$B,$B246,Datos_problemas!$F:$F,"Evaluación",Datos_problemas!$E:$E,"Diagnóstico"),""))</f>
        <v/>
      </c>
      <c r="H246" s="20" t="str">
        <f aca="false">IF($B246="","",IFERROR(AVERAGEIFS(Datos_problemas!$AE:$AE,Datos_problemas!$B:$B,$B246,Datos_problemas!$F:$F,"Evaluación",Datos_problemas!$E:$E,"Final"),""))</f>
        <v/>
      </c>
      <c r="I246" s="21" t="str">
        <f aca="false">IF(OR(G246="",H246=""),"",IF(G246&gt;=10,"",(H246-G246)/(10-G246)))</f>
        <v/>
      </c>
      <c r="J246" s="18" t="str">
        <f aca="false">IF($B246="","",IFERROR(SUMIFS(Datos_items!$Z:$Z,Datos_items!$B:$B,$B246,Datos_items!$O:$O,J$4,Datos_items!$E:$E,Analisis_grupo!$C$4)/COUNTIFS(Datos_items!$B:$B,$B246,Datos_items!$O:$O,J$4,Datos_items!$E:$E,Analisis_grupo!$C$4),""))</f>
        <v/>
      </c>
      <c r="K246" s="18" t="str">
        <f aca="false">IF($B246="","",IFERROR(SUMIFS(Datos_items!$Z:$Z,Datos_items!$B:$B,$B246,Datos_items!$O:$O,K$4,Datos_items!$E:$E,Analisis_grupo!$C$4)/COUNTIFS(Datos_items!$B:$B,$B246,Datos_items!$O:$O,K$4,Datos_items!$E:$E,Analisis_grupo!$C$4),""))</f>
        <v/>
      </c>
      <c r="L246" s="18" t="str">
        <f aca="false">IF($B246="","",IFERROR(SUMIFS(Datos_items!$Z:$Z,Datos_items!$B:$B,$B246,Datos_items!$O:$O,L$4,Datos_items!$E:$E,Analisis_grupo!$C$4)/COUNTIFS(Datos_items!$B:$B,$B246,Datos_items!$O:$O,L$4,Datos_items!$E:$E,Analisis_grupo!$C$4),""))</f>
        <v/>
      </c>
      <c r="M246" s="18" t="str">
        <f aca="false">IF($B246="","",IFERROR(SUMIFS(Datos_items!$Z:$Z,Datos_items!$B:$B,$B246,Datos_items!$O:$O,M$4,Datos_items!$E:$E,Analisis_grupo!$C$4)/COUNTIFS(Datos_items!$B:$B,$B246,Datos_items!$O:$O,M$4,Datos_items!$E:$E,Analisis_grupo!$C$4),""))</f>
        <v/>
      </c>
      <c r="N246" s="18" t="str">
        <f aca="false">IF($B246="","",IFERROR(SUMIFS(Datos_items!$Z:$Z,Datos_items!$B:$B,$B246,Datos_items!$O:$O,N$4,Datos_items!$E:$E,Analisis_grupo!$C$4)/COUNTIFS(Datos_items!$B:$B,$B246,Datos_items!$O:$O,N$4,Datos_items!$E:$E,Analisis_grupo!$C$4),""))</f>
        <v/>
      </c>
      <c r="O246" s="18" t="str">
        <f aca="false">IF($B246="","",IFERROR(SUMIFS(Datos_items!$Z:$Z,Datos_items!$B:$B,$B246,Datos_items!$O:$O,O$4,Datos_items!$E:$E,Analisis_grupo!$C$4)/COUNTIFS(Datos_items!$B:$B,$B246,Datos_items!$O:$O,O$4,Datos_items!$E:$E,Analisis_grupo!$C$4),""))</f>
        <v/>
      </c>
      <c r="P246" s="18" t="str">
        <f aca="false">IF($B246="","",IFERROR(SUMIFS(Datos_items!$Z:$Z,Datos_items!$B:$B,$B246,Datos_items!$O:$O,P$4,Datos_items!$E:$E,Analisis_grupo!$C$4)/COUNTIFS(Datos_items!$B:$B,$B246,Datos_items!$O:$O,P$4,Datos_items!$E:$E,Analisis_grupo!$C$4),""))</f>
        <v/>
      </c>
      <c r="Q246" s="18" t="str">
        <f aca="false">IF($B246="","",IFERROR(SUMIFS(Datos_items!$Z:$Z,Datos_items!$B:$B,$B246,Datos_items!$O:$O,Q$4,Datos_items!$E:$E,Analisis_grupo!$C$4)/COUNTIFS(Datos_items!$B:$B,$B246,Datos_items!$O:$O,Q$4,Datos_items!$E:$E,Analisis_grupo!$C$4),""))</f>
        <v/>
      </c>
      <c r="R246" s="2" t="str">
        <f aca="false">IF(COUNT(J246:Q246)=0,"",IF(MIN(J246:Q246)&gt;=Analisis_grupo!$B$7,"(ninguna)",INDEX($J$4:$Q$4,MATCH(MIN(J246:Q246),J246:Q246,0))))</f>
        <v/>
      </c>
      <c r="S246" s="2" t="str">
        <f aca="false">IF($B246="","",COUNTIF(J246:Q246,"&lt;"&amp;Analisis_grupo!$B$7))</f>
        <v/>
      </c>
      <c r="T246" s="2" t="str">
        <f aca="false">IF($B246="","",COUNTIFS(Datos_items!$B:$B,$B246,Datos_items!$AA:$AA,T$4,Datos_items!$E:$E,Analisis_grupo!$C$4))</f>
        <v/>
      </c>
      <c r="U246" s="2" t="str">
        <f aca="false">IF($B246="","",COUNTIFS(Datos_items!$B:$B,$B246,Datos_items!$AA:$AA,U$4,Datos_items!$E:$E,Analisis_grupo!$C$4))</f>
        <v/>
      </c>
      <c r="V246" s="2" t="str">
        <f aca="false">IF($B246="","",COUNTIFS(Datos_items!$B:$B,$B246,Datos_items!$AA:$AA,V$4,Datos_items!$E:$E,Analisis_grupo!$C$4))</f>
        <v/>
      </c>
      <c r="W246" s="2" t="str">
        <f aca="false">IF($B246="","",COUNTIFS(Datos_items!$B:$B,$B246,Datos_items!$AA:$AA,W$4,Datos_items!$E:$E,Analisis_grupo!$C$4))</f>
        <v/>
      </c>
      <c r="X246" s="2" t="str">
        <f aca="false">IF($B246="","",COUNTIFS(Datos_items!$B:$B,$B246,Datos_items!$AA:$AA,X$4,Datos_items!$E:$E,Analisis_grupo!$C$4))</f>
        <v/>
      </c>
      <c r="Y246" s="2" t="str">
        <f aca="false">IF($B246="","",COUNTIFS(Datos_items!$B:$B,$B246,Datos_items!$AA:$AA,Y$4,Datos_items!$E:$E,Analisis_grupo!$C$4))</f>
        <v/>
      </c>
      <c r="Z246" s="2" t="str">
        <f aca="false">IF($B246="","",COUNTIFS(Datos_items!$B:$B,$B246,Datos_items!$AA:$AA,Z$4,Datos_items!$E:$E,Analisis_grupo!$C$4))</f>
        <v/>
      </c>
      <c r="AA246" s="2" t="str">
        <f aca="false">IF($B246="","",COUNTIFS(Datos_items!$B:$B,$B246,Datos_items!$AA:$AA,AA$4,Datos_items!$E:$E,Analisis_grupo!$C$4))</f>
        <v/>
      </c>
      <c r="AB246" s="2" t="str">
        <f aca="false">IF($B246="","",COUNTIFS(Datos_items!$B:$B,$B246,Datos_items!$AA:$AA,AB$4,Datos_items!$E:$E,Analisis_grupo!$C$4))</f>
        <v/>
      </c>
      <c r="AC246" s="2" t="str">
        <f aca="false">IF($B246="","",COUNTIFS(Datos_items!$B:$B,$B246,Datos_items!$AA:$AA,AC$4,Datos_items!$E:$E,Analisis_grupo!$C$4))</f>
        <v/>
      </c>
      <c r="AD246" s="2" t="str">
        <f aca="false">IF($B246="","",COUNTIFS(Datos_items!$B:$B,$B246,Datos_items!$AA:$AA,AD$4,Datos_items!$E:$E,Analisis_grupo!$C$4))</f>
        <v/>
      </c>
      <c r="AE246" s="2" t="str">
        <f aca="false">IF($B246="","",COUNTIFS(Datos_items!$B:$B,$B246,Datos_items!$AA:$AA,AE$4,Datos_items!$E:$E,Analisis_grupo!$C$4))</f>
        <v/>
      </c>
      <c r="AF246" s="2" t="str">
        <f aca="false">IF($B246="","",COUNTIFS(Datos_items!$B:$B,$B246,Datos_items!$AA:$AA,AF$4,Datos_items!$E:$E,Analisis_grupo!$C$4))</f>
        <v/>
      </c>
      <c r="AG246" s="2" t="str">
        <f aca="false">IF($B246="","",COUNTIFS(Datos_items!$B:$B,$B246,Datos_items!$AA:$AA,AG$4,Datos_items!$E:$E,Analisis_grupo!$C$4))</f>
        <v/>
      </c>
      <c r="AH246" s="2" t="str">
        <f aca="false">IF($B246="","",COUNTIFS(Datos_items!$B:$B,$B246,Datos_items!$AA:$AA,AH$4,Datos_items!$E:$E,Analisis_grupo!$C$4))</f>
        <v/>
      </c>
      <c r="AI246" s="2" t="str">
        <f aca="false">IF($B246="","",COUNTIFS(Datos_items!$B:$B,$B246,Datos_items!$AA:$AA,AI$4,Datos_items!$E:$E,Analisis_grupo!$C$4))</f>
        <v/>
      </c>
      <c r="AJ246" s="2" t="str">
        <f aca="false">IF($B246="","",COUNTIFS(Datos_items!$B:$B,$B246,Datos_items!$AA:$AA,AJ$4,Datos_items!$E:$E,Analisis_grupo!$C$4))</f>
        <v/>
      </c>
      <c r="AK246" s="2" t="str">
        <f aca="false">IF($B246="","",COUNTIFS(Datos_items!$B:$B,$B246,Datos_items!$AA:$AA,AK$4,Datos_items!$E:$E,Analisis_grupo!$C$4))</f>
        <v/>
      </c>
      <c r="AL246" s="2" t="str">
        <f aca="false">IF($B246="","",COUNTIFS(Datos_items!$B:$B,$B246,Datos_items!$AA:$AA,AL$4,Datos_items!$E:$E,Analisis_grupo!$C$4))</f>
        <v/>
      </c>
      <c r="AM246" s="2" t="str">
        <f aca="false">IF($B246="","",IF(MAX(Y246:AL246)=0,"",INDEX($Y$4:$AL$4,MATCH(MAX(Y246:AL246),Y246:AL246,0))))</f>
        <v/>
      </c>
      <c r="AN246" s="2" t="str">
        <f aca="false">IF($B246="","",COUNTIFS(Datos_problemas!$B:$B,$B246,Datos_problemas!$F:$F,"Práctica"))</f>
        <v/>
      </c>
      <c r="AO246" s="2" t="str">
        <f aca="false">IF($B246="","",SUMIFS(Datos_problemas!$AQ:$AQ,Datos_problemas!$B:$B,$B246,Datos_problemas!$F:$F,"Práctica"))</f>
        <v/>
      </c>
      <c r="AP246" s="2" t="str">
        <f aca="false">IF($B246="","",COUNTIFS(Datos_problemas!$B:$B,$B246,Datos_problemas!$F:$F,"Práctica",Datos_problemas!$AS:$AS,"Sí"))</f>
        <v/>
      </c>
    </row>
    <row r="247" customFormat="false" ht="15" hidden="false" customHeight="false" outlineLevel="0" collapsed="false">
      <c r="A247" s="2" t="n">
        <v>243</v>
      </c>
      <c r="B247" s="2" t="str">
        <f aca="false">IFERROR(INDEX(Datos_problemas!$B:$B,MATCH($A247,Datos_problemas!$AV:$AV,0)),"")</f>
        <v/>
      </c>
      <c r="C247" s="2" t="str">
        <f aca="false">IF($B247="","",INDEX(Datos_problemas!$C:$C,MATCH($A247,Datos_problemas!$AV:$AV,0)))</f>
        <v/>
      </c>
      <c r="D247" s="2" t="str">
        <f aca="false">IF($B247="","",INDEX(Datos_problemas!$D:$D,MATCH($A247,Datos_problemas!$AV:$AV,0)))</f>
        <v/>
      </c>
      <c r="E247" s="2" t="str">
        <f aca="false">IF($B247="","",COUNTIFS(Datos_problemas!$B:$B,$B247,Datos_problemas!$F:$F,"Evaluación"))</f>
        <v/>
      </c>
      <c r="F247" s="20" t="str">
        <f aca="false">IF($B247="","",IFERROR(AVERAGEIFS(Datos_problemas!$AE:$AE,Datos_problemas!$B:$B,$B247,Datos_problemas!$F:$F,"Evaluación"),""))</f>
        <v/>
      </c>
      <c r="G247" s="20" t="str">
        <f aca="false">IF($B247="","",IFERROR(AVERAGEIFS(Datos_problemas!$AE:$AE,Datos_problemas!$B:$B,$B247,Datos_problemas!$F:$F,"Evaluación",Datos_problemas!$E:$E,"Diagnóstico"),""))</f>
        <v/>
      </c>
      <c r="H247" s="20" t="str">
        <f aca="false">IF($B247="","",IFERROR(AVERAGEIFS(Datos_problemas!$AE:$AE,Datos_problemas!$B:$B,$B247,Datos_problemas!$F:$F,"Evaluación",Datos_problemas!$E:$E,"Final"),""))</f>
        <v/>
      </c>
      <c r="I247" s="21" t="str">
        <f aca="false">IF(OR(G247="",H247=""),"",IF(G247&gt;=10,"",(H247-G247)/(10-G247)))</f>
        <v/>
      </c>
      <c r="J247" s="18" t="str">
        <f aca="false">IF($B247="","",IFERROR(SUMIFS(Datos_items!$Z:$Z,Datos_items!$B:$B,$B247,Datos_items!$O:$O,J$4,Datos_items!$E:$E,Analisis_grupo!$C$4)/COUNTIFS(Datos_items!$B:$B,$B247,Datos_items!$O:$O,J$4,Datos_items!$E:$E,Analisis_grupo!$C$4),""))</f>
        <v/>
      </c>
      <c r="K247" s="18" t="str">
        <f aca="false">IF($B247="","",IFERROR(SUMIFS(Datos_items!$Z:$Z,Datos_items!$B:$B,$B247,Datos_items!$O:$O,K$4,Datos_items!$E:$E,Analisis_grupo!$C$4)/COUNTIFS(Datos_items!$B:$B,$B247,Datos_items!$O:$O,K$4,Datos_items!$E:$E,Analisis_grupo!$C$4),""))</f>
        <v/>
      </c>
      <c r="L247" s="18" t="str">
        <f aca="false">IF($B247="","",IFERROR(SUMIFS(Datos_items!$Z:$Z,Datos_items!$B:$B,$B247,Datos_items!$O:$O,L$4,Datos_items!$E:$E,Analisis_grupo!$C$4)/COUNTIFS(Datos_items!$B:$B,$B247,Datos_items!$O:$O,L$4,Datos_items!$E:$E,Analisis_grupo!$C$4),""))</f>
        <v/>
      </c>
      <c r="M247" s="18" t="str">
        <f aca="false">IF($B247="","",IFERROR(SUMIFS(Datos_items!$Z:$Z,Datos_items!$B:$B,$B247,Datos_items!$O:$O,M$4,Datos_items!$E:$E,Analisis_grupo!$C$4)/COUNTIFS(Datos_items!$B:$B,$B247,Datos_items!$O:$O,M$4,Datos_items!$E:$E,Analisis_grupo!$C$4),""))</f>
        <v/>
      </c>
      <c r="N247" s="18" t="str">
        <f aca="false">IF($B247="","",IFERROR(SUMIFS(Datos_items!$Z:$Z,Datos_items!$B:$B,$B247,Datos_items!$O:$O,N$4,Datos_items!$E:$E,Analisis_grupo!$C$4)/COUNTIFS(Datos_items!$B:$B,$B247,Datos_items!$O:$O,N$4,Datos_items!$E:$E,Analisis_grupo!$C$4),""))</f>
        <v/>
      </c>
      <c r="O247" s="18" t="str">
        <f aca="false">IF($B247="","",IFERROR(SUMIFS(Datos_items!$Z:$Z,Datos_items!$B:$B,$B247,Datos_items!$O:$O,O$4,Datos_items!$E:$E,Analisis_grupo!$C$4)/COUNTIFS(Datos_items!$B:$B,$B247,Datos_items!$O:$O,O$4,Datos_items!$E:$E,Analisis_grupo!$C$4),""))</f>
        <v/>
      </c>
      <c r="P247" s="18" t="str">
        <f aca="false">IF($B247="","",IFERROR(SUMIFS(Datos_items!$Z:$Z,Datos_items!$B:$B,$B247,Datos_items!$O:$O,P$4,Datos_items!$E:$E,Analisis_grupo!$C$4)/COUNTIFS(Datos_items!$B:$B,$B247,Datos_items!$O:$O,P$4,Datos_items!$E:$E,Analisis_grupo!$C$4),""))</f>
        <v/>
      </c>
      <c r="Q247" s="18" t="str">
        <f aca="false">IF($B247="","",IFERROR(SUMIFS(Datos_items!$Z:$Z,Datos_items!$B:$B,$B247,Datos_items!$O:$O,Q$4,Datos_items!$E:$E,Analisis_grupo!$C$4)/COUNTIFS(Datos_items!$B:$B,$B247,Datos_items!$O:$O,Q$4,Datos_items!$E:$E,Analisis_grupo!$C$4),""))</f>
        <v/>
      </c>
      <c r="R247" s="2" t="str">
        <f aca="false">IF(COUNT(J247:Q247)=0,"",IF(MIN(J247:Q247)&gt;=Analisis_grupo!$B$7,"(ninguna)",INDEX($J$4:$Q$4,MATCH(MIN(J247:Q247),J247:Q247,0))))</f>
        <v/>
      </c>
      <c r="S247" s="2" t="str">
        <f aca="false">IF($B247="","",COUNTIF(J247:Q247,"&lt;"&amp;Analisis_grupo!$B$7))</f>
        <v/>
      </c>
      <c r="T247" s="2" t="str">
        <f aca="false">IF($B247="","",COUNTIFS(Datos_items!$B:$B,$B247,Datos_items!$AA:$AA,T$4,Datos_items!$E:$E,Analisis_grupo!$C$4))</f>
        <v/>
      </c>
      <c r="U247" s="2" t="str">
        <f aca="false">IF($B247="","",COUNTIFS(Datos_items!$B:$B,$B247,Datos_items!$AA:$AA,U$4,Datos_items!$E:$E,Analisis_grupo!$C$4))</f>
        <v/>
      </c>
      <c r="V247" s="2" t="str">
        <f aca="false">IF($B247="","",COUNTIFS(Datos_items!$B:$B,$B247,Datos_items!$AA:$AA,V$4,Datos_items!$E:$E,Analisis_grupo!$C$4))</f>
        <v/>
      </c>
      <c r="W247" s="2" t="str">
        <f aca="false">IF($B247="","",COUNTIFS(Datos_items!$B:$B,$B247,Datos_items!$AA:$AA,W$4,Datos_items!$E:$E,Analisis_grupo!$C$4))</f>
        <v/>
      </c>
      <c r="X247" s="2" t="str">
        <f aca="false">IF($B247="","",COUNTIFS(Datos_items!$B:$B,$B247,Datos_items!$AA:$AA,X$4,Datos_items!$E:$E,Analisis_grupo!$C$4))</f>
        <v/>
      </c>
      <c r="Y247" s="2" t="str">
        <f aca="false">IF($B247="","",COUNTIFS(Datos_items!$B:$B,$B247,Datos_items!$AA:$AA,Y$4,Datos_items!$E:$E,Analisis_grupo!$C$4))</f>
        <v/>
      </c>
      <c r="Z247" s="2" t="str">
        <f aca="false">IF($B247="","",COUNTIFS(Datos_items!$B:$B,$B247,Datos_items!$AA:$AA,Z$4,Datos_items!$E:$E,Analisis_grupo!$C$4))</f>
        <v/>
      </c>
      <c r="AA247" s="2" t="str">
        <f aca="false">IF($B247="","",COUNTIFS(Datos_items!$B:$B,$B247,Datos_items!$AA:$AA,AA$4,Datos_items!$E:$E,Analisis_grupo!$C$4))</f>
        <v/>
      </c>
      <c r="AB247" s="2" t="str">
        <f aca="false">IF($B247="","",COUNTIFS(Datos_items!$B:$B,$B247,Datos_items!$AA:$AA,AB$4,Datos_items!$E:$E,Analisis_grupo!$C$4))</f>
        <v/>
      </c>
      <c r="AC247" s="2" t="str">
        <f aca="false">IF($B247="","",COUNTIFS(Datos_items!$B:$B,$B247,Datos_items!$AA:$AA,AC$4,Datos_items!$E:$E,Analisis_grupo!$C$4))</f>
        <v/>
      </c>
      <c r="AD247" s="2" t="str">
        <f aca="false">IF($B247="","",COUNTIFS(Datos_items!$B:$B,$B247,Datos_items!$AA:$AA,AD$4,Datos_items!$E:$E,Analisis_grupo!$C$4))</f>
        <v/>
      </c>
      <c r="AE247" s="2" t="str">
        <f aca="false">IF($B247="","",COUNTIFS(Datos_items!$B:$B,$B247,Datos_items!$AA:$AA,AE$4,Datos_items!$E:$E,Analisis_grupo!$C$4))</f>
        <v/>
      </c>
      <c r="AF247" s="2" t="str">
        <f aca="false">IF($B247="","",COUNTIFS(Datos_items!$B:$B,$B247,Datos_items!$AA:$AA,AF$4,Datos_items!$E:$E,Analisis_grupo!$C$4))</f>
        <v/>
      </c>
      <c r="AG247" s="2" t="str">
        <f aca="false">IF($B247="","",COUNTIFS(Datos_items!$B:$B,$B247,Datos_items!$AA:$AA,AG$4,Datos_items!$E:$E,Analisis_grupo!$C$4))</f>
        <v/>
      </c>
      <c r="AH247" s="2" t="str">
        <f aca="false">IF($B247="","",COUNTIFS(Datos_items!$B:$B,$B247,Datos_items!$AA:$AA,AH$4,Datos_items!$E:$E,Analisis_grupo!$C$4))</f>
        <v/>
      </c>
      <c r="AI247" s="2" t="str">
        <f aca="false">IF($B247="","",COUNTIFS(Datos_items!$B:$B,$B247,Datos_items!$AA:$AA,AI$4,Datos_items!$E:$E,Analisis_grupo!$C$4))</f>
        <v/>
      </c>
      <c r="AJ247" s="2" t="str">
        <f aca="false">IF($B247="","",COUNTIFS(Datos_items!$B:$B,$B247,Datos_items!$AA:$AA,AJ$4,Datos_items!$E:$E,Analisis_grupo!$C$4))</f>
        <v/>
      </c>
      <c r="AK247" s="2" t="str">
        <f aca="false">IF($B247="","",COUNTIFS(Datos_items!$B:$B,$B247,Datos_items!$AA:$AA,AK$4,Datos_items!$E:$E,Analisis_grupo!$C$4))</f>
        <v/>
      </c>
      <c r="AL247" s="2" t="str">
        <f aca="false">IF($B247="","",COUNTIFS(Datos_items!$B:$B,$B247,Datos_items!$AA:$AA,AL$4,Datos_items!$E:$E,Analisis_grupo!$C$4))</f>
        <v/>
      </c>
      <c r="AM247" s="2" t="str">
        <f aca="false">IF($B247="","",IF(MAX(Y247:AL247)=0,"",INDEX($Y$4:$AL$4,MATCH(MAX(Y247:AL247),Y247:AL247,0))))</f>
        <v/>
      </c>
      <c r="AN247" s="2" t="str">
        <f aca="false">IF($B247="","",COUNTIFS(Datos_problemas!$B:$B,$B247,Datos_problemas!$F:$F,"Práctica"))</f>
        <v/>
      </c>
      <c r="AO247" s="2" t="str">
        <f aca="false">IF($B247="","",SUMIFS(Datos_problemas!$AQ:$AQ,Datos_problemas!$B:$B,$B247,Datos_problemas!$F:$F,"Práctica"))</f>
        <v/>
      </c>
      <c r="AP247" s="2" t="str">
        <f aca="false">IF($B247="","",COUNTIFS(Datos_problemas!$B:$B,$B247,Datos_problemas!$F:$F,"Práctica",Datos_problemas!$AS:$AS,"Sí"))</f>
        <v/>
      </c>
    </row>
    <row r="248" customFormat="false" ht="15" hidden="false" customHeight="false" outlineLevel="0" collapsed="false">
      <c r="A248" s="2" t="n">
        <v>244</v>
      </c>
      <c r="B248" s="2" t="str">
        <f aca="false">IFERROR(INDEX(Datos_problemas!$B:$B,MATCH($A248,Datos_problemas!$AV:$AV,0)),"")</f>
        <v/>
      </c>
      <c r="C248" s="2" t="str">
        <f aca="false">IF($B248="","",INDEX(Datos_problemas!$C:$C,MATCH($A248,Datos_problemas!$AV:$AV,0)))</f>
        <v/>
      </c>
      <c r="D248" s="2" t="str">
        <f aca="false">IF($B248="","",INDEX(Datos_problemas!$D:$D,MATCH($A248,Datos_problemas!$AV:$AV,0)))</f>
        <v/>
      </c>
      <c r="E248" s="2" t="str">
        <f aca="false">IF($B248="","",COUNTIFS(Datos_problemas!$B:$B,$B248,Datos_problemas!$F:$F,"Evaluación"))</f>
        <v/>
      </c>
      <c r="F248" s="20" t="str">
        <f aca="false">IF($B248="","",IFERROR(AVERAGEIFS(Datos_problemas!$AE:$AE,Datos_problemas!$B:$B,$B248,Datos_problemas!$F:$F,"Evaluación"),""))</f>
        <v/>
      </c>
      <c r="G248" s="20" t="str">
        <f aca="false">IF($B248="","",IFERROR(AVERAGEIFS(Datos_problemas!$AE:$AE,Datos_problemas!$B:$B,$B248,Datos_problemas!$F:$F,"Evaluación",Datos_problemas!$E:$E,"Diagnóstico"),""))</f>
        <v/>
      </c>
      <c r="H248" s="20" t="str">
        <f aca="false">IF($B248="","",IFERROR(AVERAGEIFS(Datos_problemas!$AE:$AE,Datos_problemas!$B:$B,$B248,Datos_problemas!$F:$F,"Evaluación",Datos_problemas!$E:$E,"Final"),""))</f>
        <v/>
      </c>
      <c r="I248" s="21" t="str">
        <f aca="false">IF(OR(G248="",H248=""),"",IF(G248&gt;=10,"",(H248-G248)/(10-G248)))</f>
        <v/>
      </c>
      <c r="J248" s="18" t="str">
        <f aca="false">IF($B248="","",IFERROR(SUMIFS(Datos_items!$Z:$Z,Datos_items!$B:$B,$B248,Datos_items!$O:$O,J$4,Datos_items!$E:$E,Analisis_grupo!$C$4)/COUNTIFS(Datos_items!$B:$B,$B248,Datos_items!$O:$O,J$4,Datos_items!$E:$E,Analisis_grupo!$C$4),""))</f>
        <v/>
      </c>
      <c r="K248" s="18" t="str">
        <f aca="false">IF($B248="","",IFERROR(SUMIFS(Datos_items!$Z:$Z,Datos_items!$B:$B,$B248,Datos_items!$O:$O,K$4,Datos_items!$E:$E,Analisis_grupo!$C$4)/COUNTIFS(Datos_items!$B:$B,$B248,Datos_items!$O:$O,K$4,Datos_items!$E:$E,Analisis_grupo!$C$4),""))</f>
        <v/>
      </c>
      <c r="L248" s="18" t="str">
        <f aca="false">IF($B248="","",IFERROR(SUMIFS(Datos_items!$Z:$Z,Datos_items!$B:$B,$B248,Datos_items!$O:$O,L$4,Datos_items!$E:$E,Analisis_grupo!$C$4)/COUNTIFS(Datos_items!$B:$B,$B248,Datos_items!$O:$O,L$4,Datos_items!$E:$E,Analisis_grupo!$C$4),""))</f>
        <v/>
      </c>
      <c r="M248" s="18" t="str">
        <f aca="false">IF($B248="","",IFERROR(SUMIFS(Datos_items!$Z:$Z,Datos_items!$B:$B,$B248,Datos_items!$O:$O,M$4,Datos_items!$E:$E,Analisis_grupo!$C$4)/COUNTIFS(Datos_items!$B:$B,$B248,Datos_items!$O:$O,M$4,Datos_items!$E:$E,Analisis_grupo!$C$4),""))</f>
        <v/>
      </c>
      <c r="N248" s="18" t="str">
        <f aca="false">IF($B248="","",IFERROR(SUMIFS(Datos_items!$Z:$Z,Datos_items!$B:$B,$B248,Datos_items!$O:$O,N$4,Datos_items!$E:$E,Analisis_grupo!$C$4)/COUNTIFS(Datos_items!$B:$B,$B248,Datos_items!$O:$O,N$4,Datos_items!$E:$E,Analisis_grupo!$C$4),""))</f>
        <v/>
      </c>
      <c r="O248" s="18" t="str">
        <f aca="false">IF($B248="","",IFERROR(SUMIFS(Datos_items!$Z:$Z,Datos_items!$B:$B,$B248,Datos_items!$O:$O,O$4,Datos_items!$E:$E,Analisis_grupo!$C$4)/COUNTIFS(Datos_items!$B:$B,$B248,Datos_items!$O:$O,O$4,Datos_items!$E:$E,Analisis_grupo!$C$4),""))</f>
        <v/>
      </c>
      <c r="P248" s="18" t="str">
        <f aca="false">IF($B248="","",IFERROR(SUMIFS(Datos_items!$Z:$Z,Datos_items!$B:$B,$B248,Datos_items!$O:$O,P$4,Datos_items!$E:$E,Analisis_grupo!$C$4)/COUNTIFS(Datos_items!$B:$B,$B248,Datos_items!$O:$O,P$4,Datos_items!$E:$E,Analisis_grupo!$C$4),""))</f>
        <v/>
      </c>
      <c r="Q248" s="18" t="str">
        <f aca="false">IF($B248="","",IFERROR(SUMIFS(Datos_items!$Z:$Z,Datos_items!$B:$B,$B248,Datos_items!$O:$O,Q$4,Datos_items!$E:$E,Analisis_grupo!$C$4)/COUNTIFS(Datos_items!$B:$B,$B248,Datos_items!$O:$O,Q$4,Datos_items!$E:$E,Analisis_grupo!$C$4),""))</f>
        <v/>
      </c>
      <c r="R248" s="2" t="str">
        <f aca="false">IF(COUNT(J248:Q248)=0,"",IF(MIN(J248:Q248)&gt;=Analisis_grupo!$B$7,"(ninguna)",INDEX($J$4:$Q$4,MATCH(MIN(J248:Q248),J248:Q248,0))))</f>
        <v/>
      </c>
      <c r="S248" s="2" t="str">
        <f aca="false">IF($B248="","",COUNTIF(J248:Q248,"&lt;"&amp;Analisis_grupo!$B$7))</f>
        <v/>
      </c>
      <c r="T248" s="2" t="str">
        <f aca="false">IF($B248="","",COUNTIFS(Datos_items!$B:$B,$B248,Datos_items!$AA:$AA,T$4,Datos_items!$E:$E,Analisis_grupo!$C$4))</f>
        <v/>
      </c>
      <c r="U248" s="2" t="str">
        <f aca="false">IF($B248="","",COUNTIFS(Datos_items!$B:$B,$B248,Datos_items!$AA:$AA,U$4,Datos_items!$E:$E,Analisis_grupo!$C$4))</f>
        <v/>
      </c>
      <c r="V248" s="2" t="str">
        <f aca="false">IF($B248="","",COUNTIFS(Datos_items!$B:$B,$B248,Datos_items!$AA:$AA,V$4,Datos_items!$E:$E,Analisis_grupo!$C$4))</f>
        <v/>
      </c>
      <c r="W248" s="2" t="str">
        <f aca="false">IF($B248="","",COUNTIFS(Datos_items!$B:$B,$B248,Datos_items!$AA:$AA,W$4,Datos_items!$E:$E,Analisis_grupo!$C$4))</f>
        <v/>
      </c>
      <c r="X248" s="2" t="str">
        <f aca="false">IF($B248="","",COUNTIFS(Datos_items!$B:$B,$B248,Datos_items!$AA:$AA,X$4,Datos_items!$E:$E,Analisis_grupo!$C$4))</f>
        <v/>
      </c>
      <c r="Y248" s="2" t="str">
        <f aca="false">IF($B248="","",COUNTIFS(Datos_items!$B:$B,$B248,Datos_items!$AA:$AA,Y$4,Datos_items!$E:$E,Analisis_grupo!$C$4))</f>
        <v/>
      </c>
      <c r="Z248" s="2" t="str">
        <f aca="false">IF($B248="","",COUNTIFS(Datos_items!$B:$B,$B248,Datos_items!$AA:$AA,Z$4,Datos_items!$E:$E,Analisis_grupo!$C$4))</f>
        <v/>
      </c>
      <c r="AA248" s="2" t="str">
        <f aca="false">IF($B248="","",COUNTIFS(Datos_items!$B:$B,$B248,Datos_items!$AA:$AA,AA$4,Datos_items!$E:$E,Analisis_grupo!$C$4))</f>
        <v/>
      </c>
      <c r="AB248" s="2" t="str">
        <f aca="false">IF($B248="","",COUNTIFS(Datos_items!$B:$B,$B248,Datos_items!$AA:$AA,AB$4,Datos_items!$E:$E,Analisis_grupo!$C$4))</f>
        <v/>
      </c>
      <c r="AC248" s="2" t="str">
        <f aca="false">IF($B248="","",COUNTIFS(Datos_items!$B:$B,$B248,Datos_items!$AA:$AA,AC$4,Datos_items!$E:$E,Analisis_grupo!$C$4))</f>
        <v/>
      </c>
      <c r="AD248" s="2" t="str">
        <f aca="false">IF($B248="","",COUNTIFS(Datos_items!$B:$B,$B248,Datos_items!$AA:$AA,AD$4,Datos_items!$E:$E,Analisis_grupo!$C$4))</f>
        <v/>
      </c>
      <c r="AE248" s="2" t="str">
        <f aca="false">IF($B248="","",COUNTIFS(Datos_items!$B:$B,$B248,Datos_items!$AA:$AA,AE$4,Datos_items!$E:$E,Analisis_grupo!$C$4))</f>
        <v/>
      </c>
      <c r="AF248" s="2" t="str">
        <f aca="false">IF($B248="","",COUNTIFS(Datos_items!$B:$B,$B248,Datos_items!$AA:$AA,AF$4,Datos_items!$E:$E,Analisis_grupo!$C$4))</f>
        <v/>
      </c>
      <c r="AG248" s="2" t="str">
        <f aca="false">IF($B248="","",COUNTIFS(Datos_items!$B:$B,$B248,Datos_items!$AA:$AA,AG$4,Datos_items!$E:$E,Analisis_grupo!$C$4))</f>
        <v/>
      </c>
      <c r="AH248" s="2" t="str">
        <f aca="false">IF($B248="","",COUNTIFS(Datos_items!$B:$B,$B248,Datos_items!$AA:$AA,AH$4,Datos_items!$E:$E,Analisis_grupo!$C$4))</f>
        <v/>
      </c>
      <c r="AI248" s="2" t="str">
        <f aca="false">IF($B248="","",COUNTIFS(Datos_items!$B:$B,$B248,Datos_items!$AA:$AA,AI$4,Datos_items!$E:$E,Analisis_grupo!$C$4))</f>
        <v/>
      </c>
      <c r="AJ248" s="2" t="str">
        <f aca="false">IF($B248="","",COUNTIFS(Datos_items!$B:$B,$B248,Datos_items!$AA:$AA,AJ$4,Datos_items!$E:$E,Analisis_grupo!$C$4))</f>
        <v/>
      </c>
      <c r="AK248" s="2" t="str">
        <f aca="false">IF($B248="","",COUNTIFS(Datos_items!$B:$B,$B248,Datos_items!$AA:$AA,AK$4,Datos_items!$E:$E,Analisis_grupo!$C$4))</f>
        <v/>
      </c>
      <c r="AL248" s="2" t="str">
        <f aca="false">IF($B248="","",COUNTIFS(Datos_items!$B:$B,$B248,Datos_items!$AA:$AA,AL$4,Datos_items!$E:$E,Analisis_grupo!$C$4))</f>
        <v/>
      </c>
      <c r="AM248" s="2" t="str">
        <f aca="false">IF($B248="","",IF(MAX(Y248:AL248)=0,"",INDEX($Y$4:$AL$4,MATCH(MAX(Y248:AL248),Y248:AL248,0))))</f>
        <v/>
      </c>
      <c r="AN248" s="2" t="str">
        <f aca="false">IF($B248="","",COUNTIFS(Datos_problemas!$B:$B,$B248,Datos_problemas!$F:$F,"Práctica"))</f>
        <v/>
      </c>
      <c r="AO248" s="2" t="str">
        <f aca="false">IF($B248="","",SUMIFS(Datos_problemas!$AQ:$AQ,Datos_problemas!$B:$B,$B248,Datos_problemas!$F:$F,"Práctica"))</f>
        <v/>
      </c>
      <c r="AP248" s="2" t="str">
        <f aca="false">IF($B248="","",COUNTIFS(Datos_problemas!$B:$B,$B248,Datos_problemas!$F:$F,"Práctica",Datos_problemas!$AS:$AS,"Sí"))</f>
        <v/>
      </c>
    </row>
    <row r="249" customFormat="false" ht="15" hidden="false" customHeight="false" outlineLevel="0" collapsed="false">
      <c r="A249" s="2" t="n">
        <v>245</v>
      </c>
      <c r="B249" s="2" t="str">
        <f aca="false">IFERROR(INDEX(Datos_problemas!$B:$B,MATCH($A249,Datos_problemas!$AV:$AV,0)),"")</f>
        <v/>
      </c>
      <c r="C249" s="2" t="str">
        <f aca="false">IF($B249="","",INDEX(Datos_problemas!$C:$C,MATCH($A249,Datos_problemas!$AV:$AV,0)))</f>
        <v/>
      </c>
      <c r="D249" s="2" t="str">
        <f aca="false">IF($B249="","",INDEX(Datos_problemas!$D:$D,MATCH($A249,Datos_problemas!$AV:$AV,0)))</f>
        <v/>
      </c>
      <c r="E249" s="2" t="str">
        <f aca="false">IF($B249="","",COUNTIFS(Datos_problemas!$B:$B,$B249,Datos_problemas!$F:$F,"Evaluación"))</f>
        <v/>
      </c>
      <c r="F249" s="20" t="str">
        <f aca="false">IF($B249="","",IFERROR(AVERAGEIFS(Datos_problemas!$AE:$AE,Datos_problemas!$B:$B,$B249,Datos_problemas!$F:$F,"Evaluación"),""))</f>
        <v/>
      </c>
      <c r="G249" s="20" t="str">
        <f aca="false">IF($B249="","",IFERROR(AVERAGEIFS(Datos_problemas!$AE:$AE,Datos_problemas!$B:$B,$B249,Datos_problemas!$F:$F,"Evaluación",Datos_problemas!$E:$E,"Diagnóstico"),""))</f>
        <v/>
      </c>
      <c r="H249" s="20" t="str">
        <f aca="false">IF($B249="","",IFERROR(AVERAGEIFS(Datos_problemas!$AE:$AE,Datos_problemas!$B:$B,$B249,Datos_problemas!$F:$F,"Evaluación",Datos_problemas!$E:$E,"Final"),""))</f>
        <v/>
      </c>
      <c r="I249" s="21" t="str">
        <f aca="false">IF(OR(G249="",H249=""),"",IF(G249&gt;=10,"",(H249-G249)/(10-G249)))</f>
        <v/>
      </c>
      <c r="J249" s="18" t="str">
        <f aca="false">IF($B249="","",IFERROR(SUMIFS(Datos_items!$Z:$Z,Datos_items!$B:$B,$B249,Datos_items!$O:$O,J$4,Datos_items!$E:$E,Analisis_grupo!$C$4)/COUNTIFS(Datos_items!$B:$B,$B249,Datos_items!$O:$O,J$4,Datos_items!$E:$E,Analisis_grupo!$C$4),""))</f>
        <v/>
      </c>
      <c r="K249" s="18" t="str">
        <f aca="false">IF($B249="","",IFERROR(SUMIFS(Datos_items!$Z:$Z,Datos_items!$B:$B,$B249,Datos_items!$O:$O,K$4,Datos_items!$E:$E,Analisis_grupo!$C$4)/COUNTIFS(Datos_items!$B:$B,$B249,Datos_items!$O:$O,K$4,Datos_items!$E:$E,Analisis_grupo!$C$4),""))</f>
        <v/>
      </c>
      <c r="L249" s="18" t="str">
        <f aca="false">IF($B249="","",IFERROR(SUMIFS(Datos_items!$Z:$Z,Datos_items!$B:$B,$B249,Datos_items!$O:$O,L$4,Datos_items!$E:$E,Analisis_grupo!$C$4)/COUNTIFS(Datos_items!$B:$B,$B249,Datos_items!$O:$O,L$4,Datos_items!$E:$E,Analisis_grupo!$C$4),""))</f>
        <v/>
      </c>
      <c r="M249" s="18" t="str">
        <f aca="false">IF($B249="","",IFERROR(SUMIFS(Datos_items!$Z:$Z,Datos_items!$B:$B,$B249,Datos_items!$O:$O,M$4,Datos_items!$E:$E,Analisis_grupo!$C$4)/COUNTIFS(Datos_items!$B:$B,$B249,Datos_items!$O:$O,M$4,Datos_items!$E:$E,Analisis_grupo!$C$4),""))</f>
        <v/>
      </c>
      <c r="N249" s="18" t="str">
        <f aca="false">IF($B249="","",IFERROR(SUMIFS(Datos_items!$Z:$Z,Datos_items!$B:$B,$B249,Datos_items!$O:$O,N$4,Datos_items!$E:$E,Analisis_grupo!$C$4)/COUNTIFS(Datos_items!$B:$B,$B249,Datos_items!$O:$O,N$4,Datos_items!$E:$E,Analisis_grupo!$C$4),""))</f>
        <v/>
      </c>
      <c r="O249" s="18" t="str">
        <f aca="false">IF($B249="","",IFERROR(SUMIFS(Datos_items!$Z:$Z,Datos_items!$B:$B,$B249,Datos_items!$O:$O,O$4,Datos_items!$E:$E,Analisis_grupo!$C$4)/COUNTIFS(Datos_items!$B:$B,$B249,Datos_items!$O:$O,O$4,Datos_items!$E:$E,Analisis_grupo!$C$4),""))</f>
        <v/>
      </c>
      <c r="P249" s="18" t="str">
        <f aca="false">IF($B249="","",IFERROR(SUMIFS(Datos_items!$Z:$Z,Datos_items!$B:$B,$B249,Datos_items!$O:$O,P$4,Datos_items!$E:$E,Analisis_grupo!$C$4)/COUNTIFS(Datos_items!$B:$B,$B249,Datos_items!$O:$O,P$4,Datos_items!$E:$E,Analisis_grupo!$C$4),""))</f>
        <v/>
      </c>
      <c r="Q249" s="18" t="str">
        <f aca="false">IF($B249="","",IFERROR(SUMIFS(Datos_items!$Z:$Z,Datos_items!$B:$B,$B249,Datos_items!$O:$O,Q$4,Datos_items!$E:$E,Analisis_grupo!$C$4)/COUNTIFS(Datos_items!$B:$B,$B249,Datos_items!$O:$O,Q$4,Datos_items!$E:$E,Analisis_grupo!$C$4),""))</f>
        <v/>
      </c>
      <c r="R249" s="2" t="str">
        <f aca="false">IF(COUNT(J249:Q249)=0,"",IF(MIN(J249:Q249)&gt;=Analisis_grupo!$B$7,"(ninguna)",INDEX($J$4:$Q$4,MATCH(MIN(J249:Q249),J249:Q249,0))))</f>
        <v/>
      </c>
      <c r="S249" s="2" t="str">
        <f aca="false">IF($B249="","",COUNTIF(J249:Q249,"&lt;"&amp;Analisis_grupo!$B$7))</f>
        <v/>
      </c>
      <c r="T249" s="2" t="str">
        <f aca="false">IF($B249="","",COUNTIFS(Datos_items!$B:$B,$B249,Datos_items!$AA:$AA,T$4,Datos_items!$E:$E,Analisis_grupo!$C$4))</f>
        <v/>
      </c>
      <c r="U249" s="2" t="str">
        <f aca="false">IF($B249="","",COUNTIFS(Datos_items!$B:$B,$B249,Datos_items!$AA:$AA,U$4,Datos_items!$E:$E,Analisis_grupo!$C$4))</f>
        <v/>
      </c>
      <c r="V249" s="2" t="str">
        <f aca="false">IF($B249="","",COUNTIFS(Datos_items!$B:$B,$B249,Datos_items!$AA:$AA,V$4,Datos_items!$E:$E,Analisis_grupo!$C$4))</f>
        <v/>
      </c>
      <c r="W249" s="2" t="str">
        <f aca="false">IF($B249="","",COUNTIFS(Datos_items!$B:$B,$B249,Datos_items!$AA:$AA,W$4,Datos_items!$E:$E,Analisis_grupo!$C$4))</f>
        <v/>
      </c>
      <c r="X249" s="2" t="str">
        <f aca="false">IF($B249="","",COUNTIFS(Datos_items!$B:$B,$B249,Datos_items!$AA:$AA,X$4,Datos_items!$E:$E,Analisis_grupo!$C$4))</f>
        <v/>
      </c>
      <c r="Y249" s="2" t="str">
        <f aca="false">IF($B249="","",COUNTIFS(Datos_items!$B:$B,$B249,Datos_items!$AA:$AA,Y$4,Datos_items!$E:$E,Analisis_grupo!$C$4))</f>
        <v/>
      </c>
      <c r="Z249" s="2" t="str">
        <f aca="false">IF($B249="","",COUNTIFS(Datos_items!$B:$B,$B249,Datos_items!$AA:$AA,Z$4,Datos_items!$E:$E,Analisis_grupo!$C$4))</f>
        <v/>
      </c>
      <c r="AA249" s="2" t="str">
        <f aca="false">IF($B249="","",COUNTIFS(Datos_items!$B:$B,$B249,Datos_items!$AA:$AA,AA$4,Datos_items!$E:$E,Analisis_grupo!$C$4))</f>
        <v/>
      </c>
      <c r="AB249" s="2" t="str">
        <f aca="false">IF($B249="","",COUNTIFS(Datos_items!$B:$B,$B249,Datos_items!$AA:$AA,AB$4,Datos_items!$E:$E,Analisis_grupo!$C$4))</f>
        <v/>
      </c>
      <c r="AC249" s="2" t="str">
        <f aca="false">IF($B249="","",COUNTIFS(Datos_items!$B:$B,$B249,Datos_items!$AA:$AA,AC$4,Datos_items!$E:$E,Analisis_grupo!$C$4))</f>
        <v/>
      </c>
      <c r="AD249" s="2" t="str">
        <f aca="false">IF($B249="","",COUNTIFS(Datos_items!$B:$B,$B249,Datos_items!$AA:$AA,AD$4,Datos_items!$E:$E,Analisis_grupo!$C$4))</f>
        <v/>
      </c>
      <c r="AE249" s="2" t="str">
        <f aca="false">IF($B249="","",COUNTIFS(Datos_items!$B:$B,$B249,Datos_items!$AA:$AA,AE$4,Datos_items!$E:$E,Analisis_grupo!$C$4))</f>
        <v/>
      </c>
      <c r="AF249" s="2" t="str">
        <f aca="false">IF($B249="","",COUNTIFS(Datos_items!$B:$B,$B249,Datos_items!$AA:$AA,AF$4,Datos_items!$E:$E,Analisis_grupo!$C$4))</f>
        <v/>
      </c>
      <c r="AG249" s="2" t="str">
        <f aca="false">IF($B249="","",COUNTIFS(Datos_items!$B:$B,$B249,Datos_items!$AA:$AA,AG$4,Datos_items!$E:$E,Analisis_grupo!$C$4))</f>
        <v/>
      </c>
      <c r="AH249" s="2" t="str">
        <f aca="false">IF($B249="","",COUNTIFS(Datos_items!$B:$B,$B249,Datos_items!$AA:$AA,AH$4,Datos_items!$E:$E,Analisis_grupo!$C$4))</f>
        <v/>
      </c>
      <c r="AI249" s="2" t="str">
        <f aca="false">IF($B249="","",COUNTIFS(Datos_items!$B:$B,$B249,Datos_items!$AA:$AA,AI$4,Datos_items!$E:$E,Analisis_grupo!$C$4))</f>
        <v/>
      </c>
      <c r="AJ249" s="2" t="str">
        <f aca="false">IF($B249="","",COUNTIFS(Datos_items!$B:$B,$B249,Datos_items!$AA:$AA,AJ$4,Datos_items!$E:$E,Analisis_grupo!$C$4))</f>
        <v/>
      </c>
      <c r="AK249" s="2" t="str">
        <f aca="false">IF($B249="","",COUNTIFS(Datos_items!$B:$B,$B249,Datos_items!$AA:$AA,AK$4,Datos_items!$E:$E,Analisis_grupo!$C$4))</f>
        <v/>
      </c>
      <c r="AL249" s="2" t="str">
        <f aca="false">IF($B249="","",COUNTIFS(Datos_items!$B:$B,$B249,Datos_items!$AA:$AA,AL$4,Datos_items!$E:$E,Analisis_grupo!$C$4))</f>
        <v/>
      </c>
      <c r="AM249" s="2" t="str">
        <f aca="false">IF($B249="","",IF(MAX(Y249:AL249)=0,"",INDEX($Y$4:$AL$4,MATCH(MAX(Y249:AL249),Y249:AL249,0))))</f>
        <v/>
      </c>
      <c r="AN249" s="2" t="str">
        <f aca="false">IF($B249="","",COUNTIFS(Datos_problemas!$B:$B,$B249,Datos_problemas!$F:$F,"Práctica"))</f>
        <v/>
      </c>
      <c r="AO249" s="2" t="str">
        <f aca="false">IF($B249="","",SUMIFS(Datos_problemas!$AQ:$AQ,Datos_problemas!$B:$B,$B249,Datos_problemas!$F:$F,"Práctica"))</f>
        <v/>
      </c>
      <c r="AP249" s="2" t="str">
        <f aca="false">IF($B249="","",COUNTIFS(Datos_problemas!$B:$B,$B249,Datos_problemas!$F:$F,"Práctica",Datos_problemas!$AS:$AS,"Sí"))</f>
        <v/>
      </c>
    </row>
    <row r="250" customFormat="false" ht="15" hidden="false" customHeight="false" outlineLevel="0" collapsed="false">
      <c r="A250" s="2" t="n">
        <v>246</v>
      </c>
      <c r="B250" s="2" t="str">
        <f aca="false">IFERROR(INDEX(Datos_problemas!$B:$B,MATCH($A250,Datos_problemas!$AV:$AV,0)),"")</f>
        <v/>
      </c>
      <c r="C250" s="2" t="str">
        <f aca="false">IF($B250="","",INDEX(Datos_problemas!$C:$C,MATCH($A250,Datos_problemas!$AV:$AV,0)))</f>
        <v/>
      </c>
      <c r="D250" s="2" t="str">
        <f aca="false">IF($B250="","",INDEX(Datos_problemas!$D:$D,MATCH($A250,Datos_problemas!$AV:$AV,0)))</f>
        <v/>
      </c>
      <c r="E250" s="2" t="str">
        <f aca="false">IF($B250="","",COUNTIFS(Datos_problemas!$B:$B,$B250,Datos_problemas!$F:$F,"Evaluación"))</f>
        <v/>
      </c>
      <c r="F250" s="20" t="str">
        <f aca="false">IF($B250="","",IFERROR(AVERAGEIFS(Datos_problemas!$AE:$AE,Datos_problemas!$B:$B,$B250,Datos_problemas!$F:$F,"Evaluación"),""))</f>
        <v/>
      </c>
      <c r="G250" s="20" t="str">
        <f aca="false">IF($B250="","",IFERROR(AVERAGEIFS(Datos_problemas!$AE:$AE,Datos_problemas!$B:$B,$B250,Datos_problemas!$F:$F,"Evaluación",Datos_problemas!$E:$E,"Diagnóstico"),""))</f>
        <v/>
      </c>
      <c r="H250" s="20" t="str">
        <f aca="false">IF($B250="","",IFERROR(AVERAGEIFS(Datos_problemas!$AE:$AE,Datos_problemas!$B:$B,$B250,Datos_problemas!$F:$F,"Evaluación",Datos_problemas!$E:$E,"Final"),""))</f>
        <v/>
      </c>
      <c r="I250" s="21" t="str">
        <f aca="false">IF(OR(G250="",H250=""),"",IF(G250&gt;=10,"",(H250-G250)/(10-G250)))</f>
        <v/>
      </c>
      <c r="J250" s="18" t="str">
        <f aca="false">IF($B250="","",IFERROR(SUMIFS(Datos_items!$Z:$Z,Datos_items!$B:$B,$B250,Datos_items!$O:$O,J$4,Datos_items!$E:$E,Analisis_grupo!$C$4)/COUNTIFS(Datos_items!$B:$B,$B250,Datos_items!$O:$O,J$4,Datos_items!$E:$E,Analisis_grupo!$C$4),""))</f>
        <v/>
      </c>
      <c r="K250" s="18" t="str">
        <f aca="false">IF($B250="","",IFERROR(SUMIFS(Datos_items!$Z:$Z,Datos_items!$B:$B,$B250,Datos_items!$O:$O,K$4,Datos_items!$E:$E,Analisis_grupo!$C$4)/COUNTIFS(Datos_items!$B:$B,$B250,Datos_items!$O:$O,K$4,Datos_items!$E:$E,Analisis_grupo!$C$4),""))</f>
        <v/>
      </c>
      <c r="L250" s="18" t="str">
        <f aca="false">IF($B250="","",IFERROR(SUMIFS(Datos_items!$Z:$Z,Datos_items!$B:$B,$B250,Datos_items!$O:$O,L$4,Datos_items!$E:$E,Analisis_grupo!$C$4)/COUNTIFS(Datos_items!$B:$B,$B250,Datos_items!$O:$O,L$4,Datos_items!$E:$E,Analisis_grupo!$C$4),""))</f>
        <v/>
      </c>
      <c r="M250" s="18" t="str">
        <f aca="false">IF($B250="","",IFERROR(SUMIFS(Datos_items!$Z:$Z,Datos_items!$B:$B,$B250,Datos_items!$O:$O,M$4,Datos_items!$E:$E,Analisis_grupo!$C$4)/COUNTIFS(Datos_items!$B:$B,$B250,Datos_items!$O:$O,M$4,Datos_items!$E:$E,Analisis_grupo!$C$4),""))</f>
        <v/>
      </c>
      <c r="N250" s="18" t="str">
        <f aca="false">IF($B250="","",IFERROR(SUMIFS(Datos_items!$Z:$Z,Datos_items!$B:$B,$B250,Datos_items!$O:$O,N$4,Datos_items!$E:$E,Analisis_grupo!$C$4)/COUNTIFS(Datos_items!$B:$B,$B250,Datos_items!$O:$O,N$4,Datos_items!$E:$E,Analisis_grupo!$C$4),""))</f>
        <v/>
      </c>
      <c r="O250" s="18" t="str">
        <f aca="false">IF($B250="","",IFERROR(SUMIFS(Datos_items!$Z:$Z,Datos_items!$B:$B,$B250,Datos_items!$O:$O,O$4,Datos_items!$E:$E,Analisis_grupo!$C$4)/COUNTIFS(Datos_items!$B:$B,$B250,Datos_items!$O:$O,O$4,Datos_items!$E:$E,Analisis_grupo!$C$4),""))</f>
        <v/>
      </c>
      <c r="P250" s="18" t="str">
        <f aca="false">IF($B250="","",IFERROR(SUMIFS(Datos_items!$Z:$Z,Datos_items!$B:$B,$B250,Datos_items!$O:$O,P$4,Datos_items!$E:$E,Analisis_grupo!$C$4)/COUNTIFS(Datos_items!$B:$B,$B250,Datos_items!$O:$O,P$4,Datos_items!$E:$E,Analisis_grupo!$C$4),""))</f>
        <v/>
      </c>
      <c r="Q250" s="18" t="str">
        <f aca="false">IF($B250="","",IFERROR(SUMIFS(Datos_items!$Z:$Z,Datos_items!$B:$B,$B250,Datos_items!$O:$O,Q$4,Datos_items!$E:$E,Analisis_grupo!$C$4)/COUNTIFS(Datos_items!$B:$B,$B250,Datos_items!$O:$O,Q$4,Datos_items!$E:$E,Analisis_grupo!$C$4),""))</f>
        <v/>
      </c>
      <c r="R250" s="2" t="str">
        <f aca="false">IF(COUNT(J250:Q250)=0,"",IF(MIN(J250:Q250)&gt;=Analisis_grupo!$B$7,"(ninguna)",INDEX($J$4:$Q$4,MATCH(MIN(J250:Q250),J250:Q250,0))))</f>
        <v/>
      </c>
      <c r="S250" s="2" t="str">
        <f aca="false">IF($B250="","",COUNTIF(J250:Q250,"&lt;"&amp;Analisis_grupo!$B$7))</f>
        <v/>
      </c>
      <c r="T250" s="2" t="str">
        <f aca="false">IF($B250="","",COUNTIFS(Datos_items!$B:$B,$B250,Datos_items!$AA:$AA,T$4,Datos_items!$E:$E,Analisis_grupo!$C$4))</f>
        <v/>
      </c>
      <c r="U250" s="2" t="str">
        <f aca="false">IF($B250="","",COUNTIFS(Datos_items!$B:$B,$B250,Datos_items!$AA:$AA,U$4,Datos_items!$E:$E,Analisis_grupo!$C$4))</f>
        <v/>
      </c>
      <c r="V250" s="2" t="str">
        <f aca="false">IF($B250="","",COUNTIFS(Datos_items!$B:$B,$B250,Datos_items!$AA:$AA,V$4,Datos_items!$E:$E,Analisis_grupo!$C$4))</f>
        <v/>
      </c>
      <c r="W250" s="2" t="str">
        <f aca="false">IF($B250="","",COUNTIFS(Datos_items!$B:$B,$B250,Datos_items!$AA:$AA,W$4,Datos_items!$E:$E,Analisis_grupo!$C$4))</f>
        <v/>
      </c>
      <c r="X250" s="2" t="str">
        <f aca="false">IF($B250="","",COUNTIFS(Datos_items!$B:$B,$B250,Datos_items!$AA:$AA,X$4,Datos_items!$E:$E,Analisis_grupo!$C$4))</f>
        <v/>
      </c>
      <c r="Y250" s="2" t="str">
        <f aca="false">IF($B250="","",COUNTIFS(Datos_items!$B:$B,$B250,Datos_items!$AA:$AA,Y$4,Datos_items!$E:$E,Analisis_grupo!$C$4))</f>
        <v/>
      </c>
      <c r="Z250" s="2" t="str">
        <f aca="false">IF($B250="","",COUNTIFS(Datos_items!$B:$B,$B250,Datos_items!$AA:$AA,Z$4,Datos_items!$E:$E,Analisis_grupo!$C$4))</f>
        <v/>
      </c>
      <c r="AA250" s="2" t="str">
        <f aca="false">IF($B250="","",COUNTIFS(Datos_items!$B:$B,$B250,Datos_items!$AA:$AA,AA$4,Datos_items!$E:$E,Analisis_grupo!$C$4))</f>
        <v/>
      </c>
      <c r="AB250" s="2" t="str">
        <f aca="false">IF($B250="","",COUNTIFS(Datos_items!$B:$B,$B250,Datos_items!$AA:$AA,AB$4,Datos_items!$E:$E,Analisis_grupo!$C$4))</f>
        <v/>
      </c>
      <c r="AC250" s="2" t="str">
        <f aca="false">IF($B250="","",COUNTIFS(Datos_items!$B:$B,$B250,Datos_items!$AA:$AA,AC$4,Datos_items!$E:$E,Analisis_grupo!$C$4))</f>
        <v/>
      </c>
      <c r="AD250" s="2" t="str">
        <f aca="false">IF($B250="","",COUNTIFS(Datos_items!$B:$B,$B250,Datos_items!$AA:$AA,AD$4,Datos_items!$E:$E,Analisis_grupo!$C$4))</f>
        <v/>
      </c>
      <c r="AE250" s="2" t="str">
        <f aca="false">IF($B250="","",COUNTIFS(Datos_items!$B:$B,$B250,Datos_items!$AA:$AA,AE$4,Datos_items!$E:$E,Analisis_grupo!$C$4))</f>
        <v/>
      </c>
      <c r="AF250" s="2" t="str">
        <f aca="false">IF($B250="","",COUNTIFS(Datos_items!$B:$B,$B250,Datos_items!$AA:$AA,AF$4,Datos_items!$E:$E,Analisis_grupo!$C$4))</f>
        <v/>
      </c>
      <c r="AG250" s="2" t="str">
        <f aca="false">IF($B250="","",COUNTIFS(Datos_items!$B:$B,$B250,Datos_items!$AA:$AA,AG$4,Datos_items!$E:$E,Analisis_grupo!$C$4))</f>
        <v/>
      </c>
      <c r="AH250" s="2" t="str">
        <f aca="false">IF($B250="","",COUNTIFS(Datos_items!$B:$B,$B250,Datos_items!$AA:$AA,AH$4,Datos_items!$E:$E,Analisis_grupo!$C$4))</f>
        <v/>
      </c>
      <c r="AI250" s="2" t="str">
        <f aca="false">IF($B250="","",COUNTIFS(Datos_items!$B:$B,$B250,Datos_items!$AA:$AA,AI$4,Datos_items!$E:$E,Analisis_grupo!$C$4))</f>
        <v/>
      </c>
      <c r="AJ250" s="2" t="str">
        <f aca="false">IF($B250="","",COUNTIFS(Datos_items!$B:$B,$B250,Datos_items!$AA:$AA,AJ$4,Datos_items!$E:$E,Analisis_grupo!$C$4))</f>
        <v/>
      </c>
      <c r="AK250" s="2" t="str">
        <f aca="false">IF($B250="","",COUNTIFS(Datos_items!$B:$B,$B250,Datos_items!$AA:$AA,AK$4,Datos_items!$E:$E,Analisis_grupo!$C$4))</f>
        <v/>
      </c>
      <c r="AL250" s="2" t="str">
        <f aca="false">IF($B250="","",COUNTIFS(Datos_items!$B:$B,$B250,Datos_items!$AA:$AA,AL$4,Datos_items!$E:$E,Analisis_grupo!$C$4))</f>
        <v/>
      </c>
      <c r="AM250" s="2" t="str">
        <f aca="false">IF($B250="","",IF(MAX(Y250:AL250)=0,"",INDEX($Y$4:$AL$4,MATCH(MAX(Y250:AL250),Y250:AL250,0))))</f>
        <v/>
      </c>
      <c r="AN250" s="2" t="str">
        <f aca="false">IF($B250="","",COUNTIFS(Datos_problemas!$B:$B,$B250,Datos_problemas!$F:$F,"Práctica"))</f>
        <v/>
      </c>
      <c r="AO250" s="2" t="str">
        <f aca="false">IF($B250="","",SUMIFS(Datos_problemas!$AQ:$AQ,Datos_problemas!$B:$B,$B250,Datos_problemas!$F:$F,"Práctica"))</f>
        <v/>
      </c>
      <c r="AP250" s="2" t="str">
        <f aca="false">IF($B250="","",COUNTIFS(Datos_problemas!$B:$B,$B250,Datos_problemas!$F:$F,"Práctica",Datos_problemas!$AS:$AS,"Sí"))</f>
        <v/>
      </c>
    </row>
    <row r="251" customFormat="false" ht="15" hidden="false" customHeight="false" outlineLevel="0" collapsed="false">
      <c r="A251" s="2" t="n">
        <v>247</v>
      </c>
      <c r="B251" s="2" t="str">
        <f aca="false">IFERROR(INDEX(Datos_problemas!$B:$B,MATCH($A251,Datos_problemas!$AV:$AV,0)),"")</f>
        <v/>
      </c>
      <c r="C251" s="2" t="str">
        <f aca="false">IF($B251="","",INDEX(Datos_problemas!$C:$C,MATCH($A251,Datos_problemas!$AV:$AV,0)))</f>
        <v/>
      </c>
      <c r="D251" s="2" t="str">
        <f aca="false">IF($B251="","",INDEX(Datos_problemas!$D:$D,MATCH($A251,Datos_problemas!$AV:$AV,0)))</f>
        <v/>
      </c>
      <c r="E251" s="2" t="str">
        <f aca="false">IF($B251="","",COUNTIFS(Datos_problemas!$B:$B,$B251,Datos_problemas!$F:$F,"Evaluación"))</f>
        <v/>
      </c>
      <c r="F251" s="20" t="str">
        <f aca="false">IF($B251="","",IFERROR(AVERAGEIFS(Datos_problemas!$AE:$AE,Datos_problemas!$B:$B,$B251,Datos_problemas!$F:$F,"Evaluación"),""))</f>
        <v/>
      </c>
      <c r="G251" s="20" t="str">
        <f aca="false">IF($B251="","",IFERROR(AVERAGEIFS(Datos_problemas!$AE:$AE,Datos_problemas!$B:$B,$B251,Datos_problemas!$F:$F,"Evaluación",Datos_problemas!$E:$E,"Diagnóstico"),""))</f>
        <v/>
      </c>
      <c r="H251" s="20" t="str">
        <f aca="false">IF($B251="","",IFERROR(AVERAGEIFS(Datos_problemas!$AE:$AE,Datos_problemas!$B:$B,$B251,Datos_problemas!$F:$F,"Evaluación",Datos_problemas!$E:$E,"Final"),""))</f>
        <v/>
      </c>
      <c r="I251" s="21" t="str">
        <f aca="false">IF(OR(G251="",H251=""),"",IF(G251&gt;=10,"",(H251-G251)/(10-G251)))</f>
        <v/>
      </c>
      <c r="J251" s="18" t="str">
        <f aca="false">IF($B251="","",IFERROR(SUMIFS(Datos_items!$Z:$Z,Datos_items!$B:$B,$B251,Datos_items!$O:$O,J$4,Datos_items!$E:$E,Analisis_grupo!$C$4)/COUNTIFS(Datos_items!$B:$B,$B251,Datos_items!$O:$O,J$4,Datos_items!$E:$E,Analisis_grupo!$C$4),""))</f>
        <v/>
      </c>
      <c r="K251" s="18" t="str">
        <f aca="false">IF($B251="","",IFERROR(SUMIFS(Datos_items!$Z:$Z,Datos_items!$B:$B,$B251,Datos_items!$O:$O,K$4,Datos_items!$E:$E,Analisis_grupo!$C$4)/COUNTIFS(Datos_items!$B:$B,$B251,Datos_items!$O:$O,K$4,Datos_items!$E:$E,Analisis_grupo!$C$4),""))</f>
        <v/>
      </c>
      <c r="L251" s="18" t="str">
        <f aca="false">IF($B251="","",IFERROR(SUMIFS(Datos_items!$Z:$Z,Datos_items!$B:$B,$B251,Datos_items!$O:$O,L$4,Datos_items!$E:$E,Analisis_grupo!$C$4)/COUNTIFS(Datos_items!$B:$B,$B251,Datos_items!$O:$O,L$4,Datos_items!$E:$E,Analisis_grupo!$C$4),""))</f>
        <v/>
      </c>
      <c r="M251" s="18" t="str">
        <f aca="false">IF($B251="","",IFERROR(SUMIFS(Datos_items!$Z:$Z,Datos_items!$B:$B,$B251,Datos_items!$O:$O,M$4,Datos_items!$E:$E,Analisis_grupo!$C$4)/COUNTIFS(Datos_items!$B:$B,$B251,Datos_items!$O:$O,M$4,Datos_items!$E:$E,Analisis_grupo!$C$4),""))</f>
        <v/>
      </c>
      <c r="N251" s="18" t="str">
        <f aca="false">IF($B251="","",IFERROR(SUMIFS(Datos_items!$Z:$Z,Datos_items!$B:$B,$B251,Datos_items!$O:$O,N$4,Datos_items!$E:$E,Analisis_grupo!$C$4)/COUNTIFS(Datos_items!$B:$B,$B251,Datos_items!$O:$O,N$4,Datos_items!$E:$E,Analisis_grupo!$C$4),""))</f>
        <v/>
      </c>
      <c r="O251" s="18" t="str">
        <f aca="false">IF($B251="","",IFERROR(SUMIFS(Datos_items!$Z:$Z,Datos_items!$B:$B,$B251,Datos_items!$O:$O,O$4,Datos_items!$E:$E,Analisis_grupo!$C$4)/COUNTIFS(Datos_items!$B:$B,$B251,Datos_items!$O:$O,O$4,Datos_items!$E:$E,Analisis_grupo!$C$4),""))</f>
        <v/>
      </c>
      <c r="P251" s="18" t="str">
        <f aca="false">IF($B251="","",IFERROR(SUMIFS(Datos_items!$Z:$Z,Datos_items!$B:$B,$B251,Datos_items!$O:$O,P$4,Datos_items!$E:$E,Analisis_grupo!$C$4)/COUNTIFS(Datos_items!$B:$B,$B251,Datos_items!$O:$O,P$4,Datos_items!$E:$E,Analisis_grupo!$C$4),""))</f>
        <v/>
      </c>
      <c r="Q251" s="18" t="str">
        <f aca="false">IF($B251="","",IFERROR(SUMIFS(Datos_items!$Z:$Z,Datos_items!$B:$B,$B251,Datos_items!$O:$O,Q$4,Datos_items!$E:$E,Analisis_grupo!$C$4)/COUNTIFS(Datos_items!$B:$B,$B251,Datos_items!$O:$O,Q$4,Datos_items!$E:$E,Analisis_grupo!$C$4),""))</f>
        <v/>
      </c>
      <c r="R251" s="2" t="str">
        <f aca="false">IF(COUNT(J251:Q251)=0,"",IF(MIN(J251:Q251)&gt;=Analisis_grupo!$B$7,"(ninguna)",INDEX($J$4:$Q$4,MATCH(MIN(J251:Q251),J251:Q251,0))))</f>
        <v/>
      </c>
      <c r="S251" s="2" t="str">
        <f aca="false">IF($B251="","",COUNTIF(J251:Q251,"&lt;"&amp;Analisis_grupo!$B$7))</f>
        <v/>
      </c>
      <c r="T251" s="2" t="str">
        <f aca="false">IF($B251="","",COUNTIFS(Datos_items!$B:$B,$B251,Datos_items!$AA:$AA,T$4,Datos_items!$E:$E,Analisis_grupo!$C$4))</f>
        <v/>
      </c>
      <c r="U251" s="2" t="str">
        <f aca="false">IF($B251="","",COUNTIFS(Datos_items!$B:$B,$B251,Datos_items!$AA:$AA,U$4,Datos_items!$E:$E,Analisis_grupo!$C$4))</f>
        <v/>
      </c>
      <c r="V251" s="2" t="str">
        <f aca="false">IF($B251="","",COUNTIFS(Datos_items!$B:$B,$B251,Datos_items!$AA:$AA,V$4,Datos_items!$E:$E,Analisis_grupo!$C$4))</f>
        <v/>
      </c>
      <c r="W251" s="2" t="str">
        <f aca="false">IF($B251="","",COUNTIFS(Datos_items!$B:$B,$B251,Datos_items!$AA:$AA,W$4,Datos_items!$E:$E,Analisis_grupo!$C$4))</f>
        <v/>
      </c>
      <c r="X251" s="2" t="str">
        <f aca="false">IF($B251="","",COUNTIFS(Datos_items!$B:$B,$B251,Datos_items!$AA:$AA,X$4,Datos_items!$E:$E,Analisis_grupo!$C$4))</f>
        <v/>
      </c>
      <c r="Y251" s="2" t="str">
        <f aca="false">IF($B251="","",COUNTIFS(Datos_items!$B:$B,$B251,Datos_items!$AA:$AA,Y$4,Datos_items!$E:$E,Analisis_grupo!$C$4))</f>
        <v/>
      </c>
      <c r="Z251" s="2" t="str">
        <f aca="false">IF($B251="","",COUNTIFS(Datos_items!$B:$B,$B251,Datos_items!$AA:$AA,Z$4,Datos_items!$E:$E,Analisis_grupo!$C$4))</f>
        <v/>
      </c>
      <c r="AA251" s="2" t="str">
        <f aca="false">IF($B251="","",COUNTIFS(Datos_items!$B:$B,$B251,Datos_items!$AA:$AA,AA$4,Datos_items!$E:$E,Analisis_grupo!$C$4))</f>
        <v/>
      </c>
      <c r="AB251" s="2" t="str">
        <f aca="false">IF($B251="","",COUNTIFS(Datos_items!$B:$B,$B251,Datos_items!$AA:$AA,AB$4,Datos_items!$E:$E,Analisis_grupo!$C$4))</f>
        <v/>
      </c>
      <c r="AC251" s="2" t="str">
        <f aca="false">IF($B251="","",COUNTIFS(Datos_items!$B:$B,$B251,Datos_items!$AA:$AA,AC$4,Datos_items!$E:$E,Analisis_grupo!$C$4))</f>
        <v/>
      </c>
      <c r="AD251" s="2" t="str">
        <f aca="false">IF($B251="","",COUNTIFS(Datos_items!$B:$B,$B251,Datos_items!$AA:$AA,AD$4,Datos_items!$E:$E,Analisis_grupo!$C$4))</f>
        <v/>
      </c>
      <c r="AE251" s="2" t="str">
        <f aca="false">IF($B251="","",COUNTIFS(Datos_items!$B:$B,$B251,Datos_items!$AA:$AA,AE$4,Datos_items!$E:$E,Analisis_grupo!$C$4))</f>
        <v/>
      </c>
      <c r="AF251" s="2" t="str">
        <f aca="false">IF($B251="","",COUNTIFS(Datos_items!$B:$B,$B251,Datos_items!$AA:$AA,AF$4,Datos_items!$E:$E,Analisis_grupo!$C$4))</f>
        <v/>
      </c>
      <c r="AG251" s="2" t="str">
        <f aca="false">IF($B251="","",COUNTIFS(Datos_items!$B:$B,$B251,Datos_items!$AA:$AA,AG$4,Datos_items!$E:$E,Analisis_grupo!$C$4))</f>
        <v/>
      </c>
      <c r="AH251" s="2" t="str">
        <f aca="false">IF($B251="","",COUNTIFS(Datos_items!$B:$B,$B251,Datos_items!$AA:$AA,AH$4,Datos_items!$E:$E,Analisis_grupo!$C$4))</f>
        <v/>
      </c>
      <c r="AI251" s="2" t="str">
        <f aca="false">IF($B251="","",COUNTIFS(Datos_items!$B:$B,$B251,Datos_items!$AA:$AA,AI$4,Datos_items!$E:$E,Analisis_grupo!$C$4))</f>
        <v/>
      </c>
      <c r="AJ251" s="2" t="str">
        <f aca="false">IF($B251="","",COUNTIFS(Datos_items!$B:$B,$B251,Datos_items!$AA:$AA,AJ$4,Datos_items!$E:$E,Analisis_grupo!$C$4))</f>
        <v/>
      </c>
      <c r="AK251" s="2" t="str">
        <f aca="false">IF($B251="","",COUNTIFS(Datos_items!$B:$B,$B251,Datos_items!$AA:$AA,AK$4,Datos_items!$E:$E,Analisis_grupo!$C$4))</f>
        <v/>
      </c>
      <c r="AL251" s="2" t="str">
        <f aca="false">IF($B251="","",COUNTIFS(Datos_items!$B:$B,$B251,Datos_items!$AA:$AA,AL$4,Datos_items!$E:$E,Analisis_grupo!$C$4))</f>
        <v/>
      </c>
      <c r="AM251" s="2" t="str">
        <f aca="false">IF($B251="","",IF(MAX(Y251:AL251)=0,"",INDEX($Y$4:$AL$4,MATCH(MAX(Y251:AL251),Y251:AL251,0))))</f>
        <v/>
      </c>
      <c r="AN251" s="2" t="str">
        <f aca="false">IF($B251="","",COUNTIFS(Datos_problemas!$B:$B,$B251,Datos_problemas!$F:$F,"Práctica"))</f>
        <v/>
      </c>
      <c r="AO251" s="2" t="str">
        <f aca="false">IF($B251="","",SUMIFS(Datos_problemas!$AQ:$AQ,Datos_problemas!$B:$B,$B251,Datos_problemas!$F:$F,"Práctica"))</f>
        <v/>
      </c>
      <c r="AP251" s="2" t="str">
        <f aca="false">IF($B251="","",COUNTIFS(Datos_problemas!$B:$B,$B251,Datos_problemas!$F:$F,"Práctica",Datos_problemas!$AS:$AS,"Sí"))</f>
        <v/>
      </c>
    </row>
    <row r="252" customFormat="false" ht="15" hidden="false" customHeight="false" outlineLevel="0" collapsed="false">
      <c r="A252" s="2" t="n">
        <v>248</v>
      </c>
      <c r="B252" s="2" t="str">
        <f aca="false">IFERROR(INDEX(Datos_problemas!$B:$B,MATCH($A252,Datos_problemas!$AV:$AV,0)),"")</f>
        <v/>
      </c>
      <c r="C252" s="2" t="str">
        <f aca="false">IF($B252="","",INDEX(Datos_problemas!$C:$C,MATCH($A252,Datos_problemas!$AV:$AV,0)))</f>
        <v/>
      </c>
      <c r="D252" s="2" t="str">
        <f aca="false">IF($B252="","",INDEX(Datos_problemas!$D:$D,MATCH($A252,Datos_problemas!$AV:$AV,0)))</f>
        <v/>
      </c>
      <c r="E252" s="2" t="str">
        <f aca="false">IF($B252="","",COUNTIFS(Datos_problemas!$B:$B,$B252,Datos_problemas!$F:$F,"Evaluación"))</f>
        <v/>
      </c>
      <c r="F252" s="20" t="str">
        <f aca="false">IF($B252="","",IFERROR(AVERAGEIFS(Datos_problemas!$AE:$AE,Datos_problemas!$B:$B,$B252,Datos_problemas!$F:$F,"Evaluación"),""))</f>
        <v/>
      </c>
      <c r="G252" s="20" t="str">
        <f aca="false">IF($B252="","",IFERROR(AVERAGEIFS(Datos_problemas!$AE:$AE,Datos_problemas!$B:$B,$B252,Datos_problemas!$F:$F,"Evaluación",Datos_problemas!$E:$E,"Diagnóstico"),""))</f>
        <v/>
      </c>
      <c r="H252" s="20" t="str">
        <f aca="false">IF($B252="","",IFERROR(AVERAGEIFS(Datos_problemas!$AE:$AE,Datos_problemas!$B:$B,$B252,Datos_problemas!$F:$F,"Evaluación",Datos_problemas!$E:$E,"Final"),""))</f>
        <v/>
      </c>
      <c r="I252" s="21" t="str">
        <f aca="false">IF(OR(G252="",H252=""),"",IF(G252&gt;=10,"",(H252-G252)/(10-G252)))</f>
        <v/>
      </c>
      <c r="J252" s="18" t="str">
        <f aca="false">IF($B252="","",IFERROR(SUMIFS(Datos_items!$Z:$Z,Datos_items!$B:$B,$B252,Datos_items!$O:$O,J$4,Datos_items!$E:$E,Analisis_grupo!$C$4)/COUNTIFS(Datos_items!$B:$B,$B252,Datos_items!$O:$O,J$4,Datos_items!$E:$E,Analisis_grupo!$C$4),""))</f>
        <v/>
      </c>
      <c r="K252" s="18" t="str">
        <f aca="false">IF($B252="","",IFERROR(SUMIFS(Datos_items!$Z:$Z,Datos_items!$B:$B,$B252,Datos_items!$O:$O,K$4,Datos_items!$E:$E,Analisis_grupo!$C$4)/COUNTIFS(Datos_items!$B:$B,$B252,Datos_items!$O:$O,K$4,Datos_items!$E:$E,Analisis_grupo!$C$4),""))</f>
        <v/>
      </c>
      <c r="L252" s="18" t="str">
        <f aca="false">IF($B252="","",IFERROR(SUMIFS(Datos_items!$Z:$Z,Datos_items!$B:$B,$B252,Datos_items!$O:$O,L$4,Datos_items!$E:$E,Analisis_grupo!$C$4)/COUNTIFS(Datos_items!$B:$B,$B252,Datos_items!$O:$O,L$4,Datos_items!$E:$E,Analisis_grupo!$C$4),""))</f>
        <v/>
      </c>
      <c r="M252" s="18" t="str">
        <f aca="false">IF($B252="","",IFERROR(SUMIFS(Datos_items!$Z:$Z,Datos_items!$B:$B,$B252,Datos_items!$O:$O,M$4,Datos_items!$E:$E,Analisis_grupo!$C$4)/COUNTIFS(Datos_items!$B:$B,$B252,Datos_items!$O:$O,M$4,Datos_items!$E:$E,Analisis_grupo!$C$4),""))</f>
        <v/>
      </c>
      <c r="N252" s="18" t="str">
        <f aca="false">IF($B252="","",IFERROR(SUMIFS(Datos_items!$Z:$Z,Datos_items!$B:$B,$B252,Datos_items!$O:$O,N$4,Datos_items!$E:$E,Analisis_grupo!$C$4)/COUNTIFS(Datos_items!$B:$B,$B252,Datos_items!$O:$O,N$4,Datos_items!$E:$E,Analisis_grupo!$C$4),""))</f>
        <v/>
      </c>
      <c r="O252" s="18" t="str">
        <f aca="false">IF($B252="","",IFERROR(SUMIFS(Datos_items!$Z:$Z,Datos_items!$B:$B,$B252,Datos_items!$O:$O,O$4,Datos_items!$E:$E,Analisis_grupo!$C$4)/COUNTIFS(Datos_items!$B:$B,$B252,Datos_items!$O:$O,O$4,Datos_items!$E:$E,Analisis_grupo!$C$4),""))</f>
        <v/>
      </c>
      <c r="P252" s="18" t="str">
        <f aca="false">IF($B252="","",IFERROR(SUMIFS(Datos_items!$Z:$Z,Datos_items!$B:$B,$B252,Datos_items!$O:$O,P$4,Datos_items!$E:$E,Analisis_grupo!$C$4)/COUNTIFS(Datos_items!$B:$B,$B252,Datos_items!$O:$O,P$4,Datos_items!$E:$E,Analisis_grupo!$C$4),""))</f>
        <v/>
      </c>
      <c r="Q252" s="18" t="str">
        <f aca="false">IF($B252="","",IFERROR(SUMIFS(Datos_items!$Z:$Z,Datos_items!$B:$B,$B252,Datos_items!$O:$O,Q$4,Datos_items!$E:$E,Analisis_grupo!$C$4)/COUNTIFS(Datos_items!$B:$B,$B252,Datos_items!$O:$O,Q$4,Datos_items!$E:$E,Analisis_grupo!$C$4),""))</f>
        <v/>
      </c>
      <c r="R252" s="2" t="str">
        <f aca="false">IF(COUNT(J252:Q252)=0,"",IF(MIN(J252:Q252)&gt;=Analisis_grupo!$B$7,"(ninguna)",INDEX($J$4:$Q$4,MATCH(MIN(J252:Q252),J252:Q252,0))))</f>
        <v/>
      </c>
      <c r="S252" s="2" t="str">
        <f aca="false">IF($B252="","",COUNTIF(J252:Q252,"&lt;"&amp;Analisis_grupo!$B$7))</f>
        <v/>
      </c>
      <c r="T252" s="2" t="str">
        <f aca="false">IF($B252="","",COUNTIFS(Datos_items!$B:$B,$B252,Datos_items!$AA:$AA,T$4,Datos_items!$E:$E,Analisis_grupo!$C$4))</f>
        <v/>
      </c>
      <c r="U252" s="2" t="str">
        <f aca="false">IF($B252="","",COUNTIFS(Datos_items!$B:$B,$B252,Datos_items!$AA:$AA,U$4,Datos_items!$E:$E,Analisis_grupo!$C$4))</f>
        <v/>
      </c>
      <c r="V252" s="2" t="str">
        <f aca="false">IF($B252="","",COUNTIFS(Datos_items!$B:$B,$B252,Datos_items!$AA:$AA,V$4,Datos_items!$E:$E,Analisis_grupo!$C$4))</f>
        <v/>
      </c>
      <c r="W252" s="2" t="str">
        <f aca="false">IF($B252="","",COUNTIFS(Datos_items!$B:$B,$B252,Datos_items!$AA:$AA,W$4,Datos_items!$E:$E,Analisis_grupo!$C$4))</f>
        <v/>
      </c>
      <c r="X252" s="2" t="str">
        <f aca="false">IF($B252="","",COUNTIFS(Datos_items!$B:$B,$B252,Datos_items!$AA:$AA,X$4,Datos_items!$E:$E,Analisis_grupo!$C$4))</f>
        <v/>
      </c>
      <c r="Y252" s="2" t="str">
        <f aca="false">IF($B252="","",COUNTIFS(Datos_items!$B:$B,$B252,Datos_items!$AA:$AA,Y$4,Datos_items!$E:$E,Analisis_grupo!$C$4))</f>
        <v/>
      </c>
      <c r="Z252" s="2" t="str">
        <f aca="false">IF($B252="","",COUNTIFS(Datos_items!$B:$B,$B252,Datos_items!$AA:$AA,Z$4,Datos_items!$E:$E,Analisis_grupo!$C$4))</f>
        <v/>
      </c>
      <c r="AA252" s="2" t="str">
        <f aca="false">IF($B252="","",COUNTIFS(Datos_items!$B:$B,$B252,Datos_items!$AA:$AA,AA$4,Datos_items!$E:$E,Analisis_grupo!$C$4))</f>
        <v/>
      </c>
      <c r="AB252" s="2" t="str">
        <f aca="false">IF($B252="","",COUNTIFS(Datos_items!$B:$B,$B252,Datos_items!$AA:$AA,AB$4,Datos_items!$E:$E,Analisis_grupo!$C$4))</f>
        <v/>
      </c>
      <c r="AC252" s="2" t="str">
        <f aca="false">IF($B252="","",COUNTIFS(Datos_items!$B:$B,$B252,Datos_items!$AA:$AA,AC$4,Datos_items!$E:$E,Analisis_grupo!$C$4))</f>
        <v/>
      </c>
      <c r="AD252" s="2" t="str">
        <f aca="false">IF($B252="","",COUNTIFS(Datos_items!$B:$B,$B252,Datos_items!$AA:$AA,AD$4,Datos_items!$E:$E,Analisis_grupo!$C$4))</f>
        <v/>
      </c>
      <c r="AE252" s="2" t="str">
        <f aca="false">IF($B252="","",COUNTIFS(Datos_items!$B:$B,$B252,Datos_items!$AA:$AA,AE$4,Datos_items!$E:$E,Analisis_grupo!$C$4))</f>
        <v/>
      </c>
      <c r="AF252" s="2" t="str">
        <f aca="false">IF($B252="","",COUNTIFS(Datos_items!$B:$B,$B252,Datos_items!$AA:$AA,AF$4,Datos_items!$E:$E,Analisis_grupo!$C$4))</f>
        <v/>
      </c>
      <c r="AG252" s="2" t="str">
        <f aca="false">IF($B252="","",COUNTIFS(Datos_items!$B:$B,$B252,Datos_items!$AA:$AA,AG$4,Datos_items!$E:$E,Analisis_grupo!$C$4))</f>
        <v/>
      </c>
      <c r="AH252" s="2" t="str">
        <f aca="false">IF($B252="","",COUNTIFS(Datos_items!$B:$B,$B252,Datos_items!$AA:$AA,AH$4,Datos_items!$E:$E,Analisis_grupo!$C$4))</f>
        <v/>
      </c>
      <c r="AI252" s="2" t="str">
        <f aca="false">IF($B252="","",COUNTIFS(Datos_items!$B:$B,$B252,Datos_items!$AA:$AA,AI$4,Datos_items!$E:$E,Analisis_grupo!$C$4))</f>
        <v/>
      </c>
      <c r="AJ252" s="2" t="str">
        <f aca="false">IF($B252="","",COUNTIFS(Datos_items!$B:$B,$B252,Datos_items!$AA:$AA,AJ$4,Datos_items!$E:$E,Analisis_grupo!$C$4))</f>
        <v/>
      </c>
      <c r="AK252" s="2" t="str">
        <f aca="false">IF($B252="","",COUNTIFS(Datos_items!$B:$B,$B252,Datos_items!$AA:$AA,AK$4,Datos_items!$E:$E,Analisis_grupo!$C$4))</f>
        <v/>
      </c>
      <c r="AL252" s="2" t="str">
        <f aca="false">IF($B252="","",COUNTIFS(Datos_items!$B:$B,$B252,Datos_items!$AA:$AA,AL$4,Datos_items!$E:$E,Analisis_grupo!$C$4))</f>
        <v/>
      </c>
      <c r="AM252" s="2" t="str">
        <f aca="false">IF($B252="","",IF(MAX(Y252:AL252)=0,"",INDEX($Y$4:$AL$4,MATCH(MAX(Y252:AL252),Y252:AL252,0))))</f>
        <v/>
      </c>
      <c r="AN252" s="2" t="str">
        <f aca="false">IF($B252="","",COUNTIFS(Datos_problemas!$B:$B,$B252,Datos_problemas!$F:$F,"Práctica"))</f>
        <v/>
      </c>
      <c r="AO252" s="2" t="str">
        <f aca="false">IF($B252="","",SUMIFS(Datos_problemas!$AQ:$AQ,Datos_problemas!$B:$B,$B252,Datos_problemas!$F:$F,"Práctica"))</f>
        <v/>
      </c>
      <c r="AP252" s="2" t="str">
        <f aca="false">IF($B252="","",COUNTIFS(Datos_problemas!$B:$B,$B252,Datos_problemas!$F:$F,"Práctica",Datos_problemas!$AS:$AS,"Sí"))</f>
        <v/>
      </c>
    </row>
    <row r="253" customFormat="false" ht="15" hidden="false" customHeight="false" outlineLevel="0" collapsed="false">
      <c r="A253" s="2" t="n">
        <v>249</v>
      </c>
      <c r="B253" s="2" t="str">
        <f aca="false">IFERROR(INDEX(Datos_problemas!$B:$B,MATCH($A253,Datos_problemas!$AV:$AV,0)),"")</f>
        <v/>
      </c>
      <c r="C253" s="2" t="str">
        <f aca="false">IF($B253="","",INDEX(Datos_problemas!$C:$C,MATCH($A253,Datos_problemas!$AV:$AV,0)))</f>
        <v/>
      </c>
      <c r="D253" s="2" t="str">
        <f aca="false">IF($B253="","",INDEX(Datos_problemas!$D:$D,MATCH($A253,Datos_problemas!$AV:$AV,0)))</f>
        <v/>
      </c>
      <c r="E253" s="2" t="str">
        <f aca="false">IF($B253="","",COUNTIFS(Datos_problemas!$B:$B,$B253,Datos_problemas!$F:$F,"Evaluación"))</f>
        <v/>
      </c>
      <c r="F253" s="20" t="str">
        <f aca="false">IF($B253="","",IFERROR(AVERAGEIFS(Datos_problemas!$AE:$AE,Datos_problemas!$B:$B,$B253,Datos_problemas!$F:$F,"Evaluación"),""))</f>
        <v/>
      </c>
      <c r="G253" s="20" t="str">
        <f aca="false">IF($B253="","",IFERROR(AVERAGEIFS(Datos_problemas!$AE:$AE,Datos_problemas!$B:$B,$B253,Datos_problemas!$F:$F,"Evaluación",Datos_problemas!$E:$E,"Diagnóstico"),""))</f>
        <v/>
      </c>
      <c r="H253" s="20" t="str">
        <f aca="false">IF($B253="","",IFERROR(AVERAGEIFS(Datos_problemas!$AE:$AE,Datos_problemas!$B:$B,$B253,Datos_problemas!$F:$F,"Evaluación",Datos_problemas!$E:$E,"Final"),""))</f>
        <v/>
      </c>
      <c r="I253" s="21" t="str">
        <f aca="false">IF(OR(G253="",H253=""),"",IF(G253&gt;=10,"",(H253-G253)/(10-G253)))</f>
        <v/>
      </c>
      <c r="J253" s="18" t="str">
        <f aca="false">IF($B253="","",IFERROR(SUMIFS(Datos_items!$Z:$Z,Datos_items!$B:$B,$B253,Datos_items!$O:$O,J$4,Datos_items!$E:$E,Analisis_grupo!$C$4)/COUNTIFS(Datos_items!$B:$B,$B253,Datos_items!$O:$O,J$4,Datos_items!$E:$E,Analisis_grupo!$C$4),""))</f>
        <v/>
      </c>
      <c r="K253" s="18" t="str">
        <f aca="false">IF($B253="","",IFERROR(SUMIFS(Datos_items!$Z:$Z,Datos_items!$B:$B,$B253,Datos_items!$O:$O,K$4,Datos_items!$E:$E,Analisis_grupo!$C$4)/COUNTIFS(Datos_items!$B:$B,$B253,Datos_items!$O:$O,K$4,Datos_items!$E:$E,Analisis_grupo!$C$4),""))</f>
        <v/>
      </c>
      <c r="L253" s="18" t="str">
        <f aca="false">IF($B253="","",IFERROR(SUMIFS(Datos_items!$Z:$Z,Datos_items!$B:$B,$B253,Datos_items!$O:$O,L$4,Datos_items!$E:$E,Analisis_grupo!$C$4)/COUNTIFS(Datos_items!$B:$B,$B253,Datos_items!$O:$O,L$4,Datos_items!$E:$E,Analisis_grupo!$C$4),""))</f>
        <v/>
      </c>
      <c r="M253" s="18" t="str">
        <f aca="false">IF($B253="","",IFERROR(SUMIFS(Datos_items!$Z:$Z,Datos_items!$B:$B,$B253,Datos_items!$O:$O,M$4,Datos_items!$E:$E,Analisis_grupo!$C$4)/COUNTIFS(Datos_items!$B:$B,$B253,Datos_items!$O:$O,M$4,Datos_items!$E:$E,Analisis_grupo!$C$4),""))</f>
        <v/>
      </c>
      <c r="N253" s="18" t="str">
        <f aca="false">IF($B253="","",IFERROR(SUMIFS(Datos_items!$Z:$Z,Datos_items!$B:$B,$B253,Datos_items!$O:$O,N$4,Datos_items!$E:$E,Analisis_grupo!$C$4)/COUNTIFS(Datos_items!$B:$B,$B253,Datos_items!$O:$O,N$4,Datos_items!$E:$E,Analisis_grupo!$C$4),""))</f>
        <v/>
      </c>
      <c r="O253" s="18" t="str">
        <f aca="false">IF($B253="","",IFERROR(SUMIFS(Datos_items!$Z:$Z,Datos_items!$B:$B,$B253,Datos_items!$O:$O,O$4,Datos_items!$E:$E,Analisis_grupo!$C$4)/COUNTIFS(Datos_items!$B:$B,$B253,Datos_items!$O:$O,O$4,Datos_items!$E:$E,Analisis_grupo!$C$4),""))</f>
        <v/>
      </c>
      <c r="P253" s="18" t="str">
        <f aca="false">IF($B253="","",IFERROR(SUMIFS(Datos_items!$Z:$Z,Datos_items!$B:$B,$B253,Datos_items!$O:$O,P$4,Datos_items!$E:$E,Analisis_grupo!$C$4)/COUNTIFS(Datos_items!$B:$B,$B253,Datos_items!$O:$O,P$4,Datos_items!$E:$E,Analisis_grupo!$C$4),""))</f>
        <v/>
      </c>
      <c r="Q253" s="18" t="str">
        <f aca="false">IF($B253="","",IFERROR(SUMIFS(Datos_items!$Z:$Z,Datos_items!$B:$B,$B253,Datos_items!$O:$O,Q$4,Datos_items!$E:$E,Analisis_grupo!$C$4)/COUNTIFS(Datos_items!$B:$B,$B253,Datos_items!$O:$O,Q$4,Datos_items!$E:$E,Analisis_grupo!$C$4),""))</f>
        <v/>
      </c>
      <c r="R253" s="2" t="str">
        <f aca="false">IF(COUNT(J253:Q253)=0,"",IF(MIN(J253:Q253)&gt;=Analisis_grupo!$B$7,"(ninguna)",INDEX($J$4:$Q$4,MATCH(MIN(J253:Q253),J253:Q253,0))))</f>
        <v/>
      </c>
      <c r="S253" s="2" t="str">
        <f aca="false">IF($B253="","",COUNTIF(J253:Q253,"&lt;"&amp;Analisis_grupo!$B$7))</f>
        <v/>
      </c>
      <c r="T253" s="2" t="str">
        <f aca="false">IF($B253="","",COUNTIFS(Datos_items!$B:$B,$B253,Datos_items!$AA:$AA,T$4,Datos_items!$E:$E,Analisis_grupo!$C$4))</f>
        <v/>
      </c>
      <c r="U253" s="2" t="str">
        <f aca="false">IF($B253="","",COUNTIFS(Datos_items!$B:$B,$B253,Datos_items!$AA:$AA,U$4,Datos_items!$E:$E,Analisis_grupo!$C$4))</f>
        <v/>
      </c>
      <c r="V253" s="2" t="str">
        <f aca="false">IF($B253="","",COUNTIFS(Datos_items!$B:$B,$B253,Datos_items!$AA:$AA,V$4,Datos_items!$E:$E,Analisis_grupo!$C$4))</f>
        <v/>
      </c>
      <c r="W253" s="2" t="str">
        <f aca="false">IF($B253="","",COUNTIFS(Datos_items!$B:$B,$B253,Datos_items!$AA:$AA,W$4,Datos_items!$E:$E,Analisis_grupo!$C$4))</f>
        <v/>
      </c>
      <c r="X253" s="2" t="str">
        <f aca="false">IF($B253="","",COUNTIFS(Datos_items!$B:$B,$B253,Datos_items!$AA:$AA,X$4,Datos_items!$E:$E,Analisis_grupo!$C$4))</f>
        <v/>
      </c>
      <c r="Y253" s="2" t="str">
        <f aca="false">IF($B253="","",COUNTIFS(Datos_items!$B:$B,$B253,Datos_items!$AA:$AA,Y$4,Datos_items!$E:$E,Analisis_grupo!$C$4))</f>
        <v/>
      </c>
      <c r="Z253" s="2" t="str">
        <f aca="false">IF($B253="","",COUNTIFS(Datos_items!$B:$B,$B253,Datos_items!$AA:$AA,Z$4,Datos_items!$E:$E,Analisis_grupo!$C$4))</f>
        <v/>
      </c>
      <c r="AA253" s="2" t="str">
        <f aca="false">IF($B253="","",COUNTIFS(Datos_items!$B:$B,$B253,Datos_items!$AA:$AA,AA$4,Datos_items!$E:$E,Analisis_grupo!$C$4))</f>
        <v/>
      </c>
      <c r="AB253" s="2" t="str">
        <f aca="false">IF($B253="","",COUNTIFS(Datos_items!$B:$B,$B253,Datos_items!$AA:$AA,AB$4,Datos_items!$E:$E,Analisis_grupo!$C$4))</f>
        <v/>
      </c>
      <c r="AC253" s="2" t="str">
        <f aca="false">IF($B253="","",COUNTIFS(Datos_items!$B:$B,$B253,Datos_items!$AA:$AA,AC$4,Datos_items!$E:$E,Analisis_grupo!$C$4))</f>
        <v/>
      </c>
      <c r="AD253" s="2" t="str">
        <f aca="false">IF($B253="","",COUNTIFS(Datos_items!$B:$B,$B253,Datos_items!$AA:$AA,AD$4,Datos_items!$E:$E,Analisis_grupo!$C$4))</f>
        <v/>
      </c>
      <c r="AE253" s="2" t="str">
        <f aca="false">IF($B253="","",COUNTIFS(Datos_items!$B:$B,$B253,Datos_items!$AA:$AA,AE$4,Datos_items!$E:$E,Analisis_grupo!$C$4))</f>
        <v/>
      </c>
      <c r="AF253" s="2" t="str">
        <f aca="false">IF($B253="","",COUNTIFS(Datos_items!$B:$B,$B253,Datos_items!$AA:$AA,AF$4,Datos_items!$E:$E,Analisis_grupo!$C$4))</f>
        <v/>
      </c>
      <c r="AG253" s="2" t="str">
        <f aca="false">IF($B253="","",COUNTIFS(Datos_items!$B:$B,$B253,Datos_items!$AA:$AA,AG$4,Datos_items!$E:$E,Analisis_grupo!$C$4))</f>
        <v/>
      </c>
      <c r="AH253" s="2" t="str">
        <f aca="false">IF($B253="","",COUNTIFS(Datos_items!$B:$B,$B253,Datos_items!$AA:$AA,AH$4,Datos_items!$E:$E,Analisis_grupo!$C$4))</f>
        <v/>
      </c>
      <c r="AI253" s="2" t="str">
        <f aca="false">IF($B253="","",COUNTIFS(Datos_items!$B:$B,$B253,Datos_items!$AA:$AA,AI$4,Datos_items!$E:$E,Analisis_grupo!$C$4))</f>
        <v/>
      </c>
      <c r="AJ253" s="2" t="str">
        <f aca="false">IF($B253="","",COUNTIFS(Datos_items!$B:$B,$B253,Datos_items!$AA:$AA,AJ$4,Datos_items!$E:$E,Analisis_grupo!$C$4))</f>
        <v/>
      </c>
      <c r="AK253" s="2" t="str">
        <f aca="false">IF($B253="","",COUNTIFS(Datos_items!$B:$B,$B253,Datos_items!$AA:$AA,AK$4,Datos_items!$E:$E,Analisis_grupo!$C$4))</f>
        <v/>
      </c>
      <c r="AL253" s="2" t="str">
        <f aca="false">IF($B253="","",COUNTIFS(Datos_items!$B:$B,$B253,Datos_items!$AA:$AA,AL$4,Datos_items!$E:$E,Analisis_grupo!$C$4))</f>
        <v/>
      </c>
      <c r="AM253" s="2" t="str">
        <f aca="false">IF($B253="","",IF(MAX(Y253:AL253)=0,"",INDEX($Y$4:$AL$4,MATCH(MAX(Y253:AL253),Y253:AL253,0))))</f>
        <v/>
      </c>
      <c r="AN253" s="2" t="str">
        <f aca="false">IF($B253="","",COUNTIFS(Datos_problemas!$B:$B,$B253,Datos_problemas!$F:$F,"Práctica"))</f>
        <v/>
      </c>
      <c r="AO253" s="2" t="str">
        <f aca="false">IF($B253="","",SUMIFS(Datos_problemas!$AQ:$AQ,Datos_problemas!$B:$B,$B253,Datos_problemas!$F:$F,"Práctica"))</f>
        <v/>
      </c>
      <c r="AP253" s="2" t="str">
        <f aca="false">IF($B253="","",COUNTIFS(Datos_problemas!$B:$B,$B253,Datos_problemas!$F:$F,"Práctica",Datos_problemas!$AS:$AS,"Sí"))</f>
        <v/>
      </c>
    </row>
    <row r="254" customFormat="false" ht="15" hidden="false" customHeight="false" outlineLevel="0" collapsed="false">
      <c r="A254" s="2" t="n">
        <v>250</v>
      </c>
      <c r="B254" s="2" t="str">
        <f aca="false">IFERROR(INDEX(Datos_problemas!$B:$B,MATCH($A254,Datos_problemas!$AV:$AV,0)),"")</f>
        <v/>
      </c>
      <c r="C254" s="2" t="str">
        <f aca="false">IF($B254="","",INDEX(Datos_problemas!$C:$C,MATCH($A254,Datos_problemas!$AV:$AV,0)))</f>
        <v/>
      </c>
      <c r="D254" s="2" t="str">
        <f aca="false">IF($B254="","",INDEX(Datos_problemas!$D:$D,MATCH($A254,Datos_problemas!$AV:$AV,0)))</f>
        <v/>
      </c>
      <c r="E254" s="2" t="str">
        <f aca="false">IF($B254="","",COUNTIFS(Datos_problemas!$B:$B,$B254,Datos_problemas!$F:$F,"Evaluación"))</f>
        <v/>
      </c>
      <c r="F254" s="20" t="str">
        <f aca="false">IF($B254="","",IFERROR(AVERAGEIFS(Datos_problemas!$AE:$AE,Datos_problemas!$B:$B,$B254,Datos_problemas!$F:$F,"Evaluación"),""))</f>
        <v/>
      </c>
      <c r="G254" s="20" t="str">
        <f aca="false">IF($B254="","",IFERROR(AVERAGEIFS(Datos_problemas!$AE:$AE,Datos_problemas!$B:$B,$B254,Datos_problemas!$F:$F,"Evaluación",Datos_problemas!$E:$E,"Diagnóstico"),""))</f>
        <v/>
      </c>
      <c r="H254" s="20" t="str">
        <f aca="false">IF($B254="","",IFERROR(AVERAGEIFS(Datos_problemas!$AE:$AE,Datos_problemas!$B:$B,$B254,Datos_problemas!$F:$F,"Evaluación",Datos_problemas!$E:$E,"Final"),""))</f>
        <v/>
      </c>
      <c r="I254" s="21" t="str">
        <f aca="false">IF(OR(G254="",H254=""),"",IF(G254&gt;=10,"",(H254-G254)/(10-G254)))</f>
        <v/>
      </c>
      <c r="J254" s="18" t="str">
        <f aca="false">IF($B254="","",IFERROR(SUMIFS(Datos_items!$Z:$Z,Datos_items!$B:$B,$B254,Datos_items!$O:$O,J$4,Datos_items!$E:$E,Analisis_grupo!$C$4)/COUNTIFS(Datos_items!$B:$B,$B254,Datos_items!$O:$O,J$4,Datos_items!$E:$E,Analisis_grupo!$C$4),""))</f>
        <v/>
      </c>
      <c r="K254" s="18" t="str">
        <f aca="false">IF($B254="","",IFERROR(SUMIFS(Datos_items!$Z:$Z,Datos_items!$B:$B,$B254,Datos_items!$O:$O,K$4,Datos_items!$E:$E,Analisis_grupo!$C$4)/COUNTIFS(Datos_items!$B:$B,$B254,Datos_items!$O:$O,K$4,Datos_items!$E:$E,Analisis_grupo!$C$4),""))</f>
        <v/>
      </c>
      <c r="L254" s="18" t="str">
        <f aca="false">IF($B254="","",IFERROR(SUMIFS(Datos_items!$Z:$Z,Datos_items!$B:$B,$B254,Datos_items!$O:$O,L$4,Datos_items!$E:$E,Analisis_grupo!$C$4)/COUNTIFS(Datos_items!$B:$B,$B254,Datos_items!$O:$O,L$4,Datos_items!$E:$E,Analisis_grupo!$C$4),""))</f>
        <v/>
      </c>
      <c r="M254" s="18" t="str">
        <f aca="false">IF($B254="","",IFERROR(SUMIFS(Datos_items!$Z:$Z,Datos_items!$B:$B,$B254,Datos_items!$O:$O,M$4,Datos_items!$E:$E,Analisis_grupo!$C$4)/COUNTIFS(Datos_items!$B:$B,$B254,Datos_items!$O:$O,M$4,Datos_items!$E:$E,Analisis_grupo!$C$4),""))</f>
        <v/>
      </c>
      <c r="N254" s="18" t="str">
        <f aca="false">IF($B254="","",IFERROR(SUMIFS(Datos_items!$Z:$Z,Datos_items!$B:$B,$B254,Datos_items!$O:$O,N$4,Datos_items!$E:$E,Analisis_grupo!$C$4)/COUNTIFS(Datos_items!$B:$B,$B254,Datos_items!$O:$O,N$4,Datos_items!$E:$E,Analisis_grupo!$C$4),""))</f>
        <v/>
      </c>
      <c r="O254" s="18" t="str">
        <f aca="false">IF($B254="","",IFERROR(SUMIFS(Datos_items!$Z:$Z,Datos_items!$B:$B,$B254,Datos_items!$O:$O,O$4,Datos_items!$E:$E,Analisis_grupo!$C$4)/COUNTIFS(Datos_items!$B:$B,$B254,Datos_items!$O:$O,O$4,Datos_items!$E:$E,Analisis_grupo!$C$4),""))</f>
        <v/>
      </c>
      <c r="P254" s="18" t="str">
        <f aca="false">IF($B254="","",IFERROR(SUMIFS(Datos_items!$Z:$Z,Datos_items!$B:$B,$B254,Datos_items!$O:$O,P$4,Datos_items!$E:$E,Analisis_grupo!$C$4)/COUNTIFS(Datos_items!$B:$B,$B254,Datos_items!$O:$O,P$4,Datos_items!$E:$E,Analisis_grupo!$C$4),""))</f>
        <v/>
      </c>
      <c r="Q254" s="18" t="str">
        <f aca="false">IF($B254="","",IFERROR(SUMIFS(Datos_items!$Z:$Z,Datos_items!$B:$B,$B254,Datos_items!$O:$O,Q$4,Datos_items!$E:$E,Analisis_grupo!$C$4)/COUNTIFS(Datos_items!$B:$B,$B254,Datos_items!$O:$O,Q$4,Datos_items!$E:$E,Analisis_grupo!$C$4),""))</f>
        <v/>
      </c>
      <c r="R254" s="2" t="str">
        <f aca="false">IF(COUNT(J254:Q254)=0,"",IF(MIN(J254:Q254)&gt;=Analisis_grupo!$B$7,"(ninguna)",INDEX($J$4:$Q$4,MATCH(MIN(J254:Q254),J254:Q254,0))))</f>
        <v/>
      </c>
      <c r="S254" s="2" t="str">
        <f aca="false">IF($B254="","",COUNTIF(J254:Q254,"&lt;"&amp;Analisis_grupo!$B$7))</f>
        <v/>
      </c>
      <c r="T254" s="2" t="str">
        <f aca="false">IF($B254="","",COUNTIFS(Datos_items!$B:$B,$B254,Datos_items!$AA:$AA,T$4,Datos_items!$E:$E,Analisis_grupo!$C$4))</f>
        <v/>
      </c>
      <c r="U254" s="2" t="str">
        <f aca="false">IF($B254="","",COUNTIFS(Datos_items!$B:$B,$B254,Datos_items!$AA:$AA,U$4,Datos_items!$E:$E,Analisis_grupo!$C$4))</f>
        <v/>
      </c>
      <c r="V254" s="2" t="str">
        <f aca="false">IF($B254="","",COUNTIFS(Datos_items!$B:$B,$B254,Datos_items!$AA:$AA,V$4,Datos_items!$E:$E,Analisis_grupo!$C$4))</f>
        <v/>
      </c>
      <c r="W254" s="2" t="str">
        <f aca="false">IF($B254="","",COUNTIFS(Datos_items!$B:$B,$B254,Datos_items!$AA:$AA,W$4,Datos_items!$E:$E,Analisis_grupo!$C$4))</f>
        <v/>
      </c>
      <c r="X254" s="2" t="str">
        <f aca="false">IF($B254="","",COUNTIFS(Datos_items!$B:$B,$B254,Datos_items!$AA:$AA,X$4,Datos_items!$E:$E,Analisis_grupo!$C$4))</f>
        <v/>
      </c>
      <c r="Y254" s="2" t="str">
        <f aca="false">IF($B254="","",COUNTIFS(Datos_items!$B:$B,$B254,Datos_items!$AA:$AA,Y$4,Datos_items!$E:$E,Analisis_grupo!$C$4))</f>
        <v/>
      </c>
      <c r="Z254" s="2" t="str">
        <f aca="false">IF($B254="","",COUNTIFS(Datos_items!$B:$B,$B254,Datos_items!$AA:$AA,Z$4,Datos_items!$E:$E,Analisis_grupo!$C$4))</f>
        <v/>
      </c>
      <c r="AA254" s="2" t="str">
        <f aca="false">IF($B254="","",COUNTIFS(Datos_items!$B:$B,$B254,Datos_items!$AA:$AA,AA$4,Datos_items!$E:$E,Analisis_grupo!$C$4))</f>
        <v/>
      </c>
      <c r="AB254" s="2" t="str">
        <f aca="false">IF($B254="","",COUNTIFS(Datos_items!$B:$B,$B254,Datos_items!$AA:$AA,AB$4,Datos_items!$E:$E,Analisis_grupo!$C$4))</f>
        <v/>
      </c>
      <c r="AC254" s="2" t="str">
        <f aca="false">IF($B254="","",COUNTIFS(Datos_items!$B:$B,$B254,Datos_items!$AA:$AA,AC$4,Datos_items!$E:$E,Analisis_grupo!$C$4))</f>
        <v/>
      </c>
      <c r="AD254" s="2" t="str">
        <f aca="false">IF($B254="","",COUNTIFS(Datos_items!$B:$B,$B254,Datos_items!$AA:$AA,AD$4,Datos_items!$E:$E,Analisis_grupo!$C$4))</f>
        <v/>
      </c>
      <c r="AE254" s="2" t="str">
        <f aca="false">IF($B254="","",COUNTIFS(Datos_items!$B:$B,$B254,Datos_items!$AA:$AA,AE$4,Datos_items!$E:$E,Analisis_grupo!$C$4))</f>
        <v/>
      </c>
      <c r="AF254" s="2" t="str">
        <f aca="false">IF($B254="","",COUNTIFS(Datos_items!$B:$B,$B254,Datos_items!$AA:$AA,AF$4,Datos_items!$E:$E,Analisis_grupo!$C$4))</f>
        <v/>
      </c>
      <c r="AG254" s="2" t="str">
        <f aca="false">IF($B254="","",COUNTIFS(Datos_items!$B:$B,$B254,Datos_items!$AA:$AA,AG$4,Datos_items!$E:$E,Analisis_grupo!$C$4))</f>
        <v/>
      </c>
      <c r="AH254" s="2" t="str">
        <f aca="false">IF($B254="","",COUNTIFS(Datos_items!$B:$B,$B254,Datos_items!$AA:$AA,AH$4,Datos_items!$E:$E,Analisis_grupo!$C$4))</f>
        <v/>
      </c>
      <c r="AI254" s="2" t="str">
        <f aca="false">IF($B254="","",COUNTIFS(Datos_items!$B:$B,$B254,Datos_items!$AA:$AA,AI$4,Datos_items!$E:$E,Analisis_grupo!$C$4))</f>
        <v/>
      </c>
      <c r="AJ254" s="2" t="str">
        <f aca="false">IF($B254="","",COUNTIFS(Datos_items!$B:$B,$B254,Datos_items!$AA:$AA,AJ$4,Datos_items!$E:$E,Analisis_grupo!$C$4))</f>
        <v/>
      </c>
      <c r="AK254" s="2" t="str">
        <f aca="false">IF($B254="","",COUNTIFS(Datos_items!$B:$B,$B254,Datos_items!$AA:$AA,AK$4,Datos_items!$E:$E,Analisis_grupo!$C$4))</f>
        <v/>
      </c>
      <c r="AL254" s="2" t="str">
        <f aca="false">IF($B254="","",COUNTIFS(Datos_items!$B:$B,$B254,Datos_items!$AA:$AA,AL$4,Datos_items!$E:$E,Analisis_grupo!$C$4))</f>
        <v/>
      </c>
      <c r="AM254" s="2" t="str">
        <f aca="false">IF($B254="","",IF(MAX(Y254:AL254)=0,"",INDEX($Y$4:$AL$4,MATCH(MAX(Y254:AL254),Y254:AL254,0))))</f>
        <v/>
      </c>
      <c r="AN254" s="2" t="str">
        <f aca="false">IF($B254="","",COUNTIFS(Datos_problemas!$B:$B,$B254,Datos_problemas!$F:$F,"Práctica"))</f>
        <v/>
      </c>
      <c r="AO254" s="2" t="str">
        <f aca="false">IF($B254="","",SUMIFS(Datos_problemas!$AQ:$AQ,Datos_problemas!$B:$B,$B254,Datos_problemas!$F:$F,"Práctica"))</f>
        <v/>
      </c>
      <c r="AP254" s="2" t="str">
        <f aca="false">IF($B254="","",COUNTIFS(Datos_problemas!$B:$B,$B254,Datos_problemas!$F:$F,"Práctica",Datos_problemas!$AS:$AS,"Sí"))</f>
        <v/>
      </c>
    </row>
    <row r="255" customFormat="false" ht="15" hidden="false" customHeight="false" outlineLevel="0" collapsed="false">
      <c r="A255" s="2" t="n">
        <v>251</v>
      </c>
      <c r="B255" s="2" t="str">
        <f aca="false">IFERROR(INDEX(Datos_problemas!$B:$B,MATCH($A255,Datos_problemas!$AV:$AV,0)),"")</f>
        <v/>
      </c>
      <c r="C255" s="2" t="str">
        <f aca="false">IF($B255="","",INDEX(Datos_problemas!$C:$C,MATCH($A255,Datos_problemas!$AV:$AV,0)))</f>
        <v/>
      </c>
      <c r="D255" s="2" t="str">
        <f aca="false">IF($B255="","",INDEX(Datos_problemas!$D:$D,MATCH($A255,Datos_problemas!$AV:$AV,0)))</f>
        <v/>
      </c>
      <c r="E255" s="2" t="str">
        <f aca="false">IF($B255="","",COUNTIFS(Datos_problemas!$B:$B,$B255,Datos_problemas!$F:$F,"Evaluación"))</f>
        <v/>
      </c>
      <c r="F255" s="20" t="str">
        <f aca="false">IF($B255="","",IFERROR(AVERAGEIFS(Datos_problemas!$AE:$AE,Datos_problemas!$B:$B,$B255,Datos_problemas!$F:$F,"Evaluación"),""))</f>
        <v/>
      </c>
      <c r="G255" s="20" t="str">
        <f aca="false">IF($B255="","",IFERROR(AVERAGEIFS(Datos_problemas!$AE:$AE,Datos_problemas!$B:$B,$B255,Datos_problemas!$F:$F,"Evaluación",Datos_problemas!$E:$E,"Diagnóstico"),""))</f>
        <v/>
      </c>
      <c r="H255" s="20" t="str">
        <f aca="false">IF($B255="","",IFERROR(AVERAGEIFS(Datos_problemas!$AE:$AE,Datos_problemas!$B:$B,$B255,Datos_problemas!$F:$F,"Evaluación",Datos_problemas!$E:$E,"Final"),""))</f>
        <v/>
      </c>
      <c r="I255" s="21" t="str">
        <f aca="false">IF(OR(G255="",H255=""),"",IF(G255&gt;=10,"",(H255-G255)/(10-G255)))</f>
        <v/>
      </c>
      <c r="J255" s="18" t="str">
        <f aca="false">IF($B255="","",IFERROR(SUMIFS(Datos_items!$Z:$Z,Datos_items!$B:$B,$B255,Datos_items!$O:$O,J$4,Datos_items!$E:$E,Analisis_grupo!$C$4)/COUNTIFS(Datos_items!$B:$B,$B255,Datos_items!$O:$O,J$4,Datos_items!$E:$E,Analisis_grupo!$C$4),""))</f>
        <v/>
      </c>
      <c r="K255" s="18" t="str">
        <f aca="false">IF($B255="","",IFERROR(SUMIFS(Datos_items!$Z:$Z,Datos_items!$B:$B,$B255,Datos_items!$O:$O,K$4,Datos_items!$E:$E,Analisis_grupo!$C$4)/COUNTIFS(Datos_items!$B:$B,$B255,Datos_items!$O:$O,K$4,Datos_items!$E:$E,Analisis_grupo!$C$4),""))</f>
        <v/>
      </c>
      <c r="L255" s="18" t="str">
        <f aca="false">IF($B255="","",IFERROR(SUMIFS(Datos_items!$Z:$Z,Datos_items!$B:$B,$B255,Datos_items!$O:$O,L$4,Datos_items!$E:$E,Analisis_grupo!$C$4)/COUNTIFS(Datos_items!$B:$B,$B255,Datos_items!$O:$O,L$4,Datos_items!$E:$E,Analisis_grupo!$C$4),""))</f>
        <v/>
      </c>
      <c r="M255" s="18" t="str">
        <f aca="false">IF($B255="","",IFERROR(SUMIFS(Datos_items!$Z:$Z,Datos_items!$B:$B,$B255,Datos_items!$O:$O,M$4,Datos_items!$E:$E,Analisis_grupo!$C$4)/COUNTIFS(Datos_items!$B:$B,$B255,Datos_items!$O:$O,M$4,Datos_items!$E:$E,Analisis_grupo!$C$4),""))</f>
        <v/>
      </c>
      <c r="N255" s="18" t="str">
        <f aca="false">IF($B255="","",IFERROR(SUMIFS(Datos_items!$Z:$Z,Datos_items!$B:$B,$B255,Datos_items!$O:$O,N$4,Datos_items!$E:$E,Analisis_grupo!$C$4)/COUNTIFS(Datos_items!$B:$B,$B255,Datos_items!$O:$O,N$4,Datos_items!$E:$E,Analisis_grupo!$C$4),""))</f>
        <v/>
      </c>
      <c r="O255" s="18" t="str">
        <f aca="false">IF($B255="","",IFERROR(SUMIFS(Datos_items!$Z:$Z,Datos_items!$B:$B,$B255,Datos_items!$O:$O,O$4,Datos_items!$E:$E,Analisis_grupo!$C$4)/COUNTIFS(Datos_items!$B:$B,$B255,Datos_items!$O:$O,O$4,Datos_items!$E:$E,Analisis_grupo!$C$4),""))</f>
        <v/>
      </c>
      <c r="P255" s="18" t="str">
        <f aca="false">IF($B255="","",IFERROR(SUMIFS(Datos_items!$Z:$Z,Datos_items!$B:$B,$B255,Datos_items!$O:$O,P$4,Datos_items!$E:$E,Analisis_grupo!$C$4)/COUNTIFS(Datos_items!$B:$B,$B255,Datos_items!$O:$O,P$4,Datos_items!$E:$E,Analisis_grupo!$C$4),""))</f>
        <v/>
      </c>
      <c r="Q255" s="18" t="str">
        <f aca="false">IF($B255="","",IFERROR(SUMIFS(Datos_items!$Z:$Z,Datos_items!$B:$B,$B255,Datos_items!$O:$O,Q$4,Datos_items!$E:$E,Analisis_grupo!$C$4)/COUNTIFS(Datos_items!$B:$B,$B255,Datos_items!$O:$O,Q$4,Datos_items!$E:$E,Analisis_grupo!$C$4),""))</f>
        <v/>
      </c>
      <c r="R255" s="2" t="str">
        <f aca="false">IF(COUNT(J255:Q255)=0,"",IF(MIN(J255:Q255)&gt;=Analisis_grupo!$B$7,"(ninguna)",INDEX($J$4:$Q$4,MATCH(MIN(J255:Q255),J255:Q255,0))))</f>
        <v/>
      </c>
      <c r="S255" s="2" t="str">
        <f aca="false">IF($B255="","",COUNTIF(J255:Q255,"&lt;"&amp;Analisis_grupo!$B$7))</f>
        <v/>
      </c>
      <c r="T255" s="2" t="str">
        <f aca="false">IF($B255="","",COUNTIFS(Datos_items!$B:$B,$B255,Datos_items!$AA:$AA,T$4,Datos_items!$E:$E,Analisis_grupo!$C$4))</f>
        <v/>
      </c>
      <c r="U255" s="2" t="str">
        <f aca="false">IF($B255="","",COUNTIFS(Datos_items!$B:$B,$B255,Datos_items!$AA:$AA,U$4,Datos_items!$E:$E,Analisis_grupo!$C$4))</f>
        <v/>
      </c>
      <c r="V255" s="2" t="str">
        <f aca="false">IF($B255="","",COUNTIFS(Datos_items!$B:$B,$B255,Datos_items!$AA:$AA,V$4,Datos_items!$E:$E,Analisis_grupo!$C$4))</f>
        <v/>
      </c>
      <c r="W255" s="2" t="str">
        <f aca="false">IF($B255="","",COUNTIFS(Datos_items!$B:$B,$B255,Datos_items!$AA:$AA,W$4,Datos_items!$E:$E,Analisis_grupo!$C$4))</f>
        <v/>
      </c>
      <c r="X255" s="2" t="str">
        <f aca="false">IF($B255="","",COUNTIFS(Datos_items!$B:$B,$B255,Datos_items!$AA:$AA,X$4,Datos_items!$E:$E,Analisis_grupo!$C$4))</f>
        <v/>
      </c>
      <c r="Y255" s="2" t="str">
        <f aca="false">IF($B255="","",COUNTIFS(Datos_items!$B:$B,$B255,Datos_items!$AA:$AA,Y$4,Datos_items!$E:$E,Analisis_grupo!$C$4))</f>
        <v/>
      </c>
      <c r="Z255" s="2" t="str">
        <f aca="false">IF($B255="","",COUNTIFS(Datos_items!$B:$B,$B255,Datos_items!$AA:$AA,Z$4,Datos_items!$E:$E,Analisis_grupo!$C$4))</f>
        <v/>
      </c>
      <c r="AA255" s="2" t="str">
        <f aca="false">IF($B255="","",COUNTIFS(Datos_items!$B:$B,$B255,Datos_items!$AA:$AA,AA$4,Datos_items!$E:$E,Analisis_grupo!$C$4))</f>
        <v/>
      </c>
      <c r="AB255" s="2" t="str">
        <f aca="false">IF($B255="","",COUNTIFS(Datos_items!$B:$B,$B255,Datos_items!$AA:$AA,AB$4,Datos_items!$E:$E,Analisis_grupo!$C$4))</f>
        <v/>
      </c>
      <c r="AC255" s="2" t="str">
        <f aca="false">IF($B255="","",COUNTIFS(Datos_items!$B:$B,$B255,Datos_items!$AA:$AA,AC$4,Datos_items!$E:$E,Analisis_grupo!$C$4))</f>
        <v/>
      </c>
      <c r="AD255" s="2" t="str">
        <f aca="false">IF($B255="","",COUNTIFS(Datos_items!$B:$B,$B255,Datos_items!$AA:$AA,AD$4,Datos_items!$E:$E,Analisis_grupo!$C$4))</f>
        <v/>
      </c>
      <c r="AE255" s="2" t="str">
        <f aca="false">IF($B255="","",COUNTIFS(Datos_items!$B:$B,$B255,Datos_items!$AA:$AA,AE$4,Datos_items!$E:$E,Analisis_grupo!$C$4))</f>
        <v/>
      </c>
      <c r="AF255" s="2" t="str">
        <f aca="false">IF($B255="","",COUNTIFS(Datos_items!$B:$B,$B255,Datos_items!$AA:$AA,AF$4,Datos_items!$E:$E,Analisis_grupo!$C$4))</f>
        <v/>
      </c>
      <c r="AG255" s="2" t="str">
        <f aca="false">IF($B255="","",COUNTIFS(Datos_items!$B:$B,$B255,Datos_items!$AA:$AA,AG$4,Datos_items!$E:$E,Analisis_grupo!$C$4))</f>
        <v/>
      </c>
      <c r="AH255" s="2" t="str">
        <f aca="false">IF($B255="","",COUNTIFS(Datos_items!$B:$B,$B255,Datos_items!$AA:$AA,AH$4,Datos_items!$E:$E,Analisis_grupo!$C$4))</f>
        <v/>
      </c>
      <c r="AI255" s="2" t="str">
        <f aca="false">IF($B255="","",COUNTIFS(Datos_items!$B:$B,$B255,Datos_items!$AA:$AA,AI$4,Datos_items!$E:$E,Analisis_grupo!$C$4))</f>
        <v/>
      </c>
      <c r="AJ255" s="2" t="str">
        <f aca="false">IF($B255="","",COUNTIFS(Datos_items!$B:$B,$B255,Datos_items!$AA:$AA,AJ$4,Datos_items!$E:$E,Analisis_grupo!$C$4))</f>
        <v/>
      </c>
      <c r="AK255" s="2" t="str">
        <f aca="false">IF($B255="","",COUNTIFS(Datos_items!$B:$B,$B255,Datos_items!$AA:$AA,AK$4,Datos_items!$E:$E,Analisis_grupo!$C$4))</f>
        <v/>
      </c>
      <c r="AL255" s="2" t="str">
        <f aca="false">IF($B255="","",COUNTIFS(Datos_items!$B:$B,$B255,Datos_items!$AA:$AA,AL$4,Datos_items!$E:$E,Analisis_grupo!$C$4))</f>
        <v/>
      </c>
      <c r="AM255" s="2" t="str">
        <f aca="false">IF($B255="","",IF(MAX(Y255:AL255)=0,"",INDEX($Y$4:$AL$4,MATCH(MAX(Y255:AL255),Y255:AL255,0))))</f>
        <v/>
      </c>
      <c r="AN255" s="2" t="str">
        <f aca="false">IF($B255="","",COUNTIFS(Datos_problemas!$B:$B,$B255,Datos_problemas!$F:$F,"Práctica"))</f>
        <v/>
      </c>
      <c r="AO255" s="2" t="str">
        <f aca="false">IF($B255="","",SUMIFS(Datos_problemas!$AQ:$AQ,Datos_problemas!$B:$B,$B255,Datos_problemas!$F:$F,"Práctica"))</f>
        <v/>
      </c>
      <c r="AP255" s="2" t="str">
        <f aca="false">IF($B255="","",COUNTIFS(Datos_problemas!$B:$B,$B255,Datos_problemas!$F:$F,"Práctica",Datos_problemas!$AS:$AS,"Sí"))</f>
        <v/>
      </c>
    </row>
    <row r="256" customFormat="false" ht="15" hidden="false" customHeight="false" outlineLevel="0" collapsed="false">
      <c r="A256" s="2" t="n">
        <v>252</v>
      </c>
      <c r="B256" s="2" t="str">
        <f aca="false">IFERROR(INDEX(Datos_problemas!$B:$B,MATCH($A256,Datos_problemas!$AV:$AV,0)),"")</f>
        <v/>
      </c>
      <c r="C256" s="2" t="str">
        <f aca="false">IF($B256="","",INDEX(Datos_problemas!$C:$C,MATCH($A256,Datos_problemas!$AV:$AV,0)))</f>
        <v/>
      </c>
      <c r="D256" s="2" t="str">
        <f aca="false">IF($B256="","",INDEX(Datos_problemas!$D:$D,MATCH($A256,Datos_problemas!$AV:$AV,0)))</f>
        <v/>
      </c>
      <c r="E256" s="2" t="str">
        <f aca="false">IF($B256="","",COUNTIFS(Datos_problemas!$B:$B,$B256,Datos_problemas!$F:$F,"Evaluación"))</f>
        <v/>
      </c>
      <c r="F256" s="20" t="str">
        <f aca="false">IF($B256="","",IFERROR(AVERAGEIFS(Datos_problemas!$AE:$AE,Datos_problemas!$B:$B,$B256,Datos_problemas!$F:$F,"Evaluación"),""))</f>
        <v/>
      </c>
      <c r="G256" s="20" t="str">
        <f aca="false">IF($B256="","",IFERROR(AVERAGEIFS(Datos_problemas!$AE:$AE,Datos_problemas!$B:$B,$B256,Datos_problemas!$F:$F,"Evaluación",Datos_problemas!$E:$E,"Diagnóstico"),""))</f>
        <v/>
      </c>
      <c r="H256" s="20" t="str">
        <f aca="false">IF($B256="","",IFERROR(AVERAGEIFS(Datos_problemas!$AE:$AE,Datos_problemas!$B:$B,$B256,Datos_problemas!$F:$F,"Evaluación",Datos_problemas!$E:$E,"Final"),""))</f>
        <v/>
      </c>
      <c r="I256" s="21" t="str">
        <f aca="false">IF(OR(G256="",H256=""),"",IF(G256&gt;=10,"",(H256-G256)/(10-G256)))</f>
        <v/>
      </c>
      <c r="J256" s="18" t="str">
        <f aca="false">IF($B256="","",IFERROR(SUMIFS(Datos_items!$Z:$Z,Datos_items!$B:$B,$B256,Datos_items!$O:$O,J$4,Datos_items!$E:$E,Analisis_grupo!$C$4)/COUNTIFS(Datos_items!$B:$B,$B256,Datos_items!$O:$O,J$4,Datos_items!$E:$E,Analisis_grupo!$C$4),""))</f>
        <v/>
      </c>
      <c r="K256" s="18" t="str">
        <f aca="false">IF($B256="","",IFERROR(SUMIFS(Datos_items!$Z:$Z,Datos_items!$B:$B,$B256,Datos_items!$O:$O,K$4,Datos_items!$E:$E,Analisis_grupo!$C$4)/COUNTIFS(Datos_items!$B:$B,$B256,Datos_items!$O:$O,K$4,Datos_items!$E:$E,Analisis_grupo!$C$4),""))</f>
        <v/>
      </c>
      <c r="L256" s="18" t="str">
        <f aca="false">IF($B256="","",IFERROR(SUMIFS(Datos_items!$Z:$Z,Datos_items!$B:$B,$B256,Datos_items!$O:$O,L$4,Datos_items!$E:$E,Analisis_grupo!$C$4)/COUNTIFS(Datos_items!$B:$B,$B256,Datos_items!$O:$O,L$4,Datos_items!$E:$E,Analisis_grupo!$C$4),""))</f>
        <v/>
      </c>
      <c r="M256" s="18" t="str">
        <f aca="false">IF($B256="","",IFERROR(SUMIFS(Datos_items!$Z:$Z,Datos_items!$B:$B,$B256,Datos_items!$O:$O,M$4,Datos_items!$E:$E,Analisis_grupo!$C$4)/COUNTIFS(Datos_items!$B:$B,$B256,Datos_items!$O:$O,M$4,Datos_items!$E:$E,Analisis_grupo!$C$4),""))</f>
        <v/>
      </c>
      <c r="N256" s="18" t="str">
        <f aca="false">IF($B256="","",IFERROR(SUMIFS(Datos_items!$Z:$Z,Datos_items!$B:$B,$B256,Datos_items!$O:$O,N$4,Datos_items!$E:$E,Analisis_grupo!$C$4)/COUNTIFS(Datos_items!$B:$B,$B256,Datos_items!$O:$O,N$4,Datos_items!$E:$E,Analisis_grupo!$C$4),""))</f>
        <v/>
      </c>
      <c r="O256" s="18" t="str">
        <f aca="false">IF($B256="","",IFERROR(SUMIFS(Datos_items!$Z:$Z,Datos_items!$B:$B,$B256,Datos_items!$O:$O,O$4,Datos_items!$E:$E,Analisis_grupo!$C$4)/COUNTIFS(Datos_items!$B:$B,$B256,Datos_items!$O:$O,O$4,Datos_items!$E:$E,Analisis_grupo!$C$4),""))</f>
        <v/>
      </c>
      <c r="P256" s="18" t="str">
        <f aca="false">IF($B256="","",IFERROR(SUMIFS(Datos_items!$Z:$Z,Datos_items!$B:$B,$B256,Datos_items!$O:$O,P$4,Datos_items!$E:$E,Analisis_grupo!$C$4)/COUNTIFS(Datos_items!$B:$B,$B256,Datos_items!$O:$O,P$4,Datos_items!$E:$E,Analisis_grupo!$C$4),""))</f>
        <v/>
      </c>
      <c r="Q256" s="18" t="str">
        <f aca="false">IF($B256="","",IFERROR(SUMIFS(Datos_items!$Z:$Z,Datos_items!$B:$B,$B256,Datos_items!$O:$O,Q$4,Datos_items!$E:$E,Analisis_grupo!$C$4)/COUNTIFS(Datos_items!$B:$B,$B256,Datos_items!$O:$O,Q$4,Datos_items!$E:$E,Analisis_grupo!$C$4),""))</f>
        <v/>
      </c>
      <c r="R256" s="2" t="str">
        <f aca="false">IF(COUNT(J256:Q256)=0,"",IF(MIN(J256:Q256)&gt;=Analisis_grupo!$B$7,"(ninguna)",INDEX($J$4:$Q$4,MATCH(MIN(J256:Q256),J256:Q256,0))))</f>
        <v/>
      </c>
      <c r="S256" s="2" t="str">
        <f aca="false">IF($B256="","",COUNTIF(J256:Q256,"&lt;"&amp;Analisis_grupo!$B$7))</f>
        <v/>
      </c>
      <c r="T256" s="2" t="str">
        <f aca="false">IF($B256="","",COUNTIFS(Datos_items!$B:$B,$B256,Datos_items!$AA:$AA,T$4,Datos_items!$E:$E,Analisis_grupo!$C$4))</f>
        <v/>
      </c>
      <c r="U256" s="2" t="str">
        <f aca="false">IF($B256="","",COUNTIFS(Datos_items!$B:$B,$B256,Datos_items!$AA:$AA,U$4,Datos_items!$E:$E,Analisis_grupo!$C$4))</f>
        <v/>
      </c>
      <c r="V256" s="2" t="str">
        <f aca="false">IF($B256="","",COUNTIFS(Datos_items!$B:$B,$B256,Datos_items!$AA:$AA,V$4,Datos_items!$E:$E,Analisis_grupo!$C$4))</f>
        <v/>
      </c>
      <c r="W256" s="2" t="str">
        <f aca="false">IF($B256="","",COUNTIFS(Datos_items!$B:$B,$B256,Datos_items!$AA:$AA,W$4,Datos_items!$E:$E,Analisis_grupo!$C$4))</f>
        <v/>
      </c>
      <c r="X256" s="2" t="str">
        <f aca="false">IF($B256="","",COUNTIFS(Datos_items!$B:$B,$B256,Datos_items!$AA:$AA,X$4,Datos_items!$E:$E,Analisis_grupo!$C$4))</f>
        <v/>
      </c>
      <c r="Y256" s="2" t="str">
        <f aca="false">IF($B256="","",COUNTIFS(Datos_items!$B:$B,$B256,Datos_items!$AA:$AA,Y$4,Datos_items!$E:$E,Analisis_grupo!$C$4))</f>
        <v/>
      </c>
      <c r="Z256" s="2" t="str">
        <f aca="false">IF($B256="","",COUNTIFS(Datos_items!$B:$B,$B256,Datos_items!$AA:$AA,Z$4,Datos_items!$E:$E,Analisis_grupo!$C$4))</f>
        <v/>
      </c>
      <c r="AA256" s="2" t="str">
        <f aca="false">IF($B256="","",COUNTIFS(Datos_items!$B:$B,$B256,Datos_items!$AA:$AA,AA$4,Datos_items!$E:$E,Analisis_grupo!$C$4))</f>
        <v/>
      </c>
      <c r="AB256" s="2" t="str">
        <f aca="false">IF($B256="","",COUNTIFS(Datos_items!$B:$B,$B256,Datos_items!$AA:$AA,AB$4,Datos_items!$E:$E,Analisis_grupo!$C$4))</f>
        <v/>
      </c>
      <c r="AC256" s="2" t="str">
        <f aca="false">IF($B256="","",COUNTIFS(Datos_items!$B:$B,$B256,Datos_items!$AA:$AA,AC$4,Datos_items!$E:$E,Analisis_grupo!$C$4))</f>
        <v/>
      </c>
      <c r="AD256" s="2" t="str">
        <f aca="false">IF($B256="","",COUNTIFS(Datos_items!$B:$B,$B256,Datos_items!$AA:$AA,AD$4,Datos_items!$E:$E,Analisis_grupo!$C$4))</f>
        <v/>
      </c>
      <c r="AE256" s="2" t="str">
        <f aca="false">IF($B256="","",COUNTIFS(Datos_items!$B:$B,$B256,Datos_items!$AA:$AA,AE$4,Datos_items!$E:$E,Analisis_grupo!$C$4))</f>
        <v/>
      </c>
      <c r="AF256" s="2" t="str">
        <f aca="false">IF($B256="","",COUNTIFS(Datos_items!$B:$B,$B256,Datos_items!$AA:$AA,AF$4,Datos_items!$E:$E,Analisis_grupo!$C$4))</f>
        <v/>
      </c>
      <c r="AG256" s="2" t="str">
        <f aca="false">IF($B256="","",COUNTIFS(Datos_items!$B:$B,$B256,Datos_items!$AA:$AA,AG$4,Datos_items!$E:$E,Analisis_grupo!$C$4))</f>
        <v/>
      </c>
      <c r="AH256" s="2" t="str">
        <f aca="false">IF($B256="","",COUNTIFS(Datos_items!$B:$B,$B256,Datos_items!$AA:$AA,AH$4,Datos_items!$E:$E,Analisis_grupo!$C$4))</f>
        <v/>
      </c>
      <c r="AI256" s="2" t="str">
        <f aca="false">IF($B256="","",COUNTIFS(Datos_items!$B:$B,$B256,Datos_items!$AA:$AA,AI$4,Datos_items!$E:$E,Analisis_grupo!$C$4))</f>
        <v/>
      </c>
      <c r="AJ256" s="2" t="str">
        <f aca="false">IF($B256="","",COUNTIFS(Datos_items!$B:$B,$B256,Datos_items!$AA:$AA,AJ$4,Datos_items!$E:$E,Analisis_grupo!$C$4))</f>
        <v/>
      </c>
      <c r="AK256" s="2" t="str">
        <f aca="false">IF($B256="","",COUNTIFS(Datos_items!$B:$B,$B256,Datos_items!$AA:$AA,AK$4,Datos_items!$E:$E,Analisis_grupo!$C$4))</f>
        <v/>
      </c>
      <c r="AL256" s="2" t="str">
        <f aca="false">IF($B256="","",COUNTIFS(Datos_items!$B:$B,$B256,Datos_items!$AA:$AA,AL$4,Datos_items!$E:$E,Analisis_grupo!$C$4))</f>
        <v/>
      </c>
      <c r="AM256" s="2" t="str">
        <f aca="false">IF($B256="","",IF(MAX(Y256:AL256)=0,"",INDEX($Y$4:$AL$4,MATCH(MAX(Y256:AL256),Y256:AL256,0))))</f>
        <v/>
      </c>
      <c r="AN256" s="2" t="str">
        <f aca="false">IF($B256="","",COUNTIFS(Datos_problemas!$B:$B,$B256,Datos_problemas!$F:$F,"Práctica"))</f>
        <v/>
      </c>
      <c r="AO256" s="2" t="str">
        <f aca="false">IF($B256="","",SUMIFS(Datos_problemas!$AQ:$AQ,Datos_problemas!$B:$B,$B256,Datos_problemas!$F:$F,"Práctica"))</f>
        <v/>
      </c>
      <c r="AP256" s="2" t="str">
        <f aca="false">IF($B256="","",COUNTIFS(Datos_problemas!$B:$B,$B256,Datos_problemas!$F:$F,"Práctica",Datos_problemas!$AS:$AS,"Sí"))</f>
        <v/>
      </c>
    </row>
    <row r="257" customFormat="false" ht="15" hidden="false" customHeight="false" outlineLevel="0" collapsed="false">
      <c r="A257" s="2" t="n">
        <v>253</v>
      </c>
      <c r="B257" s="2" t="str">
        <f aca="false">IFERROR(INDEX(Datos_problemas!$B:$B,MATCH($A257,Datos_problemas!$AV:$AV,0)),"")</f>
        <v/>
      </c>
      <c r="C257" s="2" t="str">
        <f aca="false">IF($B257="","",INDEX(Datos_problemas!$C:$C,MATCH($A257,Datos_problemas!$AV:$AV,0)))</f>
        <v/>
      </c>
      <c r="D257" s="2" t="str">
        <f aca="false">IF($B257="","",INDEX(Datos_problemas!$D:$D,MATCH($A257,Datos_problemas!$AV:$AV,0)))</f>
        <v/>
      </c>
      <c r="E257" s="2" t="str">
        <f aca="false">IF($B257="","",COUNTIFS(Datos_problemas!$B:$B,$B257,Datos_problemas!$F:$F,"Evaluación"))</f>
        <v/>
      </c>
      <c r="F257" s="20" t="str">
        <f aca="false">IF($B257="","",IFERROR(AVERAGEIFS(Datos_problemas!$AE:$AE,Datos_problemas!$B:$B,$B257,Datos_problemas!$F:$F,"Evaluación"),""))</f>
        <v/>
      </c>
      <c r="G257" s="20" t="str">
        <f aca="false">IF($B257="","",IFERROR(AVERAGEIFS(Datos_problemas!$AE:$AE,Datos_problemas!$B:$B,$B257,Datos_problemas!$F:$F,"Evaluación",Datos_problemas!$E:$E,"Diagnóstico"),""))</f>
        <v/>
      </c>
      <c r="H257" s="20" t="str">
        <f aca="false">IF($B257="","",IFERROR(AVERAGEIFS(Datos_problemas!$AE:$AE,Datos_problemas!$B:$B,$B257,Datos_problemas!$F:$F,"Evaluación",Datos_problemas!$E:$E,"Final"),""))</f>
        <v/>
      </c>
      <c r="I257" s="21" t="str">
        <f aca="false">IF(OR(G257="",H257=""),"",IF(G257&gt;=10,"",(H257-G257)/(10-G257)))</f>
        <v/>
      </c>
      <c r="J257" s="18" t="str">
        <f aca="false">IF($B257="","",IFERROR(SUMIFS(Datos_items!$Z:$Z,Datos_items!$B:$B,$B257,Datos_items!$O:$O,J$4,Datos_items!$E:$E,Analisis_grupo!$C$4)/COUNTIFS(Datos_items!$B:$B,$B257,Datos_items!$O:$O,J$4,Datos_items!$E:$E,Analisis_grupo!$C$4),""))</f>
        <v/>
      </c>
      <c r="K257" s="18" t="str">
        <f aca="false">IF($B257="","",IFERROR(SUMIFS(Datos_items!$Z:$Z,Datos_items!$B:$B,$B257,Datos_items!$O:$O,K$4,Datos_items!$E:$E,Analisis_grupo!$C$4)/COUNTIFS(Datos_items!$B:$B,$B257,Datos_items!$O:$O,K$4,Datos_items!$E:$E,Analisis_grupo!$C$4),""))</f>
        <v/>
      </c>
      <c r="L257" s="18" t="str">
        <f aca="false">IF($B257="","",IFERROR(SUMIFS(Datos_items!$Z:$Z,Datos_items!$B:$B,$B257,Datos_items!$O:$O,L$4,Datos_items!$E:$E,Analisis_grupo!$C$4)/COUNTIFS(Datos_items!$B:$B,$B257,Datos_items!$O:$O,L$4,Datos_items!$E:$E,Analisis_grupo!$C$4),""))</f>
        <v/>
      </c>
      <c r="M257" s="18" t="str">
        <f aca="false">IF($B257="","",IFERROR(SUMIFS(Datos_items!$Z:$Z,Datos_items!$B:$B,$B257,Datos_items!$O:$O,M$4,Datos_items!$E:$E,Analisis_grupo!$C$4)/COUNTIFS(Datos_items!$B:$B,$B257,Datos_items!$O:$O,M$4,Datos_items!$E:$E,Analisis_grupo!$C$4),""))</f>
        <v/>
      </c>
      <c r="N257" s="18" t="str">
        <f aca="false">IF($B257="","",IFERROR(SUMIFS(Datos_items!$Z:$Z,Datos_items!$B:$B,$B257,Datos_items!$O:$O,N$4,Datos_items!$E:$E,Analisis_grupo!$C$4)/COUNTIFS(Datos_items!$B:$B,$B257,Datos_items!$O:$O,N$4,Datos_items!$E:$E,Analisis_grupo!$C$4),""))</f>
        <v/>
      </c>
      <c r="O257" s="18" t="str">
        <f aca="false">IF($B257="","",IFERROR(SUMIFS(Datos_items!$Z:$Z,Datos_items!$B:$B,$B257,Datos_items!$O:$O,O$4,Datos_items!$E:$E,Analisis_grupo!$C$4)/COUNTIFS(Datos_items!$B:$B,$B257,Datos_items!$O:$O,O$4,Datos_items!$E:$E,Analisis_grupo!$C$4),""))</f>
        <v/>
      </c>
      <c r="P257" s="18" t="str">
        <f aca="false">IF($B257="","",IFERROR(SUMIFS(Datos_items!$Z:$Z,Datos_items!$B:$B,$B257,Datos_items!$O:$O,P$4,Datos_items!$E:$E,Analisis_grupo!$C$4)/COUNTIFS(Datos_items!$B:$B,$B257,Datos_items!$O:$O,P$4,Datos_items!$E:$E,Analisis_grupo!$C$4),""))</f>
        <v/>
      </c>
      <c r="Q257" s="18" t="str">
        <f aca="false">IF($B257="","",IFERROR(SUMIFS(Datos_items!$Z:$Z,Datos_items!$B:$B,$B257,Datos_items!$O:$O,Q$4,Datos_items!$E:$E,Analisis_grupo!$C$4)/COUNTIFS(Datos_items!$B:$B,$B257,Datos_items!$O:$O,Q$4,Datos_items!$E:$E,Analisis_grupo!$C$4),""))</f>
        <v/>
      </c>
      <c r="R257" s="2" t="str">
        <f aca="false">IF(COUNT(J257:Q257)=0,"",IF(MIN(J257:Q257)&gt;=Analisis_grupo!$B$7,"(ninguna)",INDEX($J$4:$Q$4,MATCH(MIN(J257:Q257),J257:Q257,0))))</f>
        <v/>
      </c>
      <c r="S257" s="2" t="str">
        <f aca="false">IF($B257="","",COUNTIF(J257:Q257,"&lt;"&amp;Analisis_grupo!$B$7))</f>
        <v/>
      </c>
      <c r="T257" s="2" t="str">
        <f aca="false">IF($B257="","",COUNTIFS(Datos_items!$B:$B,$B257,Datos_items!$AA:$AA,T$4,Datos_items!$E:$E,Analisis_grupo!$C$4))</f>
        <v/>
      </c>
      <c r="U257" s="2" t="str">
        <f aca="false">IF($B257="","",COUNTIFS(Datos_items!$B:$B,$B257,Datos_items!$AA:$AA,U$4,Datos_items!$E:$E,Analisis_grupo!$C$4))</f>
        <v/>
      </c>
      <c r="V257" s="2" t="str">
        <f aca="false">IF($B257="","",COUNTIFS(Datos_items!$B:$B,$B257,Datos_items!$AA:$AA,V$4,Datos_items!$E:$E,Analisis_grupo!$C$4))</f>
        <v/>
      </c>
      <c r="W257" s="2" t="str">
        <f aca="false">IF($B257="","",COUNTIFS(Datos_items!$B:$B,$B257,Datos_items!$AA:$AA,W$4,Datos_items!$E:$E,Analisis_grupo!$C$4))</f>
        <v/>
      </c>
      <c r="X257" s="2" t="str">
        <f aca="false">IF($B257="","",COUNTIFS(Datos_items!$B:$B,$B257,Datos_items!$AA:$AA,X$4,Datos_items!$E:$E,Analisis_grupo!$C$4))</f>
        <v/>
      </c>
      <c r="Y257" s="2" t="str">
        <f aca="false">IF($B257="","",COUNTIFS(Datos_items!$B:$B,$B257,Datos_items!$AA:$AA,Y$4,Datos_items!$E:$E,Analisis_grupo!$C$4))</f>
        <v/>
      </c>
      <c r="Z257" s="2" t="str">
        <f aca="false">IF($B257="","",COUNTIFS(Datos_items!$B:$B,$B257,Datos_items!$AA:$AA,Z$4,Datos_items!$E:$E,Analisis_grupo!$C$4))</f>
        <v/>
      </c>
      <c r="AA257" s="2" t="str">
        <f aca="false">IF($B257="","",COUNTIFS(Datos_items!$B:$B,$B257,Datos_items!$AA:$AA,AA$4,Datos_items!$E:$E,Analisis_grupo!$C$4))</f>
        <v/>
      </c>
      <c r="AB257" s="2" t="str">
        <f aca="false">IF($B257="","",COUNTIFS(Datos_items!$B:$B,$B257,Datos_items!$AA:$AA,AB$4,Datos_items!$E:$E,Analisis_grupo!$C$4))</f>
        <v/>
      </c>
      <c r="AC257" s="2" t="str">
        <f aca="false">IF($B257="","",COUNTIFS(Datos_items!$B:$B,$B257,Datos_items!$AA:$AA,AC$4,Datos_items!$E:$E,Analisis_grupo!$C$4))</f>
        <v/>
      </c>
      <c r="AD257" s="2" t="str">
        <f aca="false">IF($B257="","",COUNTIFS(Datos_items!$B:$B,$B257,Datos_items!$AA:$AA,AD$4,Datos_items!$E:$E,Analisis_grupo!$C$4))</f>
        <v/>
      </c>
      <c r="AE257" s="2" t="str">
        <f aca="false">IF($B257="","",COUNTIFS(Datos_items!$B:$B,$B257,Datos_items!$AA:$AA,AE$4,Datos_items!$E:$E,Analisis_grupo!$C$4))</f>
        <v/>
      </c>
      <c r="AF257" s="2" t="str">
        <f aca="false">IF($B257="","",COUNTIFS(Datos_items!$B:$B,$B257,Datos_items!$AA:$AA,AF$4,Datos_items!$E:$E,Analisis_grupo!$C$4))</f>
        <v/>
      </c>
      <c r="AG257" s="2" t="str">
        <f aca="false">IF($B257="","",COUNTIFS(Datos_items!$B:$B,$B257,Datos_items!$AA:$AA,AG$4,Datos_items!$E:$E,Analisis_grupo!$C$4))</f>
        <v/>
      </c>
      <c r="AH257" s="2" t="str">
        <f aca="false">IF($B257="","",COUNTIFS(Datos_items!$B:$B,$B257,Datos_items!$AA:$AA,AH$4,Datos_items!$E:$E,Analisis_grupo!$C$4))</f>
        <v/>
      </c>
      <c r="AI257" s="2" t="str">
        <f aca="false">IF($B257="","",COUNTIFS(Datos_items!$B:$B,$B257,Datos_items!$AA:$AA,AI$4,Datos_items!$E:$E,Analisis_grupo!$C$4))</f>
        <v/>
      </c>
      <c r="AJ257" s="2" t="str">
        <f aca="false">IF($B257="","",COUNTIFS(Datos_items!$B:$B,$B257,Datos_items!$AA:$AA,AJ$4,Datos_items!$E:$E,Analisis_grupo!$C$4))</f>
        <v/>
      </c>
      <c r="AK257" s="2" t="str">
        <f aca="false">IF($B257="","",COUNTIFS(Datos_items!$B:$B,$B257,Datos_items!$AA:$AA,AK$4,Datos_items!$E:$E,Analisis_grupo!$C$4))</f>
        <v/>
      </c>
      <c r="AL257" s="2" t="str">
        <f aca="false">IF($B257="","",COUNTIFS(Datos_items!$B:$B,$B257,Datos_items!$AA:$AA,AL$4,Datos_items!$E:$E,Analisis_grupo!$C$4))</f>
        <v/>
      </c>
      <c r="AM257" s="2" t="str">
        <f aca="false">IF($B257="","",IF(MAX(Y257:AL257)=0,"",INDEX($Y$4:$AL$4,MATCH(MAX(Y257:AL257),Y257:AL257,0))))</f>
        <v/>
      </c>
      <c r="AN257" s="2" t="str">
        <f aca="false">IF($B257="","",COUNTIFS(Datos_problemas!$B:$B,$B257,Datos_problemas!$F:$F,"Práctica"))</f>
        <v/>
      </c>
      <c r="AO257" s="2" t="str">
        <f aca="false">IF($B257="","",SUMIFS(Datos_problemas!$AQ:$AQ,Datos_problemas!$B:$B,$B257,Datos_problemas!$F:$F,"Práctica"))</f>
        <v/>
      </c>
      <c r="AP257" s="2" t="str">
        <f aca="false">IF($B257="","",COUNTIFS(Datos_problemas!$B:$B,$B257,Datos_problemas!$F:$F,"Práctica",Datos_problemas!$AS:$AS,"Sí"))</f>
        <v/>
      </c>
    </row>
    <row r="258" customFormat="false" ht="15" hidden="false" customHeight="false" outlineLevel="0" collapsed="false">
      <c r="A258" s="2" t="n">
        <v>254</v>
      </c>
      <c r="B258" s="2" t="str">
        <f aca="false">IFERROR(INDEX(Datos_problemas!$B:$B,MATCH($A258,Datos_problemas!$AV:$AV,0)),"")</f>
        <v/>
      </c>
      <c r="C258" s="2" t="str">
        <f aca="false">IF($B258="","",INDEX(Datos_problemas!$C:$C,MATCH($A258,Datos_problemas!$AV:$AV,0)))</f>
        <v/>
      </c>
      <c r="D258" s="2" t="str">
        <f aca="false">IF($B258="","",INDEX(Datos_problemas!$D:$D,MATCH($A258,Datos_problemas!$AV:$AV,0)))</f>
        <v/>
      </c>
      <c r="E258" s="2" t="str">
        <f aca="false">IF($B258="","",COUNTIFS(Datos_problemas!$B:$B,$B258,Datos_problemas!$F:$F,"Evaluación"))</f>
        <v/>
      </c>
      <c r="F258" s="20" t="str">
        <f aca="false">IF($B258="","",IFERROR(AVERAGEIFS(Datos_problemas!$AE:$AE,Datos_problemas!$B:$B,$B258,Datos_problemas!$F:$F,"Evaluación"),""))</f>
        <v/>
      </c>
      <c r="G258" s="20" t="str">
        <f aca="false">IF($B258="","",IFERROR(AVERAGEIFS(Datos_problemas!$AE:$AE,Datos_problemas!$B:$B,$B258,Datos_problemas!$F:$F,"Evaluación",Datos_problemas!$E:$E,"Diagnóstico"),""))</f>
        <v/>
      </c>
      <c r="H258" s="20" t="str">
        <f aca="false">IF($B258="","",IFERROR(AVERAGEIFS(Datos_problemas!$AE:$AE,Datos_problemas!$B:$B,$B258,Datos_problemas!$F:$F,"Evaluación",Datos_problemas!$E:$E,"Final"),""))</f>
        <v/>
      </c>
      <c r="I258" s="21" t="str">
        <f aca="false">IF(OR(G258="",H258=""),"",IF(G258&gt;=10,"",(H258-G258)/(10-G258)))</f>
        <v/>
      </c>
      <c r="J258" s="18" t="str">
        <f aca="false">IF($B258="","",IFERROR(SUMIFS(Datos_items!$Z:$Z,Datos_items!$B:$B,$B258,Datos_items!$O:$O,J$4,Datos_items!$E:$E,Analisis_grupo!$C$4)/COUNTIFS(Datos_items!$B:$B,$B258,Datos_items!$O:$O,J$4,Datos_items!$E:$E,Analisis_grupo!$C$4),""))</f>
        <v/>
      </c>
      <c r="K258" s="18" t="str">
        <f aca="false">IF($B258="","",IFERROR(SUMIFS(Datos_items!$Z:$Z,Datos_items!$B:$B,$B258,Datos_items!$O:$O,K$4,Datos_items!$E:$E,Analisis_grupo!$C$4)/COUNTIFS(Datos_items!$B:$B,$B258,Datos_items!$O:$O,K$4,Datos_items!$E:$E,Analisis_grupo!$C$4),""))</f>
        <v/>
      </c>
      <c r="L258" s="18" t="str">
        <f aca="false">IF($B258="","",IFERROR(SUMIFS(Datos_items!$Z:$Z,Datos_items!$B:$B,$B258,Datos_items!$O:$O,L$4,Datos_items!$E:$E,Analisis_grupo!$C$4)/COUNTIFS(Datos_items!$B:$B,$B258,Datos_items!$O:$O,L$4,Datos_items!$E:$E,Analisis_grupo!$C$4),""))</f>
        <v/>
      </c>
      <c r="M258" s="18" t="str">
        <f aca="false">IF($B258="","",IFERROR(SUMIFS(Datos_items!$Z:$Z,Datos_items!$B:$B,$B258,Datos_items!$O:$O,M$4,Datos_items!$E:$E,Analisis_grupo!$C$4)/COUNTIFS(Datos_items!$B:$B,$B258,Datos_items!$O:$O,M$4,Datos_items!$E:$E,Analisis_grupo!$C$4),""))</f>
        <v/>
      </c>
      <c r="N258" s="18" t="str">
        <f aca="false">IF($B258="","",IFERROR(SUMIFS(Datos_items!$Z:$Z,Datos_items!$B:$B,$B258,Datos_items!$O:$O,N$4,Datos_items!$E:$E,Analisis_grupo!$C$4)/COUNTIFS(Datos_items!$B:$B,$B258,Datos_items!$O:$O,N$4,Datos_items!$E:$E,Analisis_grupo!$C$4),""))</f>
        <v/>
      </c>
      <c r="O258" s="18" t="str">
        <f aca="false">IF($B258="","",IFERROR(SUMIFS(Datos_items!$Z:$Z,Datos_items!$B:$B,$B258,Datos_items!$O:$O,O$4,Datos_items!$E:$E,Analisis_grupo!$C$4)/COUNTIFS(Datos_items!$B:$B,$B258,Datos_items!$O:$O,O$4,Datos_items!$E:$E,Analisis_grupo!$C$4),""))</f>
        <v/>
      </c>
      <c r="P258" s="18" t="str">
        <f aca="false">IF($B258="","",IFERROR(SUMIFS(Datos_items!$Z:$Z,Datos_items!$B:$B,$B258,Datos_items!$O:$O,P$4,Datos_items!$E:$E,Analisis_grupo!$C$4)/COUNTIFS(Datos_items!$B:$B,$B258,Datos_items!$O:$O,P$4,Datos_items!$E:$E,Analisis_grupo!$C$4),""))</f>
        <v/>
      </c>
      <c r="Q258" s="18" t="str">
        <f aca="false">IF($B258="","",IFERROR(SUMIFS(Datos_items!$Z:$Z,Datos_items!$B:$B,$B258,Datos_items!$O:$O,Q$4,Datos_items!$E:$E,Analisis_grupo!$C$4)/COUNTIFS(Datos_items!$B:$B,$B258,Datos_items!$O:$O,Q$4,Datos_items!$E:$E,Analisis_grupo!$C$4),""))</f>
        <v/>
      </c>
      <c r="R258" s="2" t="str">
        <f aca="false">IF(COUNT(J258:Q258)=0,"",IF(MIN(J258:Q258)&gt;=Analisis_grupo!$B$7,"(ninguna)",INDEX($J$4:$Q$4,MATCH(MIN(J258:Q258),J258:Q258,0))))</f>
        <v/>
      </c>
      <c r="S258" s="2" t="str">
        <f aca="false">IF($B258="","",COUNTIF(J258:Q258,"&lt;"&amp;Analisis_grupo!$B$7))</f>
        <v/>
      </c>
      <c r="T258" s="2" t="str">
        <f aca="false">IF($B258="","",COUNTIFS(Datos_items!$B:$B,$B258,Datos_items!$AA:$AA,T$4,Datos_items!$E:$E,Analisis_grupo!$C$4))</f>
        <v/>
      </c>
      <c r="U258" s="2" t="str">
        <f aca="false">IF($B258="","",COUNTIFS(Datos_items!$B:$B,$B258,Datos_items!$AA:$AA,U$4,Datos_items!$E:$E,Analisis_grupo!$C$4))</f>
        <v/>
      </c>
      <c r="V258" s="2" t="str">
        <f aca="false">IF($B258="","",COUNTIFS(Datos_items!$B:$B,$B258,Datos_items!$AA:$AA,V$4,Datos_items!$E:$E,Analisis_grupo!$C$4))</f>
        <v/>
      </c>
      <c r="W258" s="2" t="str">
        <f aca="false">IF($B258="","",COUNTIFS(Datos_items!$B:$B,$B258,Datos_items!$AA:$AA,W$4,Datos_items!$E:$E,Analisis_grupo!$C$4))</f>
        <v/>
      </c>
      <c r="X258" s="2" t="str">
        <f aca="false">IF($B258="","",COUNTIFS(Datos_items!$B:$B,$B258,Datos_items!$AA:$AA,X$4,Datos_items!$E:$E,Analisis_grupo!$C$4))</f>
        <v/>
      </c>
      <c r="Y258" s="2" t="str">
        <f aca="false">IF($B258="","",COUNTIFS(Datos_items!$B:$B,$B258,Datos_items!$AA:$AA,Y$4,Datos_items!$E:$E,Analisis_grupo!$C$4))</f>
        <v/>
      </c>
      <c r="Z258" s="2" t="str">
        <f aca="false">IF($B258="","",COUNTIFS(Datos_items!$B:$B,$B258,Datos_items!$AA:$AA,Z$4,Datos_items!$E:$E,Analisis_grupo!$C$4))</f>
        <v/>
      </c>
      <c r="AA258" s="2" t="str">
        <f aca="false">IF($B258="","",COUNTIFS(Datos_items!$B:$B,$B258,Datos_items!$AA:$AA,AA$4,Datos_items!$E:$E,Analisis_grupo!$C$4))</f>
        <v/>
      </c>
      <c r="AB258" s="2" t="str">
        <f aca="false">IF($B258="","",COUNTIFS(Datos_items!$B:$B,$B258,Datos_items!$AA:$AA,AB$4,Datos_items!$E:$E,Analisis_grupo!$C$4))</f>
        <v/>
      </c>
      <c r="AC258" s="2" t="str">
        <f aca="false">IF($B258="","",COUNTIFS(Datos_items!$B:$B,$B258,Datos_items!$AA:$AA,AC$4,Datos_items!$E:$E,Analisis_grupo!$C$4))</f>
        <v/>
      </c>
      <c r="AD258" s="2" t="str">
        <f aca="false">IF($B258="","",COUNTIFS(Datos_items!$B:$B,$B258,Datos_items!$AA:$AA,AD$4,Datos_items!$E:$E,Analisis_grupo!$C$4))</f>
        <v/>
      </c>
      <c r="AE258" s="2" t="str">
        <f aca="false">IF($B258="","",COUNTIFS(Datos_items!$B:$B,$B258,Datos_items!$AA:$AA,AE$4,Datos_items!$E:$E,Analisis_grupo!$C$4))</f>
        <v/>
      </c>
      <c r="AF258" s="2" t="str">
        <f aca="false">IF($B258="","",COUNTIFS(Datos_items!$B:$B,$B258,Datos_items!$AA:$AA,AF$4,Datos_items!$E:$E,Analisis_grupo!$C$4))</f>
        <v/>
      </c>
      <c r="AG258" s="2" t="str">
        <f aca="false">IF($B258="","",COUNTIFS(Datos_items!$B:$B,$B258,Datos_items!$AA:$AA,AG$4,Datos_items!$E:$E,Analisis_grupo!$C$4))</f>
        <v/>
      </c>
      <c r="AH258" s="2" t="str">
        <f aca="false">IF($B258="","",COUNTIFS(Datos_items!$B:$B,$B258,Datos_items!$AA:$AA,AH$4,Datos_items!$E:$E,Analisis_grupo!$C$4))</f>
        <v/>
      </c>
      <c r="AI258" s="2" t="str">
        <f aca="false">IF($B258="","",COUNTIFS(Datos_items!$B:$B,$B258,Datos_items!$AA:$AA,AI$4,Datos_items!$E:$E,Analisis_grupo!$C$4))</f>
        <v/>
      </c>
      <c r="AJ258" s="2" t="str">
        <f aca="false">IF($B258="","",COUNTIFS(Datos_items!$B:$B,$B258,Datos_items!$AA:$AA,AJ$4,Datos_items!$E:$E,Analisis_grupo!$C$4))</f>
        <v/>
      </c>
      <c r="AK258" s="2" t="str">
        <f aca="false">IF($B258="","",COUNTIFS(Datos_items!$B:$B,$B258,Datos_items!$AA:$AA,AK$4,Datos_items!$E:$E,Analisis_grupo!$C$4))</f>
        <v/>
      </c>
      <c r="AL258" s="2" t="str">
        <f aca="false">IF($B258="","",COUNTIFS(Datos_items!$B:$B,$B258,Datos_items!$AA:$AA,AL$4,Datos_items!$E:$E,Analisis_grupo!$C$4))</f>
        <v/>
      </c>
      <c r="AM258" s="2" t="str">
        <f aca="false">IF($B258="","",IF(MAX(Y258:AL258)=0,"",INDEX($Y$4:$AL$4,MATCH(MAX(Y258:AL258),Y258:AL258,0))))</f>
        <v/>
      </c>
      <c r="AN258" s="2" t="str">
        <f aca="false">IF($B258="","",COUNTIFS(Datos_problemas!$B:$B,$B258,Datos_problemas!$F:$F,"Práctica"))</f>
        <v/>
      </c>
      <c r="AO258" s="2" t="str">
        <f aca="false">IF($B258="","",SUMIFS(Datos_problemas!$AQ:$AQ,Datos_problemas!$B:$B,$B258,Datos_problemas!$F:$F,"Práctica"))</f>
        <v/>
      </c>
      <c r="AP258" s="2" t="str">
        <f aca="false">IF($B258="","",COUNTIFS(Datos_problemas!$B:$B,$B258,Datos_problemas!$F:$F,"Práctica",Datos_problemas!$AS:$AS,"Sí"))</f>
        <v/>
      </c>
    </row>
    <row r="259" customFormat="false" ht="15" hidden="false" customHeight="false" outlineLevel="0" collapsed="false">
      <c r="A259" s="2" t="n">
        <v>255</v>
      </c>
      <c r="B259" s="2" t="str">
        <f aca="false">IFERROR(INDEX(Datos_problemas!$B:$B,MATCH($A259,Datos_problemas!$AV:$AV,0)),"")</f>
        <v/>
      </c>
      <c r="C259" s="2" t="str">
        <f aca="false">IF($B259="","",INDEX(Datos_problemas!$C:$C,MATCH($A259,Datos_problemas!$AV:$AV,0)))</f>
        <v/>
      </c>
      <c r="D259" s="2" t="str">
        <f aca="false">IF($B259="","",INDEX(Datos_problemas!$D:$D,MATCH($A259,Datos_problemas!$AV:$AV,0)))</f>
        <v/>
      </c>
      <c r="E259" s="2" t="str">
        <f aca="false">IF($B259="","",COUNTIFS(Datos_problemas!$B:$B,$B259,Datos_problemas!$F:$F,"Evaluación"))</f>
        <v/>
      </c>
      <c r="F259" s="20" t="str">
        <f aca="false">IF($B259="","",IFERROR(AVERAGEIFS(Datos_problemas!$AE:$AE,Datos_problemas!$B:$B,$B259,Datos_problemas!$F:$F,"Evaluación"),""))</f>
        <v/>
      </c>
      <c r="G259" s="20" t="str">
        <f aca="false">IF($B259="","",IFERROR(AVERAGEIFS(Datos_problemas!$AE:$AE,Datos_problemas!$B:$B,$B259,Datos_problemas!$F:$F,"Evaluación",Datos_problemas!$E:$E,"Diagnóstico"),""))</f>
        <v/>
      </c>
      <c r="H259" s="20" t="str">
        <f aca="false">IF($B259="","",IFERROR(AVERAGEIFS(Datos_problemas!$AE:$AE,Datos_problemas!$B:$B,$B259,Datos_problemas!$F:$F,"Evaluación",Datos_problemas!$E:$E,"Final"),""))</f>
        <v/>
      </c>
      <c r="I259" s="21" t="str">
        <f aca="false">IF(OR(G259="",H259=""),"",IF(G259&gt;=10,"",(H259-G259)/(10-G259)))</f>
        <v/>
      </c>
      <c r="J259" s="18" t="str">
        <f aca="false">IF($B259="","",IFERROR(SUMIFS(Datos_items!$Z:$Z,Datos_items!$B:$B,$B259,Datos_items!$O:$O,J$4,Datos_items!$E:$E,Analisis_grupo!$C$4)/COUNTIFS(Datos_items!$B:$B,$B259,Datos_items!$O:$O,J$4,Datos_items!$E:$E,Analisis_grupo!$C$4),""))</f>
        <v/>
      </c>
      <c r="K259" s="18" t="str">
        <f aca="false">IF($B259="","",IFERROR(SUMIFS(Datos_items!$Z:$Z,Datos_items!$B:$B,$B259,Datos_items!$O:$O,K$4,Datos_items!$E:$E,Analisis_grupo!$C$4)/COUNTIFS(Datos_items!$B:$B,$B259,Datos_items!$O:$O,K$4,Datos_items!$E:$E,Analisis_grupo!$C$4),""))</f>
        <v/>
      </c>
      <c r="L259" s="18" t="str">
        <f aca="false">IF($B259="","",IFERROR(SUMIFS(Datos_items!$Z:$Z,Datos_items!$B:$B,$B259,Datos_items!$O:$O,L$4,Datos_items!$E:$E,Analisis_grupo!$C$4)/COUNTIFS(Datos_items!$B:$B,$B259,Datos_items!$O:$O,L$4,Datos_items!$E:$E,Analisis_grupo!$C$4),""))</f>
        <v/>
      </c>
      <c r="M259" s="18" t="str">
        <f aca="false">IF($B259="","",IFERROR(SUMIFS(Datos_items!$Z:$Z,Datos_items!$B:$B,$B259,Datos_items!$O:$O,M$4,Datos_items!$E:$E,Analisis_grupo!$C$4)/COUNTIFS(Datos_items!$B:$B,$B259,Datos_items!$O:$O,M$4,Datos_items!$E:$E,Analisis_grupo!$C$4),""))</f>
        <v/>
      </c>
      <c r="N259" s="18" t="str">
        <f aca="false">IF($B259="","",IFERROR(SUMIFS(Datos_items!$Z:$Z,Datos_items!$B:$B,$B259,Datos_items!$O:$O,N$4,Datos_items!$E:$E,Analisis_grupo!$C$4)/COUNTIFS(Datos_items!$B:$B,$B259,Datos_items!$O:$O,N$4,Datos_items!$E:$E,Analisis_grupo!$C$4),""))</f>
        <v/>
      </c>
      <c r="O259" s="18" t="str">
        <f aca="false">IF($B259="","",IFERROR(SUMIFS(Datos_items!$Z:$Z,Datos_items!$B:$B,$B259,Datos_items!$O:$O,O$4,Datos_items!$E:$E,Analisis_grupo!$C$4)/COUNTIFS(Datos_items!$B:$B,$B259,Datos_items!$O:$O,O$4,Datos_items!$E:$E,Analisis_grupo!$C$4),""))</f>
        <v/>
      </c>
      <c r="P259" s="18" t="str">
        <f aca="false">IF($B259="","",IFERROR(SUMIFS(Datos_items!$Z:$Z,Datos_items!$B:$B,$B259,Datos_items!$O:$O,P$4,Datos_items!$E:$E,Analisis_grupo!$C$4)/COUNTIFS(Datos_items!$B:$B,$B259,Datos_items!$O:$O,P$4,Datos_items!$E:$E,Analisis_grupo!$C$4),""))</f>
        <v/>
      </c>
      <c r="Q259" s="18" t="str">
        <f aca="false">IF($B259="","",IFERROR(SUMIFS(Datos_items!$Z:$Z,Datos_items!$B:$B,$B259,Datos_items!$O:$O,Q$4,Datos_items!$E:$E,Analisis_grupo!$C$4)/COUNTIFS(Datos_items!$B:$B,$B259,Datos_items!$O:$O,Q$4,Datos_items!$E:$E,Analisis_grupo!$C$4),""))</f>
        <v/>
      </c>
      <c r="R259" s="2" t="str">
        <f aca="false">IF(COUNT(J259:Q259)=0,"",IF(MIN(J259:Q259)&gt;=Analisis_grupo!$B$7,"(ninguna)",INDEX($J$4:$Q$4,MATCH(MIN(J259:Q259),J259:Q259,0))))</f>
        <v/>
      </c>
      <c r="S259" s="2" t="str">
        <f aca="false">IF($B259="","",COUNTIF(J259:Q259,"&lt;"&amp;Analisis_grupo!$B$7))</f>
        <v/>
      </c>
      <c r="T259" s="2" t="str">
        <f aca="false">IF($B259="","",COUNTIFS(Datos_items!$B:$B,$B259,Datos_items!$AA:$AA,T$4,Datos_items!$E:$E,Analisis_grupo!$C$4))</f>
        <v/>
      </c>
      <c r="U259" s="2" t="str">
        <f aca="false">IF($B259="","",COUNTIFS(Datos_items!$B:$B,$B259,Datos_items!$AA:$AA,U$4,Datos_items!$E:$E,Analisis_grupo!$C$4))</f>
        <v/>
      </c>
      <c r="V259" s="2" t="str">
        <f aca="false">IF($B259="","",COUNTIFS(Datos_items!$B:$B,$B259,Datos_items!$AA:$AA,V$4,Datos_items!$E:$E,Analisis_grupo!$C$4))</f>
        <v/>
      </c>
      <c r="W259" s="2" t="str">
        <f aca="false">IF($B259="","",COUNTIFS(Datos_items!$B:$B,$B259,Datos_items!$AA:$AA,W$4,Datos_items!$E:$E,Analisis_grupo!$C$4))</f>
        <v/>
      </c>
      <c r="X259" s="2" t="str">
        <f aca="false">IF($B259="","",COUNTIFS(Datos_items!$B:$B,$B259,Datos_items!$AA:$AA,X$4,Datos_items!$E:$E,Analisis_grupo!$C$4))</f>
        <v/>
      </c>
      <c r="Y259" s="2" t="str">
        <f aca="false">IF($B259="","",COUNTIFS(Datos_items!$B:$B,$B259,Datos_items!$AA:$AA,Y$4,Datos_items!$E:$E,Analisis_grupo!$C$4))</f>
        <v/>
      </c>
      <c r="Z259" s="2" t="str">
        <f aca="false">IF($B259="","",COUNTIFS(Datos_items!$B:$B,$B259,Datos_items!$AA:$AA,Z$4,Datos_items!$E:$E,Analisis_grupo!$C$4))</f>
        <v/>
      </c>
      <c r="AA259" s="2" t="str">
        <f aca="false">IF($B259="","",COUNTIFS(Datos_items!$B:$B,$B259,Datos_items!$AA:$AA,AA$4,Datos_items!$E:$E,Analisis_grupo!$C$4))</f>
        <v/>
      </c>
      <c r="AB259" s="2" t="str">
        <f aca="false">IF($B259="","",COUNTIFS(Datos_items!$B:$B,$B259,Datos_items!$AA:$AA,AB$4,Datos_items!$E:$E,Analisis_grupo!$C$4))</f>
        <v/>
      </c>
      <c r="AC259" s="2" t="str">
        <f aca="false">IF($B259="","",COUNTIFS(Datos_items!$B:$B,$B259,Datos_items!$AA:$AA,AC$4,Datos_items!$E:$E,Analisis_grupo!$C$4))</f>
        <v/>
      </c>
      <c r="AD259" s="2" t="str">
        <f aca="false">IF($B259="","",COUNTIFS(Datos_items!$B:$B,$B259,Datos_items!$AA:$AA,AD$4,Datos_items!$E:$E,Analisis_grupo!$C$4))</f>
        <v/>
      </c>
      <c r="AE259" s="2" t="str">
        <f aca="false">IF($B259="","",COUNTIFS(Datos_items!$B:$B,$B259,Datos_items!$AA:$AA,AE$4,Datos_items!$E:$E,Analisis_grupo!$C$4))</f>
        <v/>
      </c>
      <c r="AF259" s="2" t="str">
        <f aca="false">IF($B259="","",COUNTIFS(Datos_items!$B:$B,$B259,Datos_items!$AA:$AA,AF$4,Datos_items!$E:$E,Analisis_grupo!$C$4))</f>
        <v/>
      </c>
      <c r="AG259" s="2" t="str">
        <f aca="false">IF($B259="","",COUNTIFS(Datos_items!$B:$B,$B259,Datos_items!$AA:$AA,AG$4,Datos_items!$E:$E,Analisis_grupo!$C$4))</f>
        <v/>
      </c>
      <c r="AH259" s="2" t="str">
        <f aca="false">IF($B259="","",COUNTIFS(Datos_items!$B:$B,$B259,Datos_items!$AA:$AA,AH$4,Datos_items!$E:$E,Analisis_grupo!$C$4))</f>
        <v/>
      </c>
      <c r="AI259" s="2" t="str">
        <f aca="false">IF($B259="","",COUNTIFS(Datos_items!$B:$B,$B259,Datos_items!$AA:$AA,AI$4,Datos_items!$E:$E,Analisis_grupo!$C$4))</f>
        <v/>
      </c>
      <c r="AJ259" s="2" t="str">
        <f aca="false">IF($B259="","",COUNTIFS(Datos_items!$B:$B,$B259,Datos_items!$AA:$AA,AJ$4,Datos_items!$E:$E,Analisis_grupo!$C$4))</f>
        <v/>
      </c>
      <c r="AK259" s="2" t="str">
        <f aca="false">IF($B259="","",COUNTIFS(Datos_items!$B:$B,$B259,Datos_items!$AA:$AA,AK$4,Datos_items!$E:$E,Analisis_grupo!$C$4))</f>
        <v/>
      </c>
      <c r="AL259" s="2" t="str">
        <f aca="false">IF($B259="","",COUNTIFS(Datos_items!$B:$B,$B259,Datos_items!$AA:$AA,AL$4,Datos_items!$E:$E,Analisis_grupo!$C$4))</f>
        <v/>
      </c>
      <c r="AM259" s="2" t="str">
        <f aca="false">IF($B259="","",IF(MAX(Y259:AL259)=0,"",INDEX($Y$4:$AL$4,MATCH(MAX(Y259:AL259),Y259:AL259,0))))</f>
        <v/>
      </c>
      <c r="AN259" s="2" t="str">
        <f aca="false">IF($B259="","",COUNTIFS(Datos_problemas!$B:$B,$B259,Datos_problemas!$F:$F,"Práctica"))</f>
        <v/>
      </c>
      <c r="AO259" s="2" t="str">
        <f aca="false">IF($B259="","",SUMIFS(Datos_problemas!$AQ:$AQ,Datos_problemas!$B:$B,$B259,Datos_problemas!$F:$F,"Práctica"))</f>
        <v/>
      </c>
      <c r="AP259" s="2" t="str">
        <f aca="false">IF($B259="","",COUNTIFS(Datos_problemas!$B:$B,$B259,Datos_problemas!$F:$F,"Práctica",Datos_problemas!$AS:$AS,"Sí"))</f>
        <v/>
      </c>
    </row>
    <row r="260" customFormat="false" ht="15" hidden="false" customHeight="false" outlineLevel="0" collapsed="false">
      <c r="A260" s="2" t="n">
        <v>256</v>
      </c>
      <c r="B260" s="2" t="str">
        <f aca="false">IFERROR(INDEX(Datos_problemas!$B:$B,MATCH($A260,Datos_problemas!$AV:$AV,0)),"")</f>
        <v/>
      </c>
      <c r="C260" s="2" t="str">
        <f aca="false">IF($B260="","",INDEX(Datos_problemas!$C:$C,MATCH($A260,Datos_problemas!$AV:$AV,0)))</f>
        <v/>
      </c>
      <c r="D260" s="2" t="str">
        <f aca="false">IF($B260="","",INDEX(Datos_problemas!$D:$D,MATCH($A260,Datos_problemas!$AV:$AV,0)))</f>
        <v/>
      </c>
      <c r="E260" s="2" t="str">
        <f aca="false">IF($B260="","",COUNTIFS(Datos_problemas!$B:$B,$B260,Datos_problemas!$F:$F,"Evaluación"))</f>
        <v/>
      </c>
      <c r="F260" s="20" t="str">
        <f aca="false">IF($B260="","",IFERROR(AVERAGEIFS(Datos_problemas!$AE:$AE,Datos_problemas!$B:$B,$B260,Datos_problemas!$F:$F,"Evaluación"),""))</f>
        <v/>
      </c>
      <c r="G260" s="20" t="str">
        <f aca="false">IF($B260="","",IFERROR(AVERAGEIFS(Datos_problemas!$AE:$AE,Datos_problemas!$B:$B,$B260,Datos_problemas!$F:$F,"Evaluación",Datos_problemas!$E:$E,"Diagnóstico"),""))</f>
        <v/>
      </c>
      <c r="H260" s="20" t="str">
        <f aca="false">IF($B260="","",IFERROR(AVERAGEIFS(Datos_problemas!$AE:$AE,Datos_problemas!$B:$B,$B260,Datos_problemas!$F:$F,"Evaluación",Datos_problemas!$E:$E,"Final"),""))</f>
        <v/>
      </c>
      <c r="I260" s="21" t="str">
        <f aca="false">IF(OR(G260="",H260=""),"",IF(G260&gt;=10,"",(H260-G260)/(10-G260)))</f>
        <v/>
      </c>
      <c r="J260" s="18" t="str">
        <f aca="false">IF($B260="","",IFERROR(SUMIFS(Datos_items!$Z:$Z,Datos_items!$B:$B,$B260,Datos_items!$O:$O,J$4,Datos_items!$E:$E,Analisis_grupo!$C$4)/COUNTIFS(Datos_items!$B:$B,$B260,Datos_items!$O:$O,J$4,Datos_items!$E:$E,Analisis_grupo!$C$4),""))</f>
        <v/>
      </c>
      <c r="K260" s="18" t="str">
        <f aca="false">IF($B260="","",IFERROR(SUMIFS(Datos_items!$Z:$Z,Datos_items!$B:$B,$B260,Datos_items!$O:$O,K$4,Datos_items!$E:$E,Analisis_grupo!$C$4)/COUNTIFS(Datos_items!$B:$B,$B260,Datos_items!$O:$O,K$4,Datos_items!$E:$E,Analisis_grupo!$C$4),""))</f>
        <v/>
      </c>
      <c r="L260" s="18" t="str">
        <f aca="false">IF($B260="","",IFERROR(SUMIFS(Datos_items!$Z:$Z,Datos_items!$B:$B,$B260,Datos_items!$O:$O,L$4,Datos_items!$E:$E,Analisis_grupo!$C$4)/COUNTIFS(Datos_items!$B:$B,$B260,Datos_items!$O:$O,L$4,Datos_items!$E:$E,Analisis_grupo!$C$4),""))</f>
        <v/>
      </c>
      <c r="M260" s="18" t="str">
        <f aca="false">IF($B260="","",IFERROR(SUMIFS(Datos_items!$Z:$Z,Datos_items!$B:$B,$B260,Datos_items!$O:$O,M$4,Datos_items!$E:$E,Analisis_grupo!$C$4)/COUNTIFS(Datos_items!$B:$B,$B260,Datos_items!$O:$O,M$4,Datos_items!$E:$E,Analisis_grupo!$C$4),""))</f>
        <v/>
      </c>
      <c r="N260" s="18" t="str">
        <f aca="false">IF($B260="","",IFERROR(SUMIFS(Datos_items!$Z:$Z,Datos_items!$B:$B,$B260,Datos_items!$O:$O,N$4,Datos_items!$E:$E,Analisis_grupo!$C$4)/COUNTIFS(Datos_items!$B:$B,$B260,Datos_items!$O:$O,N$4,Datos_items!$E:$E,Analisis_grupo!$C$4),""))</f>
        <v/>
      </c>
      <c r="O260" s="18" t="str">
        <f aca="false">IF($B260="","",IFERROR(SUMIFS(Datos_items!$Z:$Z,Datos_items!$B:$B,$B260,Datos_items!$O:$O,O$4,Datos_items!$E:$E,Analisis_grupo!$C$4)/COUNTIFS(Datos_items!$B:$B,$B260,Datos_items!$O:$O,O$4,Datos_items!$E:$E,Analisis_grupo!$C$4),""))</f>
        <v/>
      </c>
      <c r="P260" s="18" t="str">
        <f aca="false">IF($B260="","",IFERROR(SUMIFS(Datos_items!$Z:$Z,Datos_items!$B:$B,$B260,Datos_items!$O:$O,P$4,Datos_items!$E:$E,Analisis_grupo!$C$4)/COUNTIFS(Datos_items!$B:$B,$B260,Datos_items!$O:$O,P$4,Datos_items!$E:$E,Analisis_grupo!$C$4),""))</f>
        <v/>
      </c>
      <c r="Q260" s="18" t="str">
        <f aca="false">IF($B260="","",IFERROR(SUMIFS(Datos_items!$Z:$Z,Datos_items!$B:$B,$B260,Datos_items!$O:$O,Q$4,Datos_items!$E:$E,Analisis_grupo!$C$4)/COUNTIFS(Datos_items!$B:$B,$B260,Datos_items!$O:$O,Q$4,Datos_items!$E:$E,Analisis_grupo!$C$4),""))</f>
        <v/>
      </c>
      <c r="R260" s="2" t="str">
        <f aca="false">IF(COUNT(J260:Q260)=0,"",IF(MIN(J260:Q260)&gt;=Analisis_grupo!$B$7,"(ninguna)",INDEX($J$4:$Q$4,MATCH(MIN(J260:Q260),J260:Q260,0))))</f>
        <v/>
      </c>
      <c r="S260" s="2" t="str">
        <f aca="false">IF($B260="","",COUNTIF(J260:Q260,"&lt;"&amp;Analisis_grupo!$B$7))</f>
        <v/>
      </c>
      <c r="T260" s="2" t="str">
        <f aca="false">IF($B260="","",COUNTIFS(Datos_items!$B:$B,$B260,Datos_items!$AA:$AA,T$4,Datos_items!$E:$E,Analisis_grupo!$C$4))</f>
        <v/>
      </c>
      <c r="U260" s="2" t="str">
        <f aca="false">IF($B260="","",COUNTIFS(Datos_items!$B:$B,$B260,Datos_items!$AA:$AA,U$4,Datos_items!$E:$E,Analisis_grupo!$C$4))</f>
        <v/>
      </c>
      <c r="V260" s="2" t="str">
        <f aca="false">IF($B260="","",COUNTIFS(Datos_items!$B:$B,$B260,Datos_items!$AA:$AA,V$4,Datos_items!$E:$E,Analisis_grupo!$C$4))</f>
        <v/>
      </c>
      <c r="W260" s="2" t="str">
        <f aca="false">IF($B260="","",COUNTIFS(Datos_items!$B:$B,$B260,Datos_items!$AA:$AA,W$4,Datos_items!$E:$E,Analisis_grupo!$C$4))</f>
        <v/>
      </c>
      <c r="X260" s="2" t="str">
        <f aca="false">IF($B260="","",COUNTIFS(Datos_items!$B:$B,$B260,Datos_items!$AA:$AA,X$4,Datos_items!$E:$E,Analisis_grupo!$C$4))</f>
        <v/>
      </c>
      <c r="Y260" s="2" t="str">
        <f aca="false">IF($B260="","",COUNTIFS(Datos_items!$B:$B,$B260,Datos_items!$AA:$AA,Y$4,Datos_items!$E:$E,Analisis_grupo!$C$4))</f>
        <v/>
      </c>
      <c r="Z260" s="2" t="str">
        <f aca="false">IF($B260="","",COUNTIFS(Datos_items!$B:$B,$B260,Datos_items!$AA:$AA,Z$4,Datos_items!$E:$E,Analisis_grupo!$C$4))</f>
        <v/>
      </c>
      <c r="AA260" s="2" t="str">
        <f aca="false">IF($B260="","",COUNTIFS(Datos_items!$B:$B,$B260,Datos_items!$AA:$AA,AA$4,Datos_items!$E:$E,Analisis_grupo!$C$4))</f>
        <v/>
      </c>
      <c r="AB260" s="2" t="str">
        <f aca="false">IF($B260="","",COUNTIFS(Datos_items!$B:$B,$B260,Datos_items!$AA:$AA,AB$4,Datos_items!$E:$E,Analisis_grupo!$C$4))</f>
        <v/>
      </c>
      <c r="AC260" s="2" t="str">
        <f aca="false">IF($B260="","",COUNTIFS(Datos_items!$B:$B,$B260,Datos_items!$AA:$AA,AC$4,Datos_items!$E:$E,Analisis_grupo!$C$4))</f>
        <v/>
      </c>
      <c r="AD260" s="2" t="str">
        <f aca="false">IF($B260="","",COUNTIFS(Datos_items!$B:$B,$B260,Datos_items!$AA:$AA,AD$4,Datos_items!$E:$E,Analisis_grupo!$C$4))</f>
        <v/>
      </c>
      <c r="AE260" s="2" t="str">
        <f aca="false">IF($B260="","",COUNTIFS(Datos_items!$B:$B,$B260,Datos_items!$AA:$AA,AE$4,Datos_items!$E:$E,Analisis_grupo!$C$4))</f>
        <v/>
      </c>
      <c r="AF260" s="2" t="str">
        <f aca="false">IF($B260="","",COUNTIFS(Datos_items!$B:$B,$B260,Datos_items!$AA:$AA,AF$4,Datos_items!$E:$E,Analisis_grupo!$C$4))</f>
        <v/>
      </c>
      <c r="AG260" s="2" t="str">
        <f aca="false">IF($B260="","",COUNTIFS(Datos_items!$B:$B,$B260,Datos_items!$AA:$AA,AG$4,Datos_items!$E:$E,Analisis_grupo!$C$4))</f>
        <v/>
      </c>
      <c r="AH260" s="2" t="str">
        <f aca="false">IF($B260="","",COUNTIFS(Datos_items!$B:$B,$B260,Datos_items!$AA:$AA,AH$4,Datos_items!$E:$E,Analisis_grupo!$C$4))</f>
        <v/>
      </c>
      <c r="AI260" s="2" t="str">
        <f aca="false">IF($B260="","",COUNTIFS(Datos_items!$B:$B,$B260,Datos_items!$AA:$AA,AI$4,Datos_items!$E:$E,Analisis_grupo!$C$4))</f>
        <v/>
      </c>
      <c r="AJ260" s="2" t="str">
        <f aca="false">IF($B260="","",COUNTIFS(Datos_items!$B:$B,$B260,Datos_items!$AA:$AA,AJ$4,Datos_items!$E:$E,Analisis_grupo!$C$4))</f>
        <v/>
      </c>
      <c r="AK260" s="2" t="str">
        <f aca="false">IF($B260="","",COUNTIFS(Datos_items!$B:$B,$B260,Datos_items!$AA:$AA,AK$4,Datos_items!$E:$E,Analisis_grupo!$C$4))</f>
        <v/>
      </c>
      <c r="AL260" s="2" t="str">
        <f aca="false">IF($B260="","",COUNTIFS(Datos_items!$B:$B,$B260,Datos_items!$AA:$AA,AL$4,Datos_items!$E:$E,Analisis_grupo!$C$4))</f>
        <v/>
      </c>
      <c r="AM260" s="2" t="str">
        <f aca="false">IF($B260="","",IF(MAX(Y260:AL260)=0,"",INDEX($Y$4:$AL$4,MATCH(MAX(Y260:AL260),Y260:AL260,0))))</f>
        <v/>
      </c>
      <c r="AN260" s="2" t="str">
        <f aca="false">IF($B260="","",COUNTIFS(Datos_problemas!$B:$B,$B260,Datos_problemas!$F:$F,"Práctica"))</f>
        <v/>
      </c>
      <c r="AO260" s="2" t="str">
        <f aca="false">IF($B260="","",SUMIFS(Datos_problemas!$AQ:$AQ,Datos_problemas!$B:$B,$B260,Datos_problemas!$F:$F,"Práctica"))</f>
        <v/>
      </c>
      <c r="AP260" s="2" t="str">
        <f aca="false">IF($B260="","",COUNTIFS(Datos_problemas!$B:$B,$B260,Datos_problemas!$F:$F,"Práctica",Datos_problemas!$AS:$AS,"Sí"))</f>
        <v/>
      </c>
    </row>
    <row r="261" customFormat="false" ht="15" hidden="false" customHeight="false" outlineLevel="0" collapsed="false">
      <c r="A261" s="2" t="n">
        <v>257</v>
      </c>
      <c r="B261" s="2" t="str">
        <f aca="false">IFERROR(INDEX(Datos_problemas!$B:$B,MATCH($A261,Datos_problemas!$AV:$AV,0)),"")</f>
        <v/>
      </c>
      <c r="C261" s="2" t="str">
        <f aca="false">IF($B261="","",INDEX(Datos_problemas!$C:$C,MATCH($A261,Datos_problemas!$AV:$AV,0)))</f>
        <v/>
      </c>
      <c r="D261" s="2" t="str">
        <f aca="false">IF($B261="","",INDEX(Datos_problemas!$D:$D,MATCH($A261,Datos_problemas!$AV:$AV,0)))</f>
        <v/>
      </c>
      <c r="E261" s="2" t="str">
        <f aca="false">IF($B261="","",COUNTIFS(Datos_problemas!$B:$B,$B261,Datos_problemas!$F:$F,"Evaluación"))</f>
        <v/>
      </c>
      <c r="F261" s="20" t="str">
        <f aca="false">IF($B261="","",IFERROR(AVERAGEIFS(Datos_problemas!$AE:$AE,Datos_problemas!$B:$B,$B261,Datos_problemas!$F:$F,"Evaluación"),""))</f>
        <v/>
      </c>
      <c r="G261" s="20" t="str">
        <f aca="false">IF($B261="","",IFERROR(AVERAGEIFS(Datos_problemas!$AE:$AE,Datos_problemas!$B:$B,$B261,Datos_problemas!$F:$F,"Evaluación",Datos_problemas!$E:$E,"Diagnóstico"),""))</f>
        <v/>
      </c>
      <c r="H261" s="20" t="str">
        <f aca="false">IF($B261="","",IFERROR(AVERAGEIFS(Datos_problemas!$AE:$AE,Datos_problemas!$B:$B,$B261,Datos_problemas!$F:$F,"Evaluación",Datos_problemas!$E:$E,"Final"),""))</f>
        <v/>
      </c>
      <c r="I261" s="21" t="str">
        <f aca="false">IF(OR(G261="",H261=""),"",IF(G261&gt;=10,"",(H261-G261)/(10-G261)))</f>
        <v/>
      </c>
      <c r="J261" s="18" t="str">
        <f aca="false">IF($B261="","",IFERROR(SUMIFS(Datos_items!$Z:$Z,Datos_items!$B:$B,$B261,Datos_items!$O:$O,J$4,Datos_items!$E:$E,Analisis_grupo!$C$4)/COUNTIFS(Datos_items!$B:$B,$B261,Datos_items!$O:$O,J$4,Datos_items!$E:$E,Analisis_grupo!$C$4),""))</f>
        <v/>
      </c>
      <c r="K261" s="18" t="str">
        <f aca="false">IF($B261="","",IFERROR(SUMIFS(Datos_items!$Z:$Z,Datos_items!$B:$B,$B261,Datos_items!$O:$O,K$4,Datos_items!$E:$E,Analisis_grupo!$C$4)/COUNTIFS(Datos_items!$B:$B,$B261,Datos_items!$O:$O,K$4,Datos_items!$E:$E,Analisis_grupo!$C$4),""))</f>
        <v/>
      </c>
      <c r="L261" s="18" t="str">
        <f aca="false">IF($B261="","",IFERROR(SUMIFS(Datos_items!$Z:$Z,Datos_items!$B:$B,$B261,Datos_items!$O:$O,L$4,Datos_items!$E:$E,Analisis_grupo!$C$4)/COUNTIFS(Datos_items!$B:$B,$B261,Datos_items!$O:$O,L$4,Datos_items!$E:$E,Analisis_grupo!$C$4),""))</f>
        <v/>
      </c>
      <c r="M261" s="18" t="str">
        <f aca="false">IF($B261="","",IFERROR(SUMIFS(Datos_items!$Z:$Z,Datos_items!$B:$B,$B261,Datos_items!$O:$O,M$4,Datos_items!$E:$E,Analisis_grupo!$C$4)/COUNTIFS(Datos_items!$B:$B,$B261,Datos_items!$O:$O,M$4,Datos_items!$E:$E,Analisis_grupo!$C$4),""))</f>
        <v/>
      </c>
      <c r="N261" s="18" t="str">
        <f aca="false">IF($B261="","",IFERROR(SUMIFS(Datos_items!$Z:$Z,Datos_items!$B:$B,$B261,Datos_items!$O:$O,N$4,Datos_items!$E:$E,Analisis_grupo!$C$4)/COUNTIFS(Datos_items!$B:$B,$B261,Datos_items!$O:$O,N$4,Datos_items!$E:$E,Analisis_grupo!$C$4),""))</f>
        <v/>
      </c>
      <c r="O261" s="18" t="str">
        <f aca="false">IF($B261="","",IFERROR(SUMIFS(Datos_items!$Z:$Z,Datos_items!$B:$B,$B261,Datos_items!$O:$O,O$4,Datos_items!$E:$E,Analisis_grupo!$C$4)/COUNTIFS(Datos_items!$B:$B,$B261,Datos_items!$O:$O,O$4,Datos_items!$E:$E,Analisis_grupo!$C$4),""))</f>
        <v/>
      </c>
      <c r="P261" s="18" t="str">
        <f aca="false">IF($B261="","",IFERROR(SUMIFS(Datos_items!$Z:$Z,Datos_items!$B:$B,$B261,Datos_items!$O:$O,P$4,Datos_items!$E:$E,Analisis_grupo!$C$4)/COUNTIFS(Datos_items!$B:$B,$B261,Datos_items!$O:$O,P$4,Datos_items!$E:$E,Analisis_grupo!$C$4),""))</f>
        <v/>
      </c>
      <c r="Q261" s="18" t="str">
        <f aca="false">IF($B261="","",IFERROR(SUMIFS(Datos_items!$Z:$Z,Datos_items!$B:$B,$B261,Datos_items!$O:$O,Q$4,Datos_items!$E:$E,Analisis_grupo!$C$4)/COUNTIFS(Datos_items!$B:$B,$B261,Datos_items!$O:$O,Q$4,Datos_items!$E:$E,Analisis_grupo!$C$4),""))</f>
        <v/>
      </c>
      <c r="R261" s="2" t="str">
        <f aca="false">IF(COUNT(J261:Q261)=0,"",IF(MIN(J261:Q261)&gt;=Analisis_grupo!$B$7,"(ninguna)",INDEX($J$4:$Q$4,MATCH(MIN(J261:Q261),J261:Q261,0))))</f>
        <v/>
      </c>
      <c r="S261" s="2" t="str">
        <f aca="false">IF($B261="","",COUNTIF(J261:Q261,"&lt;"&amp;Analisis_grupo!$B$7))</f>
        <v/>
      </c>
      <c r="T261" s="2" t="str">
        <f aca="false">IF($B261="","",COUNTIFS(Datos_items!$B:$B,$B261,Datos_items!$AA:$AA,T$4,Datos_items!$E:$E,Analisis_grupo!$C$4))</f>
        <v/>
      </c>
      <c r="U261" s="2" t="str">
        <f aca="false">IF($B261="","",COUNTIFS(Datos_items!$B:$B,$B261,Datos_items!$AA:$AA,U$4,Datos_items!$E:$E,Analisis_grupo!$C$4))</f>
        <v/>
      </c>
      <c r="V261" s="2" t="str">
        <f aca="false">IF($B261="","",COUNTIFS(Datos_items!$B:$B,$B261,Datos_items!$AA:$AA,V$4,Datos_items!$E:$E,Analisis_grupo!$C$4))</f>
        <v/>
      </c>
      <c r="W261" s="2" t="str">
        <f aca="false">IF($B261="","",COUNTIFS(Datos_items!$B:$B,$B261,Datos_items!$AA:$AA,W$4,Datos_items!$E:$E,Analisis_grupo!$C$4))</f>
        <v/>
      </c>
      <c r="X261" s="2" t="str">
        <f aca="false">IF($B261="","",COUNTIFS(Datos_items!$B:$B,$B261,Datos_items!$AA:$AA,X$4,Datos_items!$E:$E,Analisis_grupo!$C$4))</f>
        <v/>
      </c>
      <c r="Y261" s="2" t="str">
        <f aca="false">IF($B261="","",COUNTIFS(Datos_items!$B:$B,$B261,Datos_items!$AA:$AA,Y$4,Datos_items!$E:$E,Analisis_grupo!$C$4))</f>
        <v/>
      </c>
      <c r="Z261" s="2" t="str">
        <f aca="false">IF($B261="","",COUNTIFS(Datos_items!$B:$B,$B261,Datos_items!$AA:$AA,Z$4,Datos_items!$E:$E,Analisis_grupo!$C$4))</f>
        <v/>
      </c>
      <c r="AA261" s="2" t="str">
        <f aca="false">IF($B261="","",COUNTIFS(Datos_items!$B:$B,$B261,Datos_items!$AA:$AA,AA$4,Datos_items!$E:$E,Analisis_grupo!$C$4))</f>
        <v/>
      </c>
      <c r="AB261" s="2" t="str">
        <f aca="false">IF($B261="","",COUNTIFS(Datos_items!$B:$B,$B261,Datos_items!$AA:$AA,AB$4,Datos_items!$E:$E,Analisis_grupo!$C$4))</f>
        <v/>
      </c>
      <c r="AC261" s="2" t="str">
        <f aca="false">IF($B261="","",COUNTIFS(Datos_items!$B:$B,$B261,Datos_items!$AA:$AA,AC$4,Datos_items!$E:$E,Analisis_grupo!$C$4))</f>
        <v/>
      </c>
      <c r="AD261" s="2" t="str">
        <f aca="false">IF($B261="","",COUNTIFS(Datos_items!$B:$B,$B261,Datos_items!$AA:$AA,AD$4,Datos_items!$E:$E,Analisis_grupo!$C$4))</f>
        <v/>
      </c>
      <c r="AE261" s="2" t="str">
        <f aca="false">IF($B261="","",COUNTIFS(Datos_items!$B:$B,$B261,Datos_items!$AA:$AA,AE$4,Datos_items!$E:$E,Analisis_grupo!$C$4))</f>
        <v/>
      </c>
      <c r="AF261" s="2" t="str">
        <f aca="false">IF($B261="","",COUNTIFS(Datos_items!$B:$B,$B261,Datos_items!$AA:$AA,AF$4,Datos_items!$E:$E,Analisis_grupo!$C$4))</f>
        <v/>
      </c>
      <c r="AG261" s="2" t="str">
        <f aca="false">IF($B261="","",COUNTIFS(Datos_items!$B:$B,$B261,Datos_items!$AA:$AA,AG$4,Datos_items!$E:$E,Analisis_grupo!$C$4))</f>
        <v/>
      </c>
      <c r="AH261" s="2" t="str">
        <f aca="false">IF($B261="","",COUNTIFS(Datos_items!$B:$B,$B261,Datos_items!$AA:$AA,AH$4,Datos_items!$E:$E,Analisis_grupo!$C$4))</f>
        <v/>
      </c>
      <c r="AI261" s="2" t="str">
        <f aca="false">IF($B261="","",COUNTIFS(Datos_items!$B:$B,$B261,Datos_items!$AA:$AA,AI$4,Datos_items!$E:$E,Analisis_grupo!$C$4))</f>
        <v/>
      </c>
      <c r="AJ261" s="2" t="str">
        <f aca="false">IF($B261="","",COUNTIFS(Datos_items!$B:$B,$B261,Datos_items!$AA:$AA,AJ$4,Datos_items!$E:$E,Analisis_grupo!$C$4))</f>
        <v/>
      </c>
      <c r="AK261" s="2" t="str">
        <f aca="false">IF($B261="","",COUNTIFS(Datos_items!$B:$B,$B261,Datos_items!$AA:$AA,AK$4,Datos_items!$E:$E,Analisis_grupo!$C$4))</f>
        <v/>
      </c>
      <c r="AL261" s="2" t="str">
        <f aca="false">IF($B261="","",COUNTIFS(Datos_items!$B:$B,$B261,Datos_items!$AA:$AA,AL$4,Datos_items!$E:$E,Analisis_grupo!$C$4))</f>
        <v/>
      </c>
      <c r="AM261" s="2" t="str">
        <f aca="false">IF($B261="","",IF(MAX(Y261:AL261)=0,"",INDEX($Y$4:$AL$4,MATCH(MAX(Y261:AL261),Y261:AL261,0))))</f>
        <v/>
      </c>
      <c r="AN261" s="2" t="str">
        <f aca="false">IF($B261="","",COUNTIFS(Datos_problemas!$B:$B,$B261,Datos_problemas!$F:$F,"Práctica"))</f>
        <v/>
      </c>
      <c r="AO261" s="2" t="str">
        <f aca="false">IF($B261="","",SUMIFS(Datos_problemas!$AQ:$AQ,Datos_problemas!$B:$B,$B261,Datos_problemas!$F:$F,"Práctica"))</f>
        <v/>
      </c>
      <c r="AP261" s="2" t="str">
        <f aca="false">IF($B261="","",COUNTIFS(Datos_problemas!$B:$B,$B261,Datos_problemas!$F:$F,"Práctica",Datos_problemas!$AS:$AS,"Sí"))</f>
        <v/>
      </c>
    </row>
    <row r="262" customFormat="false" ht="15" hidden="false" customHeight="false" outlineLevel="0" collapsed="false">
      <c r="A262" s="2" t="n">
        <v>258</v>
      </c>
      <c r="B262" s="2" t="str">
        <f aca="false">IFERROR(INDEX(Datos_problemas!$B:$B,MATCH($A262,Datos_problemas!$AV:$AV,0)),"")</f>
        <v/>
      </c>
      <c r="C262" s="2" t="str">
        <f aca="false">IF($B262="","",INDEX(Datos_problemas!$C:$C,MATCH($A262,Datos_problemas!$AV:$AV,0)))</f>
        <v/>
      </c>
      <c r="D262" s="2" t="str">
        <f aca="false">IF($B262="","",INDEX(Datos_problemas!$D:$D,MATCH($A262,Datos_problemas!$AV:$AV,0)))</f>
        <v/>
      </c>
      <c r="E262" s="2" t="str">
        <f aca="false">IF($B262="","",COUNTIFS(Datos_problemas!$B:$B,$B262,Datos_problemas!$F:$F,"Evaluación"))</f>
        <v/>
      </c>
      <c r="F262" s="20" t="str">
        <f aca="false">IF($B262="","",IFERROR(AVERAGEIFS(Datos_problemas!$AE:$AE,Datos_problemas!$B:$B,$B262,Datos_problemas!$F:$F,"Evaluación"),""))</f>
        <v/>
      </c>
      <c r="G262" s="20" t="str">
        <f aca="false">IF($B262="","",IFERROR(AVERAGEIFS(Datos_problemas!$AE:$AE,Datos_problemas!$B:$B,$B262,Datos_problemas!$F:$F,"Evaluación",Datos_problemas!$E:$E,"Diagnóstico"),""))</f>
        <v/>
      </c>
      <c r="H262" s="20" t="str">
        <f aca="false">IF($B262="","",IFERROR(AVERAGEIFS(Datos_problemas!$AE:$AE,Datos_problemas!$B:$B,$B262,Datos_problemas!$F:$F,"Evaluación",Datos_problemas!$E:$E,"Final"),""))</f>
        <v/>
      </c>
      <c r="I262" s="21" t="str">
        <f aca="false">IF(OR(G262="",H262=""),"",IF(G262&gt;=10,"",(H262-G262)/(10-G262)))</f>
        <v/>
      </c>
      <c r="J262" s="18" t="str">
        <f aca="false">IF($B262="","",IFERROR(SUMIFS(Datos_items!$Z:$Z,Datos_items!$B:$B,$B262,Datos_items!$O:$O,J$4,Datos_items!$E:$E,Analisis_grupo!$C$4)/COUNTIFS(Datos_items!$B:$B,$B262,Datos_items!$O:$O,J$4,Datos_items!$E:$E,Analisis_grupo!$C$4),""))</f>
        <v/>
      </c>
      <c r="K262" s="18" t="str">
        <f aca="false">IF($B262="","",IFERROR(SUMIFS(Datos_items!$Z:$Z,Datos_items!$B:$B,$B262,Datos_items!$O:$O,K$4,Datos_items!$E:$E,Analisis_grupo!$C$4)/COUNTIFS(Datos_items!$B:$B,$B262,Datos_items!$O:$O,K$4,Datos_items!$E:$E,Analisis_grupo!$C$4),""))</f>
        <v/>
      </c>
      <c r="L262" s="18" t="str">
        <f aca="false">IF($B262="","",IFERROR(SUMIFS(Datos_items!$Z:$Z,Datos_items!$B:$B,$B262,Datos_items!$O:$O,L$4,Datos_items!$E:$E,Analisis_grupo!$C$4)/COUNTIFS(Datos_items!$B:$B,$B262,Datos_items!$O:$O,L$4,Datos_items!$E:$E,Analisis_grupo!$C$4),""))</f>
        <v/>
      </c>
      <c r="M262" s="18" t="str">
        <f aca="false">IF($B262="","",IFERROR(SUMIFS(Datos_items!$Z:$Z,Datos_items!$B:$B,$B262,Datos_items!$O:$O,M$4,Datos_items!$E:$E,Analisis_grupo!$C$4)/COUNTIFS(Datos_items!$B:$B,$B262,Datos_items!$O:$O,M$4,Datos_items!$E:$E,Analisis_grupo!$C$4),""))</f>
        <v/>
      </c>
      <c r="N262" s="18" t="str">
        <f aca="false">IF($B262="","",IFERROR(SUMIFS(Datos_items!$Z:$Z,Datos_items!$B:$B,$B262,Datos_items!$O:$O,N$4,Datos_items!$E:$E,Analisis_grupo!$C$4)/COUNTIFS(Datos_items!$B:$B,$B262,Datos_items!$O:$O,N$4,Datos_items!$E:$E,Analisis_grupo!$C$4),""))</f>
        <v/>
      </c>
      <c r="O262" s="18" t="str">
        <f aca="false">IF($B262="","",IFERROR(SUMIFS(Datos_items!$Z:$Z,Datos_items!$B:$B,$B262,Datos_items!$O:$O,O$4,Datos_items!$E:$E,Analisis_grupo!$C$4)/COUNTIFS(Datos_items!$B:$B,$B262,Datos_items!$O:$O,O$4,Datos_items!$E:$E,Analisis_grupo!$C$4),""))</f>
        <v/>
      </c>
      <c r="P262" s="18" t="str">
        <f aca="false">IF($B262="","",IFERROR(SUMIFS(Datos_items!$Z:$Z,Datos_items!$B:$B,$B262,Datos_items!$O:$O,P$4,Datos_items!$E:$E,Analisis_grupo!$C$4)/COUNTIFS(Datos_items!$B:$B,$B262,Datos_items!$O:$O,P$4,Datos_items!$E:$E,Analisis_grupo!$C$4),""))</f>
        <v/>
      </c>
      <c r="Q262" s="18" t="str">
        <f aca="false">IF($B262="","",IFERROR(SUMIFS(Datos_items!$Z:$Z,Datos_items!$B:$B,$B262,Datos_items!$O:$O,Q$4,Datos_items!$E:$E,Analisis_grupo!$C$4)/COUNTIFS(Datos_items!$B:$B,$B262,Datos_items!$O:$O,Q$4,Datos_items!$E:$E,Analisis_grupo!$C$4),""))</f>
        <v/>
      </c>
      <c r="R262" s="2" t="str">
        <f aca="false">IF(COUNT(J262:Q262)=0,"",IF(MIN(J262:Q262)&gt;=Analisis_grupo!$B$7,"(ninguna)",INDEX($J$4:$Q$4,MATCH(MIN(J262:Q262),J262:Q262,0))))</f>
        <v/>
      </c>
      <c r="S262" s="2" t="str">
        <f aca="false">IF($B262="","",COUNTIF(J262:Q262,"&lt;"&amp;Analisis_grupo!$B$7))</f>
        <v/>
      </c>
      <c r="T262" s="2" t="str">
        <f aca="false">IF($B262="","",COUNTIFS(Datos_items!$B:$B,$B262,Datos_items!$AA:$AA,T$4,Datos_items!$E:$E,Analisis_grupo!$C$4))</f>
        <v/>
      </c>
      <c r="U262" s="2" t="str">
        <f aca="false">IF($B262="","",COUNTIFS(Datos_items!$B:$B,$B262,Datos_items!$AA:$AA,U$4,Datos_items!$E:$E,Analisis_grupo!$C$4))</f>
        <v/>
      </c>
      <c r="V262" s="2" t="str">
        <f aca="false">IF($B262="","",COUNTIFS(Datos_items!$B:$B,$B262,Datos_items!$AA:$AA,V$4,Datos_items!$E:$E,Analisis_grupo!$C$4))</f>
        <v/>
      </c>
      <c r="W262" s="2" t="str">
        <f aca="false">IF($B262="","",COUNTIFS(Datos_items!$B:$B,$B262,Datos_items!$AA:$AA,W$4,Datos_items!$E:$E,Analisis_grupo!$C$4))</f>
        <v/>
      </c>
      <c r="X262" s="2" t="str">
        <f aca="false">IF($B262="","",COUNTIFS(Datos_items!$B:$B,$B262,Datos_items!$AA:$AA,X$4,Datos_items!$E:$E,Analisis_grupo!$C$4))</f>
        <v/>
      </c>
      <c r="Y262" s="2" t="str">
        <f aca="false">IF($B262="","",COUNTIFS(Datos_items!$B:$B,$B262,Datos_items!$AA:$AA,Y$4,Datos_items!$E:$E,Analisis_grupo!$C$4))</f>
        <v/>
      </c>
      <c r="Z262" s="2" t="str">
        <f aca="false">IF($B262="","",COUNTIFS(Datos_items!$B:$B,$B262,Datos_items!$AA:$AA,Z$4,Datos_items!$E:$E,Analisis_grupo!$C$4))</f>
        <v/>
      </c>
      <c r="AA262" s="2" t="str">
        <f aca="false">IF($B262="","",COUNTIFS(Datos_items!$B:$B,$B262,Datos_items!$AA:$AA,AA$4,Datos_items!$E:$E,Analisis_grupo!$C$4))</f>
        <v/>
      </c>
      <c r="AB262" s="2" t="str">
        <f aca="false">IF($B262="","",COUNTIFS(Datos_items!$B:$B,$B262,Datos_items!$AA:$AA,AB$4,Datos_items!$E:$E,Analisis_grupo!$C$4))</f>
        <v/>
      </c>
      <c r="AC262" s="2" t="str">
        <f aca="false">IF($B262="","",COUNTIFS(Datos_items!$B:$B,$B262,Datos_items!$AA:$AA,AC$4,Datos_items!$E:$E,Analisis_grupo!$C$4))</f>
        <v/>
      </c>
      <c r="AD262" s="2" t="str">
        <f aca="false">IF($B262="","",COUNTIFS(Datos_items!$B:$B,$B262,Datos_items!$AA:$AA,AD$4,Datos_items!$E:$E,Analisis_grupo!$C$4))</f>
        <v/>
      </c>
      <c r="AE262" s="2" t="str">
        <f aca="false">IF($B262="","",COUNTIFS(Datos_items!$B:$B,$B262,Datos_items!$AA:$AA,AE$4,Datos_items!$E:$E,Analisis_grupo!$C$4))</f>
        <v/>
      </c>
      <c r="AF262" s="2" t="str">
        <f aca="false">IF($B262="","",COUNTIFS(Datos_items!$B:$B,$B262,Datos_items!$AA:$AA,AF$4,Datos_items!$E:$E,Analisis_grupo!$C$4))</f>
        <v/>
      </c>
      <c r="AG262" s="2" t="str">
        <f aca="false">IF($B262="","",COUNTIFS(Datos_items!$B:$B,$B262,Datos_items!$AA:$AA,AG$4,Datos_items!$E:$E,Analisis_grupo!$C$4))</f>
        <v/>
      </c>
      <c r="AH262" s="2" t="str">
        <f aca="false">IF($B262="","",COUNTIFS(Datos_items!$B:$B,$B262,Datos_items!$AA:$AA,AH$4,Datos_items!$E:$E,Analisis_grupo!$C$4))</f>
        <v/>
      </c>
      <c r="AI262" s="2" t="str">
        <f aca="false">IF($B262="","",COUNTIFS(Datos_items!$B:$B,$B262,Datos_items!$AA:$AA,AI$4,Datos_items!$E:$E,Analisis_grupo!$C$4))</f>
        <v/>
      </c>
      <c r="AJ262" s="2" t="str">
        <f aca="false">IF($B262="","",COUNTIFS(Datos_items!$B:$B,$B262,Datos_items!$AA:$AA,AJ$4,Datos_items!$E:$E,Analisis_grupo!$C$4))</f>
        <v/>
      </c>
      <c r="AK262" s="2" t="str">
        <f aca="false">IF($B262="","",COUNTIFS(Datos_items!$B:$B,$B262,Datos_items!$AA:$AA,AK$4,Datos_items!$E:$E,Analisis_grupo!$C$4))</f>
        <v/>
      </c>
      <c r="AL262" s="2" t="str">
        <f aca="false">IF($B262="","",COUNTIFS(Datos_items!$B:$B,$B262,Datos_items!$AA:$AA,AL$4,Datos_items!$E:$E,Analisis_grupo!$C$4))</f>
        <v/>
      </c>
      <c r="AM262" s="2" t="str">
        <f aca="false">IF($B262="","",IF(MAX(Y262:AL262)=0,"",INDEX($Y$4:$AL$4,MATCH(MAX(Y262:AL262),Y262:AL262,0))))</f>
        <v/>
      </c>
      <c r="AN262" s="2" t="str">
        <f aca="false">IF($B262="","",COUNTIFS(Datos_problemas!$B:$B,$B262,Datos_problemas!$F:$F,"Práctica"))</f>
        <v/>
      </c>
      <c r="AO262" s="2" t="str">
        <f aca="false">IF($B262="","",SUMIFS(Datos_problemas!$AQ:$AQ,Datos_problemas!$B:$B,$B262,Datos_problemas!$F:$F,"Práctica"))</f>
        <v/>
      </c>
      <c r="AP262" s="2" t="str">
        <f aca="false">IF($B262="","",COUNTIFS(Datos_problemas!$B:$B,$B262,Datos_problemas!$F:$F,"Práctica",Datos_problemas!$AS:$AS,"Sí"))</f>
        <v/>
      </c>
    </row>
    <row r="263" customFormat="false" ht="15" hidden="false" customHeight="false" outlineLevel="0" collapsed="false">
      <c r="A263" s="2" t="n">
        <v>259</v>
      </c>
      <c r="B263" s="2" t="str">
        <f aca="false">IFERROR(INDEX(Datos_problemas!$B:$B,MATCH($A263,Datos_problemas!$AV:$AV,0)),"")</f>
        <v/>
      </c>
      <c r="C263" s="2" t="str">
        <f aca="false">IF($B263="","",INDEX(Datos_problemas!$C:$C,MATCH($A263,Datos_problemas!$AV:$AV,0)))</f>
        <v/>
      </c>
      <c r="D263" s="2" t="str">
        <f aca="false">IF($B263="","",INDEX(Datos_problemas!$D:$D,MATCH($A263,Datos_problemas!$AV:$AV,0)))</f>
        <v/>
      </c>
      <c r="E263" s="2" t="str">
        <f aca="false">IF($B263="","",COUNTIFS(Datos_problemas!$B:$B,$B263,Datos_problemas!$F:$F,"Evaluación"))</f>
        <v/>
      </c>
      <c r="F263" s="20" t="str">
        <f aca="false">IF($B263="","",IFERROR(AVERAGEIFS(Datos_problemas!$AE:$AE,Datos_problemas!$B:$B,$B263,Datos_problemas!$F:$F,"Evaluación"),""))</f>
        <v/>
      </c>
      <c r="G263" s="20" t="str">
        <f aca="false">IF($B263="","",IFERROR(AVERAGEIFS(Datos_problemas!$AE:$AE,Datos_problemas!$B:$B,$B263,Datos_problemas!$F:$F,"Evaluación",Datos_problemas!$E:$E,"Diagnóstico"),""))</f>
        <v/>
      </c>
      <c r="H263" s="20" t="str">
        <f aca="false">IF($B263="","",IFERROR(AVERAGEIFS(Datos_problemas!$AE:$AE,Datos_problemas!$B:$B,$B263,Datos_problemas!$F:$F,"Evaluación",Datos_problemas!$E:$E,"Final"),""))</f>
        <v/>
      </c>
      <c r="I263" s="21" t="str">
        <f aca="false">IF(OR(G263="",H263=""),"",IF(G263&gt;=10,"",(H263-G263)/(10-G263)))</f>
        <v/>
      </c>
      <c r="J263" s="18" t="str">
        <f aca="false">IF($B263="","",IFERROR(SUMIFS(Datos_items!$Z:$Z,Datos_items!$B:$B,$B263,Datos_items!$O:$O,J$4,Datos_items!$E:$E,Analisis_grupo!$C$4)/COUNTIFS(Datos_items!$B:$B,$B263,Datos_items!$O:$O,J$4,Datos_items!$E:$E,Analisis_grupo!$C$4),""))</f>
        <v/>
      </c>
      <c r="K263" s="18" t="str">
        <f aca="false">IF($B263="","",IFERROR(SUMIFS(Datos_items!$Z:$Z,Datos_items!$B:$B,$B263,Datos_items!$O:$O,K$4,Datos_items!$E:$E,Analisis_grupo!$C$4)/COUNTIFS(Datos_items!$B:$B,$B263,Datos_items!$O:$O,K$4,Datos_items!$E:$E,Analisis_grupo!$C$4),""))</f>
        <v/>
      </c>
      <c r="L263" s="18" t="str">
        <f aca="false">IF($B263="","",IFERROR(SUMIFS(Datos_items!$Z:$Z,Datos_items!$B:$B,$B263,Datos_items!$O:$O,L$4,Datos_items!$E:$E,Analisis_grupo!$C$4)/COUNTIFS(Datos_items!$B:$B,$B263,Datos_items!$O:$O,L$4,Datos_items!$E:$E,Analisis_grupo!$C$4),""))</f>
        <v/>
      </c>
      <c r="M263" s="18" t="str">
        <f aca="false">IF($B263="","",IFERROR(SUMIFS(Datos_items!$Z:$Z,Datos_items!$B:$B,$B263,Datos_items!$O:$O,M$4,Datos_items!$E:$E,Analisis_grupo!$C$4)/COUNTIFS(Datos_items!$B:$B,$B263,Datos_items!$O:$O,M$4,Datos_items!$E:$E,Analisis_grupo!$C$4),""))</f>
        <v/>
      </c>
      <c r="N263" s="18" t="str">
        <f aca="false">IF($B263="","",IFERROR(SUMIFS(Datos_items!$Z:$Z,Datos_items!$B:$B,$B263,Datos_items!$O:$O,N$4,Datos_items!$E:$E,Analisis_grupo!$C$4)/COUNTIFS(Datos_items!$B:$B,$B263,Datos_items!$O:$O,N$4,Datos_items!$E:$E,Analisis_grupo!$C$4),""))</f>
        <v/>
      </c>
      <c r="O263" s="18" t="str">
        <f aca="false">IF($B263="","",IFERROR(SUMIFS(Datos_items!$Z:$Z,Datos_items!$B:$B,$B263,Datos_items!$O:$O,O$4,Datos_items!$E:$E,Analisis_grupo!$C$4)/COUNTIFS(Datos_items!$B:$B,$B263,Datos_items!$O:$O,O$4,Datos_items!$E:$E,Analisis_grupo!$C$4),""))</f>
        <v/>
      </c>
      <c r="P263" s="18" t="str">
        <f aca="false">IF($B263="","",IFERROR(SUMIFS(Datos_items!$Z:$Z,Datos_items!$B:$B,$B263,Datos_items!$O:$O,P$4,Datos_items!$E:$E,Analisis_grupo!$C$4)/COUNTIFS(Datos_items!$B:$B,$B263,Datos_items!$O:$O,P$4,Datos_items!$E:$E,Analisis_grupo!$C$4),""))</f>
        <v/>
      </c>
      <c r="Q263" s="18" t="str">
        <f aca="false">IF($B263="","",IFERROR(SUMIFS(Datos_items!$Z:$Z,Datos_items!$B:$B,$B263,Datos_items!$O:$O,Q$4,Datos_items!$E:$E,Analisis_grupo!$C$4)/COUNTIFS(Datos_items!$B:$B,$B263,Datos_items!$O:$O,Q$4,Datos_items!$E:$E,Analisis_grupo!$C$4),""))</f>
        <v/>
      </c>
      <c r="R263" s="2" t="str">
        <f aca="false">IF(COUNT(J263:Q263)=0,"",IF(MIN(J263:Q263)&gt;=Analisis_grupo!$B$7,"(ninguna)",INDEX($J$4:$Q$4,MATCH(MIN(J263:Q263),J263:Q263,0))))</f>
        <v/>
      </c>
      <c r="S263" s="2" t="str">
        <f aca="false">IF($B263="","",COUNTIF(J263:Q263,"&lt;"&amp;Analisis_grupo!$B$7))</f>
        <v/>
      </c>
      <c r="T263" s="2" t="str">
        <f aca="false">IF($B263="","",COUNTIFS(Datos_items!$B:$B,$B263,Datos_items!$AA:$AA,T$4,Datos_items!$E:$E,Analisis_grupo!$C$4))</f>
        <v/>
      </c>
      <c r="U263" s="2" t="str">
        <f aca="false">IF($B263="","",COUNTIFS(Datos_items!$B:$B,$B263,Datos_items!$AA:$AA,U$4,Datos_items!$E:$E,Analisis_grupo!$C$4))</f>
        <v/>
      </c>
      <c r="V263" s="2" t="str">
        <f aca="false">IF($B263="","",COUNTIFS(Datos_items!$B:$B,$B263,Datos_items!$AA:$AA,V$4,Datos_items!$E:$E,Analisis_grupo!$C$4))</f>
        <v/>
      </c>
      <c r="W263" s="2" t="str">
        <f aca="false">IF($B263="","",COUNTIFS(Datos_items!$B:$B,$B263,Datos_items!$AA:$AA,W$4,Datos_items!$E:$E,Analisis_grupo!$C$4))</f>
        <v/>
      </c>
      <c r="X263" s="2" t="str">
        <f aca="false">IF($B263="","",COUNTIFS(Datos_items!$B:$B,$B263,Datos_items!$AA:$AA,X$4,Datos_items!$E:$E,Analisis_grupo!$C$4))</f>
        <v/>
      </c>
      <c r="Y263" s="2" t="str">
        <f aca="false">IF($B263="","",COUNTIFS(Datos_items!$B:$B,$B263,Datos_items!$AA:$AA,Y$4,Datos_items!$E:$E,Analisis_grupo!$C$4))</f>
        <v/>
      </c>
      <c r="Z263" s="2" t="str">
        <f aca="false">IF($B263="","",COUNTIFS(Datos_items!$B:$B,$B263,Datos_items!$AA:$AA,Z$4,Datos_items!$E:$E,Analisis_grupo!$C$4))</f>
        <v/>
      </c>
      <c r="AA263" s="2" t="str">
        <f aca="false">IF($B263="","",COUNTIFS(Datos_items!$B:$B,$B263,Datos_items!$AA:$AA,AA$4,Datos_items!$E:$E,Analisis_grupo!$C$4))</f>
        <v/>
      </c>
      <c r="AB263" s="2" t="str">
        <f aca="false">IF($B263="","",COUNTIFS(Datos_items!$B:$B,$B263,Datos_items!$AA:$AA,AB$4,Datos_items!$E:$E,Analisis_grupo!$C$4))</f>
        <v/>
      </c>
      <c r="AC263" s="2" t="str">
        <f aca="false">IF($B263="","",COUNTIFS(Datos_items!$B:$B,$B263,Datos_items!$AA:$AA,AC$4,Datos_items!$E:$E,Analisis_grupo!$C$4))</f>
        <v/>
      </c>
      <c r="AD263" s="2" t="str">
        <f aca="false">IF($B263="","",COUNTIFS(Datos_items!$B:$B,$B263,Datos_items!$AA:$AA,AD$4,Datos_items!$E:$E,Analisis_grupo!$C$4))</f>
        <v/>
      </c>
      <c r="AE263" s="2" t="str">
        <f aca="false">IF($B263="","",COUNTIFS(Datos_items!$B:$B,$B263,Datos_items!$AA:$AA,AE$4,Datos_items!$E:$E,Analisis_grupo!$C$4))</f>
        <v/>
      </c>
      <c r="AF263" s="2" t="str">
        <f aca="false">IF($B263="","",COUNTIFS(Datos_items!$B:$B,$B263,Datos_items!$AA:$AA,AF$4,Datos_items!$E:$E,Analisis_grupo!$C$4))</f>
        <v/>
      </c>
      <c r="AG263" s="2" t="str">
        <f aca="false">IF($B263="","",COUNTIFS(Datos_items!$B:$B,$B263,Datos_items!$AA:$AA,AG$4,Datos_items!$E:$E,Analisis_grupo!$C$4))</f>
        <v/>
      </c>
      <c r="AH263" s="2" t="str">
        <f aca="false">IF($B263="","",COUNTIFS(Datos_items!$B:$B,$B263,Datos_items!$AA:$AA,AH$4,Datos_items!$E:$E,Analisis_grupo!$C$4))</f>
        <v/>
      </c>
      <c r="AI263" s="2" t="str">
        <f aca="false">IF($B263="","",COUNTIFS(Datos_items!$B:$B,$B263,Datos_items!$AA:$AA,AI$4,Datos_items!$E:$E,Analisis_grupo!$C$4))</f>
        <v/>
      </c>
      <c r="AJ263" s="2" t="str">
        <f aca="false">IF($B263="","",COUNTIFS(Datos_items!$B:$B,$B263,Datos_items!$AA:$AA,AJ$4,Datos_items!$E:$E,Analisis_grupo!$C$4))</f>
        <v/>
      </c>
      <c r="AK263" s="2" t="str">
        <f aca="false">IF($B263="","",COUNTIFS(Datos_items!$B:$B,$B263,Datos_items!$AA:$AA,AK$4,Datos_items!$E:$E,Analisis_grupo!$C$4))</f>
        <v/>
      </c>
      <c r="AL263" s="2" t="str">
        <f aca="false">IF($B263="","",COUNTIFS(Datos_items!$B:$B,$B263,Datos_items!$AA:$AA,AL$4,Datos_items!$E:$E,Analisis_grupo!$C$4))</f>
        <v/>
      </c>
      <c r="AM263" s="2" t="str">
        <f aca="false">IF($B263="","",IF(MAX(Y263:AL263)=0,"",INDEX($Y$4:$AL$4,MATCH(MAX(Y263:AL263),Y263:AL263,0))))</f>
        <v/>
      </c>
      <c r="AN263" s="2" t="str">
        <f aca="false">IF($B263="","",COUNTIFS(Datos_problemas!$B:$B,$B263,Datos_problemas!$F:$F,"Práctica"))</f>
        <v/>
      </c>
      <c r="AO263" s="2" t="str">
        <f aca="false">IF($B263="","",SUMIFS(Datos_problemas!$AQ:$AQ,Datos_problemas!$B:$B,$B263,Datos_problemas!$F:$F,"Práctica"))</f>
        <v/>
      </c>
      <c r="AP263" s="2" t="str">
        <f aca="false">IF($B263="","",COUNTIFS(Datos_problemas!$B:$B,$B263,Datos_problemas!$F:$F,"Práctica",Datos_problemas!$AS:$AS,"Sí"))</f>
        <v/>
      </c>
    </row>
    <row r="264" customFormat="false" ht="15" hidden="false" customHeight="false" outlineLevel="0" collapsed="false">
      <c r="A264" s="2" t="n">
        <v>260</v>
      </c>
      <c r="B264" s="2" t="str">
        <f aca="false">IFERROR(INDEX(Datos_problemas!$B:$B,MATCH($A264,Datos_problemas!$AV:$AV,0)),"")</f>
        <v/>
      </c>
      <c r="C264" s="2" t="str">
        <f aca="false">IF($B264="","",INDEX(Datos_problemas!$C:$C,MATCH($A264,Datos_problemas!$AV:$AV,0)))</f>
        <v/>
      </c>
      <c r="D264" s="2" t="str">
        <f aca="false">IF($B264="","",INDEX(Datos_problemas!$D:$D,MATCH($A264,Datos_problemas!$AV:$AV,0)))</f>
        <v/>
      </c>
      <c r="E264" s="2" t="str">
        <f aca="false">IF($B264="","",COUNTIFS(Datos_problemas!$B:$B,$B264,Datos_problemas!$F:$F,"Evaluación"))</f>
        <v/>
      </c>
      <c r="F264" s="20" t="str">
        <f aca="false">IF($B264="","",IFERROR(AVERAGEIFS(Datos_problemas!$AE:$AE,Datos_problemas!$B:$B,$B264,Datos_problemas!$F:$F,"Evaluación"),""))</f>
        <v/>
      </c>
      <c r="G264" s="20" t="str">
        <f aca="false">IF($B264="","",IFERROR(AVERAGEIFS(Datos_problemas!$AE:$AE,Datos_problemas!$B:$B,$B264,Datos_problemas!$F:$F,"Evaluación",Datos_problemas!$E:$E,"Diagnóstico"),""))</f>
        <v/>
      </c>
      <c r="H264" s="20" t="str">
        <f aca="false">IF($B264="","",IFERROR(AVERAGEIFS(Datos_problemas!$AE:$AE,Datos_problemas!$B:$B,$B264,Datos_problemas!$F:$F,"Evaluación",Datos_problemas!$E:$E,"Final"),""))</f>
        <v/>
      </c>
      <c r="I264" s="21" t="str">
        <f aca="false">IF(OR(G264="",H264=""),"",IF(G264&gt;=10,"",(H264-G264)/(10-G264)))</f>
        <v/>
      </c>
      <c r="J264" s="18" t="str">
        <f aca="false">IF($B264="","",IFERROR(SUMIFS(Datos_items!$Z:$Z,Datos_items!$B:$B,$B264,Datos_items!$O:$O,J$4,Datos_items!$E:$E,Analisis_grupo!$C$4)/COUNTIFS(Datos_items!$B:$B,$B264,Datos_items!$O:$O,J$4,Datos_items!$E:$E,Analisis_grupo!$C$4),""))</f>
        <v/>
      </c>
      <c r="K264" s="18" t="str">
        <f aca="false">IF($B264="","",IFERROR(SUMIFS(Datos_items!$Z:$Z,Datos_items!$B:$B,$B264,Datos_items!$O:$O,K$4,Datos_items!$E:$E,Analisis_grupo!$C$4)/COUNTIFS(Datos_items!$B:$B,$B264,Datos_items!$O:$O,K$4,Datos_items!$E:$E,Analisis_grupo!$C$4),""))</f>
        <v/>
      </c>
      <c r="L264" s="18" t="str">
        <f aca="false">IF($B264="","",IFERROR(SUMIFS(Datos_items!$Z:$Z,Datos_items!$B:$B,$B264,Datos_items!$O:$O,L$4,Datos_items!$E:$E,Analisis_grupo!$C$4)/COUNTIFS(Datos_items!$B:$B,$B264,Datos_items!$O:$O,L$4,Datos_items!$E:$E,Analisis_grupo!$C$4),""))</f>
        <v/>
      </c>
      <c r="M264" s="18" t="str">
        <f aca="false">IF($B264="","",IFERROR(SUMIFS(Datos_items!$Z:$Z,Datos_items!$B:$B,$B264,Datos_items!$O:$O,M$4,Datos_items!$E:$E,Analisis_grupo!$C$4)/COUNTIFS(Datos_items!$B:$B,$B264,Datos_items!$O:$O,M$4,Datos_items!$E:$E,Analisis_grupo!$C$4),""))</f>
        <v/>
      </c>
      <c r="N264" s="18" t="str">
        <f aca="false">IF($B264="","",IFERROR(SUMIFS(Datos_items!$Z:$Z,Datos_items!$B:$B,$B264,Datos_items!$O:$O,N$4,Datos_items!$E:$E,Analisis_grupo!$C$4)/COUNTIFS(Datos_items!$B:$B,$B264,Datos_items!$O:$O,N$4,Datos_items!$E:$E,Analisis_grupo!$C$4),""))</f>
        <v/>
      </c>
      <c r="O264" s="18" t="str">
        <f aca="false">IF($B264="","",IFERROR(SUMIFS(Datos_items!$Z:$Z,Datos_items!$B:$B,$B264,Datos_items!$O:$O,O$4,Datos_items!$E:$E,Analisis_grupo!$C$4)/COUNTIFS(Datos_items!$B:$B,$B264,Datos_items!$O:$O,O$4,Datos_items!$E:$E,Analisis_grupo!$C$4),""))</f>
        <v/>
      </c>
      <c r="P264" s="18" t="str">
        <f aca="false">IF($B264="","",IFERROR(SUMIFS(Datos_items!$Z:$Z,Datos_items!$B:$B,$B264,Datos_items!$O:$O,P$4,Datos_items!$E:$E,Analisis_grupo!$C$4)/COUNTIFS(Datos_items!$B:$B,$B264,Datos_items!$O:$O,P$4,Datos_items!$E:$E,Analisis_grupo!$C$4),""))</f>
        <v/>
      </c>
      <c r="Q264" s="18" t="str">
        <f aca="false">IF($B264="","",IFERROR(SUMIFS(Datos_items!$Z:$Z,Datos_items!$B:$B,$B264,Datos_items!$O:$O,Q$4,Datos_items!$E:$E,Analisis_grupo!$C$4)/COUNTIFS(Datos_items!$B:$B,$B264,Datos_items!$O:$O,Q$4,Datos_items!$E:$E,Analisis_grupo!$C$4),""))</f>
        <v/>
      </c>
      <c r="R264" s="2" t="str">
        <f aca="false">IF(COUNT(J264:Q264)=0,"",IF(MIN(J264:Q264)&gt;=Analisis_grupo!$B$7,"(ninguna)",INDEX($J$4:$Q$4,MATCH(MIN(J264:Q264),J264:Q264,0))))</f>
        <v/>
      </c>
      <c r="S264" s="2" t="str">
        <f aca="false">IF($B264="","",COUNTIF(J264:Q264,"&lt;"&amp;Analisis_grupo!$B$7))</f>
        <v/>
      </c>
      <c r="T264" s="2" t="str">
        <f aca="false">IF($B264="","",COUNTIFS(Datos_items!$B:$B,$B264,Datos_items!$AA:$AA,T$4,Datos_items!$E:$E,Analisis_grupo!$C$4))</f>
        <v/>
      </c>
      <c r="U264" s="2" t="str">
        <f aca="false">IF($B264="","",COUNTIFS(Datos_items!$B:$B,$B264,Datos_items!$AA:$AA,U$4,Datos_items!$E:$E,Analisis_grupo!$C$4))</f>
        <v/>
      </c>
      <c r="V264" s="2" t="str">
        <f aca="false">IF($B264="","",COUNTIFS(Datos_items!$B:$B,$B264,Datos_items!$AA:$AA,V$4,Datos_items!$E:$E,Analisis_grupo!$C$4))</f>
        <v/>
      </c>
      <c r="W264" s="2" t="str">
        <f aca="false">IF($B264="","",COUNTIFS(Datos_items!$B:$B,$B264,Datos_items!$AA:$AA,W$4,Datos_items!$E:$E,Analisis_grupo!$C$4))</f>
        <v/>
      </c>
      <c r="X264" s="2" t="str">
        <f aca="false">IF($B264="","",COUNTIFS(Datos_items!$B:$B,$B264,Datos_items!$AA:$AA,X$4,Datos_items!$E:$E,Analisis_grupo!$C$4))</f>
        <v/>
      </c>
      <c r="Y264" s="2" t="str">
        <f aca="false">IF($B264="","",COUNTIFS(Datos_items!$B:$B,$B264,Datos_items!$AA:$AA,Y$4,Datos_items!$E:$E,Analisis_grupo!$C$4))</f>
        <v/>
      </c>
      <c r="Z264" s="2" t="str">
        <f aca="false">IF($B264="","",COUNTIFS(Datos_items!$B:$B,$B264,Datos_items!$AA:$AA,Z$4,Datos_items!$E:$E,Analisis_grupo!$C$4))</f>
        <v/>
      </c>
      <c r="AA264" s="2" t="str">
        <f aca="false">IF($B264="","",COUNTIFS(Datos_items!$B:$B,$B264,Datos_items!$AA:$AA,AA$4,Datos_items!$E:$E,Analisis_grupo!$C$4))</f>
        <v/>
      </c>
      <c r="AB264" s="2" t="str">
        <f aca="false">IF($B264="","",COUNTIFS(Datos_items!$B:$B,$B264,Datos_items!$AA:$AA,AB$4,Datos_items!$E:$E,Analisis_grupo!$C$4))</f>
        <v/>
      </c>
      <c r="AC264" s="2" t="str">
        <f aca="false">IF($B264="","",COUNTIFS(Datos_items!$B:$B,$B264,Datos_items!$AA:$AA,AC$4,Datos_items!$E:$E,Analisis_grupo!$C$4))</f>
        <v/>
      </c>
      <c r="AD264" s="2" t="str">
        <f aca="false">IF($B264="","",COUNTIFS(Datos_items!$B:$B,$B264,Datos_items!$AA:$AA,AD$4,Datos_items!$E:$E,Analisis_grupo!$C$4))</f>
        <v/>
      </c>
      <c r="AE264" s="2" t="str">
        <f aca="false">IF($B264="","",COUNTIFS(Datos_items!$B:$B,$B264,Datos_items!$AA:$AA,AE$4,Datos_items!$E:$E,Analisis_grupo!$C$4))</f>
        <v/>
      </c>
      <c r="AF264" s="2" t="str">
        <f aca="false">IF($B264="","",COUNTIFS(Datos_items!$B:$B,$B264,Datos_items!$AA:$AA,AF$4,Datos_items!$E:$E,Analisis_grupo!$C$4))</f>
        <v/>
      </c>
      <c r="AG264" s="2" t="str">
        <f aca="false">IF($B264="","",COUNTIFS(Datos_items!$B:$B,$B264,Datos_items!$AA:$AA,AG$4,Datos_items!$E:$E,Analisis_grupo!$C$4))</f>
        <v/>
      </c>
      <c r="AH264" s="2" t="str">
        <f aca="false">IF($B264="","",COUNTIFS(Datos_items!$B:$B,$B264,Datos_items!$AA:$AA,AH$4,Datos_items!$E:$E,Analisis_grupo!$C$4))</f>
        <v/>
      </c>
      <c r="AI264" s="2" t="str">
        <f aca="false">IF($B264="","",COUNTIFS(Datos_items!$B:$B,$B264,Datos_items!$AA:$AA,AI$4,Datos_items!$E:$E,Analisis_grupo!$C$4))</f>
        <v/>
      </c>
      <c r="AJ264" s="2" t="str">
        <f aca="false">IF($B264="","",COUNTIFS(Datos_items!$B:$B,$B264,Datos_items!$AA:$AA,AJ$4,Datos_items!$E:$E,Analisis_grupo!$C$4))</f>
        <v/>
      </c>
      <c r="AK264" s="2" t="str">
        <f aca="false">IF($B264="","",COUNTIFS(Datos_items!$B:$B,$B264,Datos_items!$AA:$AA,AK$4,Datos_items!$E:$E,Analisis_grupo!$C$4))</f>
        <v/>
      </c>
      <c r="AL264" s="2" t="str">
        <f aca="false">IF($B264="","",COUNTIFS(Datos_items!$B:$B,$B264,Datos_items!$AA:$AA,AL$4,Datos_items!$E:$E,Analisis_grupo!$C$4))</f>
        <v/>
      </c>
      <c r="AM264" s="2" t="str">
        <f aca="false">IF($B264="","",IF(MAX(Y264:AL264)=0,"",INDEX($Y$4:$AL$4,MATCH(MAX(Y264:AL264),Y264:AL264,0))))</f>
        <v/>
      </c>
      <c r="AN264" s="2" t="str">
        <f aca="false">IF($B264="","",COUNTIFS(Datos_problemas!$B:$B,$B264,Datos_problemas!$F:$F,"Práctica"))</f>
        <v/>
      </c>
      <c r="AO264" s="2" t="str">
        <f aca="false">IF($B264="","",SUMIFS(Datos_problemas!$AQ:$AQ,Datos_problemas!$B:$B,$B264,Datos_problemas!$F:$F,"Práctica"))</f>
        <v/>
      </c>
      <c r="AP264" s="2" t="str">
        <f aca="false">IF($B264="","",COUNTIFS(Datos_problemas!$B:$B,$B264,Datos_problemas!$F:$F,"Práctica",Datos_problemas!$AS:$AS,"Sí"))</f>
        <v/>
      </c>
    </row>
    <row r="265" customFormat="false" ht="15" hidden="false" customHeight="false" outlineLevel="0" collapsed="false">
      <c r="A265" s="2" t="n">
        <v>261</v>
      </c>
      <c r="B265" s="2" t="str">
        <f aca="false">IFERROR(INDEX(Datos_problemas!$B:$B,MATCH($A265,Datos_problemas!$AV:$AV,0)),"")</f>
        <v/>
      </c>
      <c r="C265" s="2" t="str">
        <f aca="false">IF($B265="","",INDEX(Datos_problemas!$C:$C,MATCH($A265,Datos_problemas!$AV:$AV,0)))</f>
        <v/>
      </c>
      <c r="D265" s="2" t="str">
        <f aca="false">IF($B265="","",INDEX(Datos_problemas!$D:$D,MATCH($A265,Datos_problemas!$AV:$AV,0)))</f>
        <v/>
      </c>
      <c r="E265" s="2" t="str">
        <f aca="false">IF($B265="","",COUNTIFS(Datos_problemas!$B:$B,$B265,Datos_problemas!$F:$F,"Evaluación"))</f>
        <v/>
      </c>
      <c r="F265" s="20" t="str">
        <f aca="false">IF($B265="","",IFERROR(AVERAGEIFS(Datos_problemas!$AE:$AE,Datos_problemas!$B:$B,$B265,Datos_problemas!$F:$F,"Evaluación"),""))</f>
        <v/>
      </c>
      <c r="G265" s="20" t="str">
        <f aca="false">IF($B265="","",IFERROR(AVERAGEIFS(Datos_problemas!$AE:$AE,Datos_problemas!$B:$B,$B265,Datos_problemas!$F:$F,"Evaluación",Datos_problemas!$E:$E,"Diagnóstico"),""))</f>
        <v/>
      </c>
      <c r="H265" s="20" t="str">
        <f aca="false">IF($B265="","",IFERROR(AVERAGEIFS(Datos_problemas!$AE:$AE,Datos_problemas!$B:$B,$B265,Datos_problemas!$F:$F,"Evaluación",Datos_problemas!$E:$E,"Final"),""))</f>
        <v/>
      </c>
      <c r="I265" s="21" t="str">
        <f aca="false">IF(OR(G265="",H265=""),"",IF(G265&gt;=10,"",(H265-G265)/(10-G265)))</f>
        <v/>
      </c>
      <c r="J265" s="18" t="str">
        <f aca="false">IF($B265="","",IFERROR(SUMIFS(Datos_items!$Z:$Z,Datos_items!$B:$B,$B265,Datos_items!$O:$O,J$4,Datos_items!$E:$E,Analisis_grupo!$C$4)/COUNTIFS(Datos_items!$B:$B,$B265,Datos_items!$O:$O,J$4,Datos_items!$E:$E,Analisis_grupo!$C$4),""))</f>
        <v/>
      </c>
      <c r="K265" s="18" t="str">
        <f aca="false">IF($B265="","",IFERROR(SUMIFS(Datos_items!$Z:$Z,Datos_items!$B:$B,$B265,Datos_items!$O:$O,K$4,Datos_items!$E:$E,Analisis_grupo!$C$4)/COUNTIFS(Datos_items!$B:$B,$B265,Datos_items!$O:$O,K$4,Datos_items!$E:$E,Analisis_grupo!$C$4),""))</f>
        <v/>
      </c>
      <c r="L265" s="18" t="str">
        <f aca="false">IF($B265="","",IFERROR(SUMIFS(Datos_items!$Z:$Z,Datos_items!$B:$B,$B265,Datos_items!$O:$O,L$4,Datos_items!$E:$E,Analisis_grupo!$C$4)/COUNTIFS(Datos_items!$B:$B,$B265,Datos_items!$O:$O,L$4,Datos_items!$E:$E,Analisis_grupo!$C$4),""))</f>
        <v/>
      </c>
      <c r="M265" s="18" t="str">
        <f aca="false">IF($B265="","",IFERROR(SUMIFS(Datos_items!$Z:$Z,Datos_items!$B:$B,$B265,Datos_items!$O:$O,M$4,Datos_items!$E:$E,Analisis_grupo!$C$4)/COUNTIFS(Datos_items!$B:$B,$B265,Datos_items!$O:$O,M$4,Datos_items!$E:$E,Analisis_grupo!$C$4),""))</f>
        <v/>
      </c>
      <c r="N265" s="18" t="str">
        <f aca="false">IF($B265="","",IFERROR(SUMIFS(Datos_items!$Z:$Z,Datos_items!$B:$B,$B265,Datos_items!$O:$O,N$4,Datos_items!$E:$E,Analisis_grupo!$C$4)/COUNTIFS(Datos_items!$B:$B,$B265,Datos_items!$O:$O,N$4,Datos_items!$E:$E,Analisis_grupo!$C$4),""))</f>
        <v/>
      </c>
      <c r="O265" s="18" t="str">
        <f aca="false">IF($B265="","",IFERROR(SUMIFS(Datos_items!$Z:$Z,Datos_items!$B:$B,$B265,Datos_items!$O:$O,O$4,Datos_items!$E:$E,Analisis_grupo!$C$4)/COUNTIFS(Datos_items!$B:$B,$B265,Datos_items!$O:$O,O$4,Datos_items!$E:$E,Analisis_grupo!$C$4),""))</f>
        <v/>
      </c>
      <c r="P265" s="18" t="str">
        <f aca="false">IF($B265="","",IFERROR(SUMIFS(Datos_items!$Z:$Z,Datos_items!$B:$B,$B265,Datos_items!$O:$O,P$4,Datos_items!$E:$E,Analisis_grupo!$C$4)/COUNTIFS(Datos_items!$B:$B,$B265,Datos_items!$O:$O,P$4,Datos_items!$E:$E,Analisis_grupo!$C$4),""))</f>
        <v/>
      </c>
      <c r="Q265" s="18" t="str">
        <f aca="false">IF($B265="","",IFERROR(SUMIFS(Datos_items!$Z:$Z,Datos_items!$B:$B,$B265,Datos_items!$O:$O,Q$4,Datos_items!$E:$E,Analisis_grupo!$C$4)/COUNTIFS(Datos_items!$B:$B,$B265,Datos_items!$O:$O,Q$4,Datos_items!$E:$E,Analisis_grupo!$C$4),""))</f>
        <v/>
      </c>
      <c r="R265" s="2" t="str">
        <f aca="false">IF(COUNT(J265:Q265)=0,"",IF(MIN(J265:Q265)&gt;=Analisis_grupo!$B$7,"(ninguna)",INDEX($J$4:$Q$4,MATCH(MIN(J265:Q265),J265:Q265,0))))</f>
        <v/>
      </c>
      <c r="S265" s="2" t="str">
        <f aca="false">IF($B265="","",COUNTIF(J265:Q265,"&lt;"&amp;Analisis_grupo!$B$7))</f>
        <v/>
      </c>
      <c r="T265" s="2" t="str">
        <f aca="false">IF($B265="","",COUNTIFS(Datos_items!$B:$B,$B265,Datos_items!$AA:$AA,T$4,Datos_items!$E:$E,Analisis_grupo!$C$4))</f>
        <v/>
      </c>
      <c r="U265" s="2" t="str">
        <f aca="false">IF($B265="","",COUNTIFS(Datos_items!$B:$B,$B265,Datos_items!$AA:$AA,U$4,Datos_items!$E:$E,Analisis_grupo!$C$4))</f>
        <v/>
      </c>
      <c r="V265" s="2" t="str">
        <f aca="false">IF($B265="","",COUNTIFS(Datos_items!$B:$B,$B265,Datos_items!$AA:$AA,V$4,Datos_items!$E:$E,Analisis_grupo!$C$4))</f>
        <v/>
      </c>
      <c r="W265" s="2" t="str">
        <f aca="false">IF($B265="","",COUNTIFS(Datos_items!$B:$B,$B265,Datos_items!$AA:$AA,W$4,Datos_items!$E:$E,Analisis_grupo!$C$4))</f>
        <v/>
      </c>
      <c r="X265" s="2" t="str">
        <f aca="false">IF($B265="","",COUNTIFS(Datos_items!$B:$B,$B265,Datos_items!$AA:$AA,X$4,Datos_items!$E:$E,Analisis_grupo!$C$4))</f>
        <v/>
      </c>
      <c r="Y265" s="2" t="str">
        <f aca="false">IF($B265="","",COUNTIFS(Datos_items!$B:$B,$B265,Datos_items!$AA:$AA,Y$4,Datos_items!$E:$E,Analisis_grupo!$C$4))</f>
        <v/>
      </c>
      <c r="Z265" s="2" t="str">
        <f aca="false">IF($B265="","",COUNTIFS(Datos_items!$B:$B,$B265,Datos_items!$AA:$AA,Z$4,Datos_items!$E:$E,Analisis_grupo!$C$4))</f>
        <v/>
      </c>
      <c r="AA265" s="2" t="str">
        <f aca="false">IF($B265="","",COUNTIFS(Datos_items!$B:$B,$B265,Datos_items!$AA:$AA,AA$4,Datos_items!$E:$E,Analisis_grupo!$C$4))</f>
        <v/>
      </c>
      <c r="AB265" s="2" t="str">
        <f aca="false">IF($B265="","",COUNTIFS(Datos_items!$B:$B,$B265,Datos_items!$AA:$AA,AB$4,Datos_items!$E:$E,Analisis_grupo!$C$4))</f>
        <v/>
      </c>
      <c r="AC265" s="2" t="str">
        <f aca="false">IF($B265="","",COUNTIFS(Datos_items!$B:$B,$B265,Datos_items!$AA:$AA,AC$4,Datos_items!$E:$E,Analisis_grupo!$C$4))</f>
        <v/>
      </c>
      <c r="AD265" s="2" t="str">
        <f aca="false">IF($B265="","",COUNTIFS(Datos_items!$B:$B,$B265,Datos_items!$AA:$AA,AD$4,Datos_items!$E:$E,Analisis_grupo!$C$4))</f>
        <v/>
      </c>
      <c r="AE265" s="2" t="str">
        <f aca="false">IF($B265="","",COUNTIFS(Datos_items!$B:$B,$B265,Datos_items!$AA:$AA,AE$4,Datos_items!$E:$E,Analisis_grupo!$C$4))</f>
        <v/>
      </c>
      <c r="AF265" s="2" t="str">
        <f aca="false">IF($B265="","",COUNTIFS(Datos_items!$B:$B,$B265,Datos_items!$AA:$AA,AF$4,Datos_items!$E:$E,Analisis_grupo!$C$4))</f>
        <v/>
      </c>
      <c r="AG265" s="2" t="str">
        <f aca="false">IF($B265="","",COUNTIFS(Datos_items!$B:$B,$B265,Datos_items!$AA:$AA,AG$4,Datos_items!$E:$E,Analisis_grupo!$C$4))</f>
        <v/>
      </c>
      <c r="AH265" s="2" t="str">
        <f aca="false">IF($B265="","",COUNTIFS(Datos_items!$B:$B,$B265,Datos_items!$AA:$AA,AH$4,Datos_items!$E:$E,Analisis_grupo!$C$4))</f>
        <v/>
      </c>
      <c r="AI265" s="2" t="str">
        <f aca="false">IF($B265="","",COUNTIFS(Datos_items!$B:$B,$B265,Datos_items!$AA:$AA,AI$4,Datos_items!$E:$E,Analisis_grupo!$C$4))</f>
        <v/>
      </c>
      <c r="AJ265" s="2" t="str">
        <f aca="false">IF($B265="","",COUNTIFS(Datos_items!$B:$B,$B265,Datos_items!$AA:$AA,AJ$4,Datos_items!$E:$E,Analisis_grupo!$C$4))</f>
        <v/>
      </c>
      <c r="AK265" s="2" t="str">
        <f aca="false">IF($B265="","",COUNTIFS(Datos_items!$B:$B,$B265,Datos_items!$AA:$AA,AK$4,Datos_items!$E:$E,Analisis_grupo!$C$4))</f>
        <v/>
      </c>
      <c r="AL265" s="2" t="str">
        <f aca="false">IF($B265="","",COUNTIFS(Datos_items!$B:$B,$B265,Datos_items!$AA:$AA,AL$4,Datos_items!$E:$E,Analisis_grupo!$C$4))</f>
        <v/>
      </c>
      <c r="AM265" s="2" t="str">
        <f aca="false">IF($B265="","",IF(MAX(Y265:AL265)=0,"",INDEX($Y$4:$AL$4,MATCH(MAX(Y265:AL265),Y265:AL265,0))))</f>
        <v/>
      </c>
      <c r="AN265" s="2" t="str">
        <f aca="false">IF($B265="","",COUNTIFS(Datos_problemas!$B:$B,$B265,Datos_problemas!$F:$F,"Práctica"))</f>
        <v/>
      </c>
      <c r="AO265" s="2" t="str">
        <f aca="false">IF($B265="","",SUMIFS(Datos_problemas!$AQ:$AQ,Datos_problemas!$B:$B,$B265,Datos_problemas!$F:$F,"Práctica"))</f>
        <v/>
      </c>
      <c r="AP265" s="2" t="str">
        <f aca="false">IF($B265="","",COUNTIFS(Datos_problemas!$B:$B,$B265,Datos_problemas!$F:$F,"Práctica",Datos_problemas!$AS:$AS,"Sí"))</f>
        <v/>
      </c>
    </row>
    <row r="266" customFormat="false" ht="15" hidden="false" customHeight="false" outlineLevel="0" collapsed="false">
      <c r="A266" s="2" t="n">
        <v>262</v>
      </c>
      <c r="B266" s="2" t="str">
        <f aca="false">IFERROR(INDEX(Datos_problemas!$B:$B,MATCH($A266,Datos_problemas!$AV:$AV,0)),"")</f>
        <v/>
      </c>
      <c r="C266" s="2" t="str">
        <f aca="false">IF($B266="","",INDEX(Datos_problemas!$C:$C,MATCH($A266,Datos_problemas!$AV:$AV,0)))</f>
        <v/>
      </c>
      <c r="D266" s="2" t="str">
        <f aca="false">IF($B266="","",INDEX(Datos_problemas!$D:$D,MATCH($A266,Datos_problemas!$AV:$AV,0)))</f>
        <v/>
      </c>
      <c r="E266" s="2" t="str">
        <f aca="false">IF($B266="","",COUNTIFS(Datos_problemas!$B:$B,$B266,Datos_problemas!$F:$F,"Evaluación"))</f>
        <v/>
      </c>
      <c r="F266" s="20" t="str">
        <f aca="false">IF($B266="","",IFERROR(AVERAGEIFS(Datos_problemas!$AE:$AE,Datos_problemas!$B:$B,$B266,Datos_problemas!$F:$F,"Evaluación"),""))</f>
        <v/>
      </c>
      <c r="G266" s="20" t="str">
        <f aca="false">IF($B266="","",IFERROR(AVERAGEIFS(Datos_problemas!$AE:$AE,Datos_problemas!$B:$B,$B266,Datos_problemas!$F:$F,"Evaluación",Datos_problemas!$E:$E,"Diagnóstico"),""))</f>
        <v/>
      </c>
      <c r="H266" s="20" t="str">
        <f aca="false">IF($B266="","",IFERROR(AVERAGEIFS(Datos_problemas!$AE:$AE,Datos_problemas!$B:$B,$B266,Datos_problemas!$F:$F,"Evaluación",Datos_problemas!$E:$E,"Final"),""))</f>
        <v/>
      </c>
      <c r="I266" s="21" t="str">
        <f aca="false">IF(OR(G266="",H266=""),"",IF(G266&gt;=10,"",(H266-G266)/(10-G266)))</f>
        <v/>
      </c>
      <c r="J266" s="18" t="str">
        <f aca="false">IF($B266="","",IFERROR(SUMIFS(Datos_items!$Z:$Z,Datos_items!$B:$B,$B266,Datos_items!$O:$O,J$4,Datos_items!$E:$E,Analisis_grupo!$C$4)/COUNTIFS(Datos_items!$B:$B,$B266,Datos_items!$O:$O,J$4,Datos_items!$E:$E,Analisis_grupo!$C$4),""))</f>
        <v/>
      </c>
      <c r="K266" s="18" t="str">
        <f aca="false">IF($B266="","",IFERROR(SUMIFS(Datos_items!$Z:$Z,Datos_items!$B:$B,$B266,Datos_items!$O:$O,K$4,Datos_items!$E:$E,Analisis_grupo!$C$4)/COUNTIFS(Datos_items!$B:$B,$B266,Datos_items!$O:$O,K$4,Datos_items!$E:$E,Analisis_grupo!$C$4),""))</f>
        <v/>
      </c>
      <c r="L266" s="18" t="str">
        <f aca="false">IF($B266="","",IFERROR(SUMIFS(Datos_items!$Z:$Z,Datos_items!$B:$B,$B266,Datos_items!$O:$O,L$4,Datos_items!$E:$E,Analisis_grupo!$C$4)/COUNTIFS(Datos_items!$B:$B,$B266,Datos_items!$O:$O,L$4,Datos_items!$E:$E,Analisis_grupo!$C$4),""))</f>
        <v/>
      </c>
      <c r="M266" s="18" t="str">
        <f aca="false">IF($B266="","",IFERROR(SUMIFS(Datos_items!$Z:$Z,Datos_items!$B:$B,$B266,Datos_items!$O:$O,M$4,Datos_items!$E:$E,Analisis_grupo!$C$4)/COUNTIFS(Datos_items!$B:$B,$B266,Datos_items!$O:$O,M$4,Datos_items!$E:$E,Analisis_grupo!$C$4),""))</f>
        <v/>
      </c>
      <c r="N266" s="18" t="str">
        <f aca="false">IF($B266="","",IFERROR(SUMIFS(Datos_items!$Z:$Z,Datos_items!$B:$B,$B266,Datos_items!$O:$O,N$4,Datos_items!$E:$E,Analisis_grupo!$C$4)/COUNTIFS(Datos_items!$B:$B,$B266,Datos_items!$O:$O,N$4,Datos_items!$E:$E,Analisis_grupo!$C$4),""))</f>
        <v/>
      </c>
      <c r="O266" s="18" t="str">
        <f aca="false">IF($B266="","",IFERROR(SUMIFS(Datos_items!$Z:$Z,Datos_items!$B:$B,$B266,Datos_items!$O:$O,O$4,Datos_items!$E:$E,Analisis_grupo!$C$4)/COUNTIFS(Datos_items!$B:$B,$B266,Datos_items!$O:$O,O$4,Datos_items!$E:$E,Analisis_grupo!$C$4),""))</f>
        <v/>
      </c>
      <c r="P266" s="18" t="str">
        <f aca="false">IF($B266="","",IFERROR(SUMIFS(Datos_items!$Z:$Z,Datos_items!$B:$B,$B266,Datos_items!$O:$O,P$4,Datos_items!$E:$E,Analisis_grupo!$C$4)/COUNTIFS(Datos_items!$B:$B,$B266,Datos_items!$O:$O,P$4,Datos_items!$E:$E,Analisis_grupo!$C$4),""))</f>
        <v/>
      </c>
      <c r="Q266" s="18" t="str">
        <f aca="false">IF($B266="","",IFERROR(SUMIFS(Datos_items!$Z:$Z,Datos_items!$B:$B,$B266,Datos_items!$O:$O,Q$4,Datos_items!$E:$E,Analisis_grupo!$C$4)/COUNTIFS(Datos_items!$B:$B,$B266,Datos_items!$O:$O,Q$4,Datos_items!$E:$E,Analisis_grupo!$C$4),""))</f>
        <v/>
      </c>
      <c r="R266" s="2" t="str">
        <f aca="false">IF(COUNT(J266:Q266)=0,"",IF(MIN(J266:Q266)&gt;=Analisis_grupo!$B$7,"(ninguna)",INDEX($J$4:$Q$4,MATCH(MIN(J266:Q266),J266:Q266,0))))</f>
        <v/>
      </c>
      <c r="S266" s="2" t="str">
        <f aca="false">IF($B266="","",COUNTIF(J266:Q266,"&lt;"&amp;Analisis_grupo!$B$7))</f>
        <v/>
      </c>
      <c r="T266" s="2" t="str">
        <f aca="false">IF($B266="","",COUNTIFS(Datos_items!$B:$B,$B266,Datos_items!$AA:$AA,T$4,Datos_items!$E:$E,Analisis_grupo!$C$4))</f>
        <v/>
      </c>
      <c r="U266" s="2" t="str">
        <f aca="false">IF($B266="","",COUNTIFS(Datos_items!$B:$B,$B266,Datos_items!$AA:$AA,U$4,Datos_items!$E:$E,Analisis_grupo!$C$4))</f>
        <v/>
      </c>
      <c r="V266" s="2" t="str">
        <f aca="false">IF($B266="","",COUNTIFS(Datos_items!$B:$B,$B266,Datos_items!$AA:$AA,V$4,Datos_items!$E:$E,Analisis_grupo!$C$4))</f>
        <v/>
      </c>
      <c r="W266" s="2" t="str">
        <f aca="false">IF($B266="","",COUNTIFS(Datos_items!$B:$B,$B266,Datos_items!$AA:$AA,W$4,Datos_items!$E:$E,Analisis_grupo!$C$4))</f>
        <v/>
      </c>
      <c r="X266" s="2" t="str">
        <f aca="false">IF($B266="","",COUNTIFS(Datos_items!$B:$B,$B266,Datos_items!$AA:$AA,X$4,Datos_items!$E:$E,Analisis_grupo!$C$4))</f>
        <v/>
      </c>
      <c r="Y266" s="2" t="str">
        <f aca="false">IF($B266="","",COUNTIFS(Datos_items!$B:$B,$B266,Datos_items!$AA:$AA,Y$4,Datos_items!$E:$E,Analisis_grupo!$C$4))</f>
        <v/>
      </c>
      <c r="Z266" s="2" t="str">
        <f aca="false">IF($B266="","",COUNTIFS(Datos_items!$B:$B,$B266,Datos_items!$AA:$AA,Z$4,Datos_items!$E:$E,Analisis_grupo!$C$4))</f>
        <v/>
      </c>
      <c r="AA266" s="2" t="str">
        <f aca="false">IF($B266="","",COUNTIFS(Datos_items!$B:$B,$B266,Datos_items!$AA:$AA,AA$4,Datos_items!$E:$E,Analisis_grupo!$C$4))</f>
        <v/>
      </c>
      <c r="AB266" s="2" t="str">
        <f aca="false">IF($B266="","",COUNTIFS(Datos_items!$B:$B,$B266,Datos_items!$AA:$AA,AB$4,Datos_items!$E:$E,Analisis_grupo!$C$4))</f>
        <v/>
      </c>
      <c r="AC266" s="2" t="str">
        <f aca="false">IF($B266="","",COUNTIFS(Datos_items!$B:$B,$B266,Datos_items!$AA:$AA,AC$4,Datos_items!$E:$E,Analisis_grupo!$C$4))</f>
        <v/>
      </c>
      <c r="AD266" s="2" t="str">
        <f aca="false">IF($B266="","",COUNTIFS(Datos_items!$B:$B,$B266,Datos_items!$AA:$AA,AD$4,Datos_items!$E:$E,Analisis_grupo!$C$4))</f>
        <v/>
      </c>
      <c r="AE266" s="2" t="str">
        <f aca="false">IF($B266="","",COUNTIFS(Datos_items!$B:$B,$B266,Datos_items!$AA:$AA,AE$4,Datos_items!$E:$E,Analisis_grupo!$C$4))</f>
        <v/>
      </c>
      <c r="AF266" s="2" t="str">
        <f aca="false">IF($B266="","",COUNTIFS(Datos_items!$B:$B,$B266,Datos_items!$AA:$AA,AF$4,Datos_items!$E:$E,Analisis_grupo!$C$4))</f>
        <v/>
      </c>
      <c r="AG266" s="2" t="str">
        <f aca="false">IF($B266="","",COUNTIFS(Datos_items!$B:$B,$B266,Datos_items!$AA:$AA,AG$4,Datos_items!$E:$E,Analisis_grupo!$C$4))</f>
        <v/>
      </c>
      <c r="AH266" s="2" t="str">
        <f aca="false">IF($B266="","",COUNTIFS(Datos_items!$B:$B,$B266,Datos_items!$AA:$AA,AH$4,Datos_items!$E:$E,Analisis_grupo!$C$4))</f>
        <v/>
      </c>
      <c r="AI266" s="2" t="str">
        <f aca="false">IF($B266="","",COUNTIFS(Datos_items!$B:$B,$B266,Datos_items!$AA:$AA,AI$4,Datos_items!$E:$E,Analisis_grupo!$C$4))</f>
        <v/>
      </c>
      <c r="AJ266" s="2" t="str">
        <f aca="false">IF($B266="","",COUNTIFS(Datos_items!$B:$B,$B266,Datos_items!$AA:$AA,AJ$4,Datos_items!$E:$E,Analisis_grupo!$C$4))</f>
        <v/>
      </c>
      <c r="AK266" s="2" t="str">
        <f aca="false">IF($B266="","",COUNTIFS(Datos_items!$B:$B,$B266,Datos_items!$AA:$AA,AK$4,Datos_items!$E:$E,Analisis_grupo!$C$4))</f>
        <v/>
      </c>
      <c r="AL266" s="2" t="str">
        <f aca="false">IF($B266="","",COUNTIFS(Datos_items!$B:$B,$B266,Datos_items!$AA:$AA,AL$4,Datos_items!$E:$E,Analisis_grupo!$C$4))</f>
        <v/>
      </c>
      <c r="AM266" s="2" t="str">
        <f aca="false">IF($B266="","",IF(MAX(Y266:AL266)=0,"",INDEX($Y$4:$AL$4,MATCH(MAX(Y266:AL266),Y266:AL266,0))))</f>
        <v/>
      </c>
      <c r="AN266" s="2" t="str">
        <f aca="false">IF($B266="","",COUNTIFS(Datos_problemas!$B:$B,$B266,Datos_problemas!$F:$F,"Práctica"))</f>
        <v/>
      </c>
      <c r="AO266" s="2" t="str">
        <f aca="false">IF($B266="","",SUMIFS(Datos_problemas!$AQ:$AQ,Datos_problemas!$B:$B,$B266,Datos_problemas!$F:$F,"Práctica"))</f>
        <v/>
      </c>
      <c r="AP266" s="2" t="str">
        <f aca="false">IF($B266="","",COUNTIFS(Datos_problemas!$B:$B,$B266,Datos_problemas!$F:$F,"Práctica",Datos_problemas!$AS:$AS,"Sí"))</f>
        <v/>
      </c>
    </row>
    <row r="267" customFormat="false" ht="15" hidden="false" customHeight="false" outlineLevel="0" collapsed="false">
      <c r="A267" s="2" t="n">
        <v>263</v>
      </c>
      <c r="B267" s="2" t="str">
        <f aca="false">IFERROR(INDEX(Datos_problemas!$B:$B,MATCH($A267,Datos_problemas!$AV:$AV,0)),"")</f>
        <v/>
      </c>
      <c r="C267" s="2" t="str">
        <f aca="false">IF($B267="","",INDEX(Datos_problemas!$C:$C,MATCH($A267,Datos_problemas!$AV:$AV,0)))</f>
        <v/>
      </c>
      <c r="D267" s="2" t="str">
        <f aca="false">IF($B267="","",INDEX(Datos_problemas!$D:$D,MATCH($A267,Datos_problemas!$AV:$AV,0)))</f>
        <v/>
      </c>
      <c r="E267" s="2" t="str">
        <f aca="false">IF($B267="","",COUNTIFS(Datos_problemas!$B:$B,$B267,Datos_problemas!$F:$F,"Evaluación"))</f>
        <v/>
      </c>
      <c r="F267" s="20" t="str">
        <f aca="false">IF($B267="","",IFERROR(AVERAGEIFS(Datos_problemas!$AE:$AE,Datos_problemas!$B:$B,$B267,Datos_problemas!$F:$F,"Evaluación"),""))</f>
        <v/>
      </c>
      <c r="G267" s="20" t="str">
        <f aca="false">IF($B267="","",IFERROR(AVERAGEIFS(Datos_problemas!$AE:$AE,Datos_problemas!$B:$B,$B267,Datos_problemas!$F:$F,"Evaluación",Datos_problemas!$E:$E,"Diagnóstico"),""))</f>
        <v/>
      </c>
      <c r="H267" s="20" t="str">
        <f aca="false">IF($B267="","",IFERROR(AVERAGEIFS(Datos_problemas!$AE:$AE,Datos_problemas!$B:$B,$B267,Datos_problemas!$F:$F,"Evaluación",Datos_problemas!$E:$E,"Final"),""))</f>
        <v/>
      </c>
      <c r="I267" s="21" t="str">
        <f aca="false">IF(OR(G267="",H267=""),"",IF(G267&gt;=10,"",(H267-G267)/(10-G267)))</f>
        <v/>
      </c>
      <c r="J267" s="18" t="str">
        <f aca="false">IF($B267="","",IFERROR(SUMIFS(Datos_items!$Z:$Z,Datos_items!$B:$B,$B267,Datos_items!$O:$O,J$4,Datos_items!$E:$E,Analisis_grupo!$C$4)/COUNTIFS(Datos_items!$B:$B,$B267,Datos_items!$O:$O,J$4,Datos_items!$E:$E,Analisis_grupo!$C$4),""))</f>
        <v/>
      </c>
      <c r="K267" s="18" t="str">
        <f aca="false">IF($B267="","",IFERROR(SUMIFS(Datos_items!$Z:$Z,Datos_items!$B:$B,$B267,Datos_items!$O:$O,K$4,Datos_items!$E:$E,Analisis_grupo!$C$4)/COUNTIFS(Datos_items!$B:$B,$B267,Datos_items!$O:$O,K$4,Datos_items!$E:$E,Analisis_grupo!$C$4),""))</f>
        <v/>
      </c>
      <c r="L267" s="18" t="str">
        <f aca="false">IF($B267="","",IFERROR(SUMIFS(Datos_items!$Z:$Z,Datos_items!$B:$B,$B267,Datos_items!$O:$O,L$4,Datos_items!$E:$E,Analisis_grupo!$C$4)/COUNTIFS(Datos_items!$B:$B,$B267,Datos_items!$O:$O,L$4,Datos_items!$E:$E,Analisis_grupo!$C$4),""))</f>
        <v/>
      </c>
      <c r="M267" s="18" t="str">
        <f aca="false">IF($B267="","",IFERROR(SUMIFS(Datos_items!$Z:$Z,Datos_items!$B:$B,$B267,Datos_items!$O:$O,M$4,Datos_items!$E:$E,Analisis_grupo!$C$4)/COUNTIFS(Datos_items!$B:$B,$B267,Datos_items!$O:$O,M$4,Datos_items!$E:$E,Analisis_grupo!$C$4),""))</f>
        <v/>
      </c>
      <c r="N267" s="18" t="str">
        <f aca="false">IF($B267="","",IFERROR(SUMIFS(Datos_items!$Z:$Z,Datos_items!$B:$B,$B267,Datos_items!$O:$O,N$4,Datos_items!$E:$E,Analisis_grupo!$C$4)/COUNTIFS(Datos_items!$B:$B,$B267,Datos_items!$O:$O,N$4,Datos_items!$E:$E,Analisis_grupo!$C$4),""))</f>
        <v/>
      </c>
      <c r="O267" s="18" t="str">
        <f aca="false">IF($B267="","",IFERROR(SUMIFS(Datos_items!$Z:$Z,Datos_items!$B:$B,$B267,Datos_items!$O:$O,O$4,Datos_items!$E:$E,Analisis_grupo!$C$4)/COUNTIFS(Datos_items!$B:$B,$B267,Datos_items!$O:$O,O$4,Datos_items!$E:$E,Analisis_grupo!$C$4),""))</f>
        <v/>
      </c>
      <c r="P267" s="18" t="str">
        <f aca="false">IF($B267="","",IFERROR(SUMIFS(Datos_items!$Z:$Z,Datos_items!$B:$B,$B267,Datos_items!$O:$O,P$4,Datos_items!$E:$E,Analisis_grupo!$C$4)/COUNTIFS(Datos_items!$B:$B,$B267,Datos_items!$O:$O,P$4,Datos_items!$E:$E,Analisis_grupo!$C$4),""))</f>
        <v/>
      </c>
      <c r="Q267" s="18" t="str">
        <f aca="false">IF($B267="","",IFERROR(SUMIFS(Datos_items!$Z:$Z,Datos_items!$B:$B,$B267,Datos_items!$O:$O,Q$4,Datos_items!$E:$E,Analisis_grupo!$C$4)/COUNTIFS(Datos_items!$B:$B,$B267,Datos_items!$O:$O,Q$4,Datos_items!$E:$E,Analisis_grupo!$C$4),""))</f>
        <v/>
      </c>
      <c r="R267" s="2" t="str">
        <f aca="false">IF(COUNT(J267:Q267)=0,"",IF(MIN(J267:Q267)&gt;=Analisis_grupo!$B$7,"(ninguna)",INDEX($J$4:$Q$4,MATCH(MIN(J267:Q267),J267:Q267,0))))</f>
        <v/>
      </c>
      <c r="S267" s="2" t="str">
        <f aca="false">IF($B267="","",COUNTIF(J267:Q267,"&lt;"&amp;Analisis_grupo!$B$7))</f>
        <v/>
      </c>
      <c r="T267" s="2" t="str">
        <f aca="false">IF($B267="","",COUNTIFS(Datos_items!$B:$B,$B267,Datos_items!$AA:$AA,T$4,Datos_items!$E:$E,Analisis_grupo!$C$4))</f>
        <v/>
      </c>
      <c r="U267" s="2" t="str">
        <f aca="false">IF($B267="","",COUNTIFS(Datos_items!$B:$B,$B267,Datos_items!$AA:$AA,U$4,Datos_items!$E:$E,Analisis_grupo!$C$4))</f>
        <v/>
      </c>
      <c r="V267" s="2" t="str">
        <f aca="false">IF($B267="","",COUNTIFS(Datos_items!$B:$B,$B267,Datos_items!$AA:$AA,V$4,Datos_items!$E:$E,Analisis_grupo!$C$4))</f>
        <v/>
      </c>
      <c r="W267" s="2" t="str">
        <f aca="false">IF($B267="","",COUNTIFS(Datos_items!$B:$B,$B267,Datos_items!$AA:$AA,W$4,Datos_items!$E:$E,Analisis_grupo!$C$4))</f>
        <v/>
      </c>
      <c r="X267" s="2" t="str">
        <f aca="false">IF($B267="","",COUNTIFS(Datos_items!$B:$B,$B267,Datos_items!$AA:$AA,X$4,Datos_items!$E:$E,Analisis_grupo!$C$4))</f>
        <v/>
      </c>
      <c r="Y267" s="2" t="str">
        <f aca="false">IF($B267="","",COUNTIFS(Datos_items!$B:$B,$B267,Datos_items!$AA:$AA,Y$4,Datos_items!$E:$E,Analisis_grupo!$C$4))</f>
        <v/>
      </c>
      <c r="Z267" s="2" t="str">
        <f aca="false">IF($B267="","",COUNTIFS(Datos_items!$B:$B,$B267,Datos_items!$AA:$AA,Z$4,Datos_items!$E:$E,Analisis_grupo!$C$4))</f>
        <v/>
      </c>
      <c r="AA267" s="2" t="str">
        <f aca="false">IF($B267="","",COUNTIFS(Datos_items!$B:$B,$B267,Datos_items!$AA:$AA,AA$4,Datos_items!$E:$E,Analisis_grupo!$C$4))</f>
        <v/>
      </c>
      <c r="AB267" s="2" t="str">
        <f aca="false">IF($B267="","",COUNTIFS(Datos_items!$B:$B,$B267,Datos_items!$AA:$AA,AB$4,Datos_items!$E:$E,Analisis_grupo!$C$4))</f>
        <v/>
      </c>
      <c r="AC267" s="2" t="str">
        <f aca="false">IF($B267="","",COUNTIFS(Datos_items!$B:$B,$B267,Datos_items!$AA:$AA,AC$4,Datos_items!$E:$E,Analisis_grupo!$C$4))</f>
        <v/>
      </c>
      <c r="AD267" s="2" t="str">
        <f aca="false">IF($B267="","",COUNTIFS(Datos_items!$B:$B,$B267,Datos_items!$AA:$AA,AD$4,Datos_items!$E:$E,Analisis_grupo!$C$4))</f>
        <v/>
      </c>
      <c r="AE267" s="2" t="str">
        <f aca="false">IF($B267="","",COUNTIFS(Datos_items!$B:$B,$B267,Datos_items!$AA:$AA,AE$4,Datos_items!$E:$E,Analisis_grupo!$C$4))</f>
        <v/>
      </c>
      <c r="AF267" s="2" t="str">
        <f aca="false">IF($B267="","",COUNTIFS(Datos_items!$B:$B,$B267,Datos_items!$AA:$AA,AF$4,Datos_items!$E:$E,Analisis_grupo!$C$4))</f>
        <v/>
      </c>
      <c r="AG267" s="2" t="str">
        <f aca="false">IF($B267="","",COUNTIFS(Datos_items!$B:$B,$B267,Datos_items!$AA:$AA,AG$4,Datos_items!$E:$E,Analisis_grupo!$C$4))</f>
        <v/>
      </c>
      <c r="AH267" s="2" t="str">
        <f aca="false">IF($B267="","",COUNTIFS(Datos_items!$B:$B,$B267,Datos_items!$AA:$AA,AH$4,Datos_items!$E:$E,Analisis_grupo!$C$4))</f>
        <v/>
      </c>
      <c r="AI267" s="2" t="str">
        <f aca="false">IF($B267="","",COUNTIFS(Datos_items!$B:$B,$B267,Datos_items!$AA:$AA,AI$4,Datos_items!$E:$E,Analisis_grupo!$C$4))</f>
        <v/>
      </c>
      <c r="AJ267" s="2" t="str">
        <f aca="false">IF($B267="","",COUNTIFS(Datos_items!$B:$B,$B267,Datos_items!$AA:$AA,AJ$4,Datos_items!$E:$E,Analisis_grupo!$C$4))</f>
        <v/>
      </c>
      <c r="AK267" s="2" t="str">
        <f aca="false">IF($B267="","",COUNTIFS(Datos_items!$B:$B,$B267,Datos_items!$AA:$AA,AK$4,Datos_items!$E:$E,Analisis_grupo!$C$4))</f>
        <v/>
      </c>
      <c r="AL267" s="2" t="str">
        <f aca="false">IF($B267="","",COUNTIFS(Datos_items!$B:$B,$B267,Datos_items!$AA:$AA,AL$4,Datos_items!$E:$E,Analisis_grupo!$C$4))</f>
        <v/>
      </c>
      <c r="AM267" s="2" t="str">
        <f aca="false">IF($B267="","",IF(MAX(Y267:AL267)=0,"",INDEX($Y$4:$AL$4,MATCH(MAX(Y267:AL267),Y267:AL267,0))))</f>
        <v/>
      </c>
      <c r="AN267" s="2" t="str">
        <f aca="false">IF($B267="","",COUNTIFS(Datos_problemas!$B:$B,$B267,Datos_problemas!$F:$F,"Práctica"))</f>
        <v/>
      </c>
      <c r="AO267" s="2" t="str">
        <f aca="false">IF($B267="","",SUMIFS(Datos_problemas!$AQ:$AQ,Datos_problemas!$B:$B,$B267,Datos_problemas!$F:$F,"Práctica"))</f>
        <v/>
      </c>
      <c r="AP267" s="2" t="str">
        <f aca="false">IF($B267="","",COUNTIFS(Datos_problemas!$B:$B,$B267,Datos_problemas!$F:$F,"Práctica",Datos_problemas!$AS:$AS,"Sí"))</f>
        <v/>
      </c>
    </row>
    <row r="268" customFormat="false" ht="15" hidden="false" customHeight="false" outlineLevel="0" collapsed="false">
      <c r="A268" s="2" t="n">
        <v>264</v>
      </c>
      <c r="B268" s="2" t="str">
        <f aca="false">IFERROR(INDEX(Datos_problemas!$B:$B,MATCH($A268,Datos_problemas!$AV:$AV,0)),"")</f>
        <v/>
      </c>
      <c r="C268" s="2" t="str">
        <f aca="false">IF($B268="","",INDEX(Datos_problemas!$C:$C,MATCH($A268,Datos_problemas!$AV:$AV,0)))</f>
        <v/>
      </c>
      <c r="D268" s="2" t="str">
        <f aca="false">IF($B268="","",INDEX(Datos_problemas!$D:$D,MATCH($A268,Datos_problemas!$AV:$AV,0)))</f>
        <v/>
      </c>
      <c r="E268" s="2" t="str">
        <f aca="false">IF($B268="","",COUNTIFS(Datos_problemas!$B:$B,$B268,Datos_problemas!$F:$F,"Evaluación"))</f>
        <v/>
      </c>
      <c r="F268" s="20" t="str">
        <f aca="false">IF($B268="","",IFERROR(AVERAGEIFS(Datos_problemas!$AE:$AE,Datos_problemas!$B:$B,$B268,Datos_problemas!$F:$F,"Evaluación"),""))</f>
        <v/>
      </c>
      <c r="G268" s="20" t="str">
        <f aca="false">IF($B268="","",IFERROR(AVERAGEIFS(Datos_problemas!$AE:$AE,Datos_problemas!$B:$B,$B268,Datos_problemas!$F:$F,"Evaluación",Datos_problemas!$E:$E,"Diagnóstico"),""))</f>
        <v/>
      </c>
      <c r="H268" s="20" t="str">
        <f aca="false">IF($B268="","",IFERROR(AVERAGEIFS(Datos_problemas!$AE:$AE,Datos_problemas!$B:$B,$B268,Datos_problemas!$F:$F,"Evaluación",Datos_problemas!$E:$E,"Final"),""))</f>
        <v/>
      </c>
      <c r="I268" s="21" t="str">
        <f aca="false">IF(OR(G268="",H268=""),"",IF(G268&gt;=10,"",(H268-G268)/(10-G268)))</f>
        <v/>
      </c>
      <c r="J268" s="18" t="str">
        <f aca="false">IF($B268="","",IFERROR(SUMIFS(Datos_items!$Z:$Z,Datos_items!$B:$B,$B268,Datos_items!$O:$O,J$4,Datos_items!$E:$E,Analisis_grupo!$C$4)/COUNTIFS(Datos_items!$B:$B,$B268,Datos_items!$O:$O,J$4,Datos_items!$E:$E,Analisis_grupo!$C$4),""))</f>
        <v/>
      </c>
      <c r="K268" s="18" t="str">
        <f aca="false">IF($B268="","",IFERROR(SUMIFS(Datos_items!$Z:$Z,Datos_items!$B:$B,$B268,Datos_items!$O:$O,K$4,Datos_items!$E:$E,Analisis_grupo!$C$4)/COUNTIFS(Datos_items!$B:$B,$B268,Datos_items!$O:$O,K$4,Datos_items!$E:$E,Analisis_grupo!$C$4),""))</f>
        <v/>
      </c>
      <c r="L268" s="18" t="str">
        <f aca="false">IF($B268="","",IFERROR(SUMIFS(Datos_items!$Z:$Z,Datos_items!$B:$B,$B268,Datos_items!$O:$O,L$4,Datos_items!$E:$E,Analisis_grupo!$C$4)/COUNTIFS(Datos_items!$B:$B,$B268,Datos_items!$O:$O,L$4,Datos_items!$E:$E,Analisis_grupo!$C$4),""))</f>
        <v/>
      </c>
      <c r="M268" s="18" t="str">
        <f aca="false">IF($B268="","",IFERROR(SUMIFS(Datos_items!$Z:$Z,Datos_items!$B:$B,$B268,Datos_items!$O:$O,M$4,Datos_items!$E:$E,Analisis_grupo!$C$4)/COUNTIFS(Datos_items!$B:$B,$B268,Datos_items!$O:$O,M$4,Datos_items!$E:$E,Analisis_grupo!$C$4),""))</f>
        <v/>
      </c>
      <c r="N268" s="18" t="str">
        <f aca="false">IF($B268="","",IFERROR(SUMIFS(Datos_items!$Z:$Z,Datos_items!$B:$B,$B268,Datos_items!$O:$O,N$4,Datos_items!$E:$E,Analisis_grupo!$C$4)/COUNTIFS(Datos_items!$B:$B,$B268,Datos_items!$O:$O,N$4,Datos_items!$E:$E,Analisis_grupo!$C$4),""))</f>
        <v/>
      </c>
      <c r="O268" s="18" t="str">
        <f aca="false">IF($B268="","",IFERROR(SUMIFS(Datos_items!$Z:$Z,Datos_items!$B:$B,$B268,Datos_items!$O:$O,O$4,Datos_items!$E:$E,Analisis_grupo!$C$4)/COUNTIFS(Datos_items!$B:$B,$B268,Datos_items!$O:$O,O$4,Datos_items!$E:$E,Analisis_grupo!$C$4),""))</f>
        <v/>
      </c>
      <c r="P268" s="18" t="str">
        <f aca="false">IF($B268="","",IFERROR(SUMIFS(Datos_items!$Z:$Z,Datos_items!$B:$B,$B268,Datos_items!$O:$O,P$4,Datos_items!$E:$E,Analisis_grupo!$C$4)/COUNTIFS(Datos_items!$B:$B,$B268,Datos_items!$O:$O,P$4,Datos_items!$E:$E,Analisis_grupo!$C$4),""))</f>
        <v/>
      </c>
      <c r="Q268" s="18" t="str">
        <f aca="false">IF($B268="","",IFERROR(SUMIFS(Datos_items!$Z:$Z,Datos_items!$B:$B,$B268,Datos_items!$O:$O,Q$4,Datos_items!$E:$E,Analisis_grupo!$C$4)/COUNTIFS(Datos_items!$B:$B,$B268,Datos_items!$O:$O,Q$4,Datos_items!$E:$E,Analisis_grupo!$C$4),""))</f>
        <v/>
      </c>
      <c r="R268" s="2" t="str">
        <f aca="false">IF(COUNT(J268:Q268)=0,"",IF(MIN(J268:Q268)&gt;=Analisis_grupo!$B$7,"(ninguna)",INDEX($J$4:$Q$4,MATCH(MIN(J268:Q268),J268:Q268,0))))</f>
        <v/>
      </c>
      <c r="S268" s="2" t="str">
        <f aca="false">IF($B268="","",COUNTIF(J268:Q268,"&lt;"&amp;Analisis_grupo!$B$7))</f>
        <v/>
      </c>
      <c r="T268" s="2" t="str">
        <f aca="false">IF($B268="","",COUNTIFS(Datos_items!$B:$B,$B268,Datos_items!$AA:$AA,T$4,Datos_items!$E:$E,Analisis_grupo!$C$4))</f>
        <v/>
      </c>
      <c r="U268" s="2" t="str">
        <f aca="false">IF($B268="","",COUNTIFS(Datos_items!$B:$B,$B268,Datos_items!$AA:$AA,U$4,Datos_items!$E:$E,Analisis_grupo!$C$4))</f>
        <v/>
      </c>
      <c r="V268" s="2" t="str">
        <f aca="false">IF($B268="","",COUNTIFS(Datos_items!$B:$B,$B268,Datos_items!$AA:$AA,V$4,Datos_items!$E:$E,Analisis_grupo!$C$4))</f>
        <v/>
      </c>
      <c r="W268" s="2" t="str">
        <f aca="false">IF($B268="","",COUNTIFS(Datos_items!$B:$B,$B268,Datos_items!$AA:$AA,W$4,Datos_items!$E:$E,Analisis_grupo!$C$4))</f>
        <v/>
      </c>
      <c r="X268" s="2" t="str">
        <f aca="false">IF($B268="","",COUNTIFS(Datos_items!$B:$B,$B268,Datos_items!$AA:$AA,X$4,Datos_items!$E:$E,Analisis_grupo!$C$4))</f>
        <v/>
      </c>
      <c r="Y268" s="2" t="str">
        <f aca="false">IF($B268="","",COUNTIFS(Datos_items!$B:$B,$B268,Datos_items!$AA:$AA,Y$4,Datos_items!$E:$E,Analisis_grupo!$C$4))</f>
        <v/>
      </c>
      <c r="Z268" s="2" t="str">
        <f aca="false">IF($B268="","",COUNTIFS(Datos_items!$B:$B,$B268,Datos_items!$AA:$AA,Z$4,Datos_items!$E:$E,Analisis_grupo!$C$4))</f>
        <v/>
      </c>
      <c r="AA268" s="2" t="str">
        <f aca="false">IF($B268="","",COUNTIFS(Datos_items!$B:$B,$B268,Datos_items!$AA:$AA,AA$4,Datos_items!$E:$E,Analisis_grupo!$C$4))</f>
        <v/>
      </c>
      <c r="AB268" s="2" t="str">
        <f aca="false">IF($B268="","",COUNTIFS(Datos_items!$B:$B,$B268,Datos_items!$AA:$AA,AB$4,Datos_items!$E:$E,Analisis_grupo!$C$4))</f>
        <v/>
      </c>
      <c r="AC268" s="2" t="str">
        <f aca="false">IF($B268="","",COUNTIFS(Datos_items!$B:$B,$B268,Datos_items!$AA:$AA,AC$4,Datos_items!$E:$E,Analisis_grupo!$C$4))</f>
        <v/>
      </c>
      <c r="AD268" s="2" t="str">
        <f aca="false">IF($B268="","",COUNTIFS(Datos_items!$B:$B,$B268,Datos_items!$AA:$AA,AD$4,Datos_items!$E:$E,Analisis_grupo!$C$4))</f>
        <v/>
      </c>
      <c r="AE268" s="2" t="str">
        <f aca="false">IF($B268="","",COUNTIFS(Datos_items!$B:$B,$B268,Datos_items!$AA:$AA,AE$4,Datos_items!$E:$E,Analisis_grupo!$C$4))</f>
        <v/>
      </c>
      <c r="AF268" s="2" t="str">
        <f aca="false">IF($B268="","",COUNTIFS(Datos_items!$B:$B,$B268,Datos_items!$AA:$AA,AF$4,Datos_items!$E:$E,Analisis_grupo!$C$4))</f>
        <v/>
      </c>
      <c r="AG268" s="2" t="str">
        <f aca="false">IF($B268="","",COUNTIFS(Datos_items!$B:$B,$B268,Datos_items!$AA:$AA,AG$4,Datos_items!$E:$E,Analisis_grupo!$C$4))</f>
        <v/>
      </c>
      <c r="AH268" s="2" t="str">
        <f aca="false">IF($B268="","",COUNTIFS(Datos_items!$B:$B,$B268,Datos_items!$AA:$AA,AH$4,Datos_items!$E:$E,Analisis_grupo!$C$4))</f>
        <v/>
      </c>
      <c r="AI268" s="2" t="str">
        <f aca="false">IF($B268="","",COUNTIFS(Datos_items!$B:$B,$B268,Datos_items!$AA:$AA,AI$4,Datos_items!$E:$E,Analisis_grupo!$C$4))</f>
        <v/>
      </c>
      <c r="AJ268" s="2" t="str">
        <f aca="false">IF($B268="","",COUNTIFS(Datos_items!$B:$B,$B268,Datos_items!$AA:$AA,AJ$4,Datos_items!$E:$E,Analisis_grupo!$C$4))</f>
        <v/>
      </c>
      <c r="AK268" s="2" t="str">
        <f aca="false">IF($B268="","",COUNTIFS(Datos_items!$B:$B,$B268,Datos_items!$AA:$AA,AK$4,Datos_items!$E:$E,Analisis_grupo!$C$4))</f>
        <v/>
      </c>
      <c r="AL268" s="2" t="str">
        <f aca="false">IF($B268="","",COUNTIFS(Datos_items!$B:$B,$B268,Datos_items!$AA:$AA,AL$4,Datos_items!$E:$E,Analisis_grupo!$C$4))</f>
        <v/>
      </c>
      <c r="AM268" s="2" t="str">
        <f aca="false">IF($B268="","",IF(MAX(Y268:AL268)=0,"",INDEX($Y$4:$AL$4,MATCH(MAX(Y268:AL268),Y268:AL268,0))))</f>
        <v/>
      </c>
      <c r="AN268" s="2" t="str">
        <f aca="false">IF($B268="","",COUNTIFS(Datos_problemas!$B:$B,$B268,Datos_problemas!$F:$F,"Práctica"))</f>
        <v/>
      </c>
      <c r="AO268" s="2" t="str">
        <f aca="false">IF($B268="","",SUMIFS(Datos_problemas!$AQ:$AQ,Datos_problemas!$B:$B,$B268,Datos_problemas!$F:$F,"Práctica"))</f>
        <v/>
      </c>
      <c r="AP268" s="2" t="str">
        <f aca="false">IF($B268="","",COUNTIFS(Datos_problemas!$B:$B,$B268,Datos_problemas!$F:$F,"Práctica",Datos_problemas!$AS:$AS,"Sí"))</f>
        <v/>
      </c>
    </row>
    <row r="269" customFormat="false" ht="15" hidden="false" customHeight="false" outlineLevel="0" collapsed="false">
      <c r="A269" s="2" t="n">
        <v>265</v>
      </c>
      <c r="B269" s="2" t="str">
        <f aca="false">IFERROR(INDEX(Datos_problemas!$B:$B,MATCH($A269,Datos_problemas!$AV:$AV,0)),"")</f>
        <v/>
      </c>
      <c r="C269" s="2" t="str">
        <f aca="false">IF($B269="","",INDEX(Datos_problemas!$C:$C,MATCH($A269,Datos_problemas!$AV:$AV,0)))</f>
        <v/>
      </c>
      <c r="D269" s="2" t="str">
        <f aca="false">IF($B269="","",INDEX(Datos_problemas!$D:$D,MATCH($A269,Datos_problemas!$AV:$AV,0)))</f>
        <v/>
      </c>
      <c r="E269" s="2" t="str">
        <f aca="false">IF($B269="","",COUNTIFS(Datos_problemas!$B:$B,$B269,Datos_problemas!$F:$F,"Evaluación"))</f>
        <v/>
      </c>
      <c r="F269" s="20" t="str">
        <f aca="false">IF($B269="","",IFERROR(AVERAGEIFS(Datos_problemas!$AE:$AE,Datos_problemas!$B:$B,$B269,Datos_problemas!$F:$F,"Evaluación"),""))</f>
        <v/>
      </c>
      <c r="G269" s="20" t="str">
        <f aca="false">IF($B269="","",IFERROR(AVERAGEIFS(Datos_problemas!$AE:$AE,Datos_problemas!$B:$B,$B269,Datos_problemas!$F:$F,"Evaluación",Datos_problemas!$E:$E,"Diagnóstico"),""))</f>
        <v/>
      </c>
      <c r="H269" s="20" t="str">
        <f aca="false">IF($B269="","",IFERROR(AVERAGEIFS(Datos_problemas!$AE:$AE,Datos_problemas!$B:$B,$B269,Datos_problemas!$F:$F,"Evaluación",Datos_problemas!$E:$E,"Final"),""))</f>
        <v/>
      </c>
      <c r="I269" s="21" t="str">
        <f aca="false">IF(OR(G269="",H269=""),"",IF(G269&gt;=10,"",(H269-G269)/(10-G269)))</f>
        <v/>
      </c>
      <c r="J269" s="18" t="str">
        <f aca="false">IF($B269="","",IFERROR(SUMIFS(Datos_items!$Z:$Z,Datos_items!$B:$B,$B269,Datos_items!$O:$O,J$4,Datos_items!$E:$E,Analisis_grupo!$C$4)/COUNTIFS(Datos_items!$B:$B,$B269,Datos_items!$O:$O,J$4,Datos_items!$E:$E,Analisis_grupo!$C$4),""))</f>
        <v/>
      </c>
      <c r="K269" s="18" t="str">
        <f aca="false">IF($B269="","",IFERROR(SUMIFS(Datos_items!$Z:$Z,Datos_items!$B:$B,$B269,Datos_items!$O:$O,K$4,Datos_items!$E:$E,Analisis_grupo!$C$4)/COUNTIFS(Datos_items!$B:$B,$B269,Datos_items!$O:$O,K$4,Datos_items!$E:$E,Analisis_grupo!$C$4),""))</f>
        <v/>
      </c>
      <c r="L269" s="18" t="str">
        <f aca="false">IF($B269="","",IFERROR(SUMIFS(Datos_items!$Z:$Z,Datos_items!$B:$B,$B269,Datos_items!$O:$O,L$4,Datos_items!$E:$E,Analisis_grupo!$C$4)/COUNTIFS(Datos_items!$B:$B,$B269,Datos_items!$O:$O,L$4,Datos_items!$E:$E,Analisis_grupo!$C$4),""))</f>
        <v/>
      </c>
      <c r="M269" s="18" t="str">
        <f aca="false">IF($B269="","",IFERROR(SUMIFS(Datos_items!$Z:$Z,Datos_items!$B:$B,$B269,Datos_items!$O:$O,M$4,Datos_items!$E:$E,Analisis_grupo!$C$4)/COUNTIFS(Datos_items!$B:$B,$B269,Datos_items!$O:$O,M$4,Datos_items!$E:$E,Analisis_grupo!$C$4),""))</f>
        <v/>
      </c>
      <c r="N269" s="18" t="str">
        <f aca="false">IF($B269="","",IFERROR(SUMIFS(Datos_items!$Z:$Z,Datos_items!$B:$B,$B269,Datos_items!$O:$O,N$4,Datos_items!$E:$E,Analisis_grupo!$C$4)/COUNTIFS(Datos_items!$B:$B,$B269,Datos_items!$O:$O,N$4,Datos_items!$E:$E,Analisis_grupo!$C$4),""))</f>
        <v/>
      </c>
      <c r="O269" s="18" t="str">
        <f aca="false">IF($B269="","",IFERROR(SUMIFS(Datos_items!$Z:$Z,Datos_items!$B:$B,$B269,Datos_items!$O:$O,O$4,Datos_items!$E:$E,Analisis_grupo!$C$4)/COUNTIFS(Datos_items!$B:$B,$B269,Datos_items!$O:$O,O$4,Datos_items!$E:$E,Analisis_grupo!$C$4),""))</f>
        <v/>
      </c>
      <c r="P269" s="18" t="str">
        <f aca="false">IF($B269="","",IFERROR(SUMIFS(Datos_items!$Z:$Z,Datos_items!$B:$B,$B269,Datos_items!$O:$O,P$4,Datos_items!$E:$E,Analisis_grupo!$C$4)/COUNTIFS(Datos_items!$B:$B,$B269,Datos_items!$O:$O,P$4,Datos_items!$E:$E,Analisis_grupo!$C$4),""))</f>
        <v/>
      </c>
      <c r="Q269" s="18" t="str">
        <f aca="false">IF($B269="","",IFERROR(SUMIFS(Datos_items!$Z:$Z,Datos_items!$B:$B,$B269,Datos_items!$O:$O,Q$4,Datos_items!$E:$E,Analisis_grupo!$C$4)/COUNTIFS(Datos_items!$B:$B,$B269,Datos_items!$O:$O,Q$4,Datos_items!$E:$E,Analisis_grupo!$C$4),""))</f>
        <v/>
      </c>
      <c r="R269" s="2" t="str">
        <f aca="false">IF(COUNT(J269:Q269)=0,"",IF(MIN(J269:Q269)&gt;=Analisis_grupo!$B$7,"(ninguna)",INDEX($J$4:$Q$4,MATCH(MIN(J269:Q269),J269:Q269,0))))</f>
        <v/>
      </c>
      <c r="S269" s="2" t="str">
        <f aca="false">IF($B269="","",COUNTIF(J269:Q269,"&lt;"&amp;Analisis_grupo!$B$7))</f>
        <v/>
      </c>
      <c r="T269" s="2" t="str">
        <f aca="false">IF($B269="","",COUNTIFS(Datos_items!$B:$B,$B269,Datos_items!$AA:$AA,T$4,Datos_items!$E:$E,Analisis_grupo!$C$4))</f>
        <v/>
      </c>
      <c r="U269" s="2" t="str">
        <f aca="false">IF($B269="","",COUNTIFS(Datos_items!$B:$B,$B269,Datos_items!$AA:$AA,U$4,Datos_items!$E:$E,Analisis_grupo!$C$4))</f>
        <v/>
      </c>
      <c r="V269" s="2" t="str">
        <f aca="false">IF($B269="","",COUNTIFS(Datos_items!$B:$B,$B269,Datos_items!$AA:$AA,V$4,Datos_items!$E:$E,Analisis_grupo!$C$4))</f>
        <v/>
      </c>
      <c r="W269" s="2" t="str">
        <f aca="false">IF($B269="","",COUNTIFS(Datos_items!$B:$B,$B269,Datos_items!$AA:$AA,W$4,Datos_items!$E:$E,Analisis_grupo!$C$4))</f>
        <v/>
      </c>
      <c r="X269" s="2" t="str">
        <f aca="false">IF($B269="","",COUNTIFS(Datos_items!$B:$B,$B269,Datos_items!$AA:$AA,X$4,Datos_items!$E:$E,Analisis_grupo!$C$4))</f>
        <v/>
      </c>
      <c r="Y269" s="2" t="str">
        <f aca="false">IF($B269="","",COUNTIFS(Datos_items!$B:$B,$B269,Datos_items!$AA:$AA,Y$4,Datos_items!$E:$E,Analisis_grupo!$C$4))</f>
        <v/>
      </c>
      <c r="Z269" s="2" t="str">
        <f aca="false">IF($B269="","",COUNTIFS(Datos_items!$B:$B,$B269,Datos_items!$AA:$AA,Z$4,Datos_items!$E:$E,Analisis_grupo!$C$4))</f>
        <v/>
      </c>
      <c r="AA269" s="2" t="str">
        <f aca="false">IF($B269="","",COUNTIFS(Datos_items!$B:$B,$B269,Datos_items!$AA:$AA,AA$4,Datos_items!$E:$E,Analisis_grupo!$C$4))</f>
        <v/>
      </c>
      <c r="AB269" s="2" t="str">
        <f aca="false">IF($B269="","",COUNTIFS(Datos_items!$B:$B,$B269,Datos_items!$AA:$AA,AB$4,Datos_items!$E:$E,Analisis_grupo!$C$4))</f>
        <v/>
      </c>
      <c r="AC269" s="2" t="str">
        <f aca="false">IF($B269="","",COUNTIFS(Datos_items!$B:$B,$B269,Datos_items!$AA:$AA,AC$4,Datos_items!$E:$E,Analisis_grupo!$C$4))</f>
        <v/>
      </c>
      <c r="AD269" s="2" t="str">
        <f aca="false">IF($B269="","",COUNTIFS(Datos_items!$B:$B,$B269,Datos_items!$AA:$AA,AD$4,Datos_items!$E:$E,Analisis_grupo!$C$4))</f>
        <v/>
      </c>
      <c r="AE269" s="2" t="str">
        <f aca="false">IF($B269="","",COUNTIFS(Datos_items!$B:$B,$B269,Datos_items!$AA:$AA,AE$4,Datos_items!$E:$E,Analisis_grupo!$C$4))</f>
        <v/>
      </c>
      <c r="AF269" s="2" t="str">
        <f aca="false">IF($B269="","",COUNTIFS(Datos_items!$B:$B,$B269,Datos_items!$AA:$AA,AF$4,Datos_items!$E:$E,Analisis_grupo!$C$4))</f>
        <v/>
      </c>
      <c r="AG269" s="2" t="str">
        <f aca="false">IF($B269="","",COUNTIFS(Datos_items!$B:$B,$B269,Datos_items!$AA:$AA,AG$4,Datos_items!$E:$E,Analisis_grupo!$C$4))</f>
        <v/>
      </c>
      <c r="AH269" s="2" t="str">
        <f aca="false">IF($B269="","",COUNTIFS(Datos_items!$B:$B,$B269,Datos_items!$AA:$AA,AH$4,Datos_items!$E:$E,Analisis_grupo!$C$4))</f>
        <v/>
      </c>
      <c r="AI269" s="2" t="str">
        <f aca="false">IF($B269="","",COUNTIFS(Datos_items!$B:$B,$B269,Datos_items!$AA:$AA,AI$4,Datos_items!$E:$E,Analisis_grupo!$C$4))</f>
        <v/>
      </c>
      <c r="AJ269" s="2" t="str">
        <f aca="false">IF($B269="","",COUNTIFS(Datos_items!$B:$B,$B269,Datos_items!$AA:$AA,AJ$4,Datos_items!$E:$E,Analisis_grupo!$C$4))</f>
        <v/>
      </c>
      <c r="AK269" s="2" t="str">
        <f aca="false">IF($B269="","",COUNTIFS(Datos_items!$B:$B,$B269,Datos_items!$AA:$AA,AK$4,Datos_items!$E:$E,Analisis_grupo!$C$4))</f>
        <v/>
      </c>
      <c r="AL269" s="2" t="str">
        <f aca="false">IF($B269="","",COUNTIFS(Datos_items!$B:$B,$B269,Datos_items!$AA:$AA,AL$4,Datos_items!$E:$E,Analisis_grupo!$C$4))</f>
        <v/>
      </c>
      <c r="AM269" s="2" t="str">
        <f aca="false">IF($B269="","",IF(MAX(Y269:AL269)=0,"",INDEX($Y$4:$AL$4,MATCH(MAX(Y269:AL269),Y269:AL269,0))))</f>
        <v/>
      </c>
      <c r="AN269" s="2" t="str">
        <f aca="false">IF($B269="","",COUNTIFS(Datos_problemas!$B:$B,$B269,Datos_problemas!$F:$F,"Práctica"))</f>
        <v/>
      </c>
      <c r="AO269" s="2" t="str">
        <f aca="false">IF($B269="","",SUMIFS(Datos_problemas!$AQ:$AQ,Datos_problemas!$B:$B,$B269,Datos_problemas!$F:$F,"Práctica"))</f>
        <v/>
      </c>
      <c r="AP269" s="2" t="str">
        <f aca="false">IF($B269="","",COUNTIFS(Datos_problemas!$B:$B,$B269,Datos_problemas!$F:$F,"Práctica",Datos_problemas!$AS:$AS,"Sí"))</f>
        <v/>
      </c>
    </row>
    <row r="270" customFormat="false" ht="15" hidden="false" customHeight="false" outlineLevel="0" collapsed="false">
      <c r="A270" s="2" t="n">
        <v>266</v>
      </c>
      <c r="B270" s="2" t="str">
        <f aca="false">IFERROR(INDEX(Datos_problemas!$B:$B,MATCH($A270,Datos_problemas!$AV:$AV,0)),"")</f>
        <v/>
      </c>
      <c r="C270" s="2" t="str">
        <f aca="false">IF($B270="","",INDEX(Datos_problemas!$C:$C,MATCH($A270,Datos_problemas!$AV:$AV,0)))</f>
        <v/>
      </c>
      <c r="D270" s="2" t="str">
        <f aca="false">IF($B270="","",INDEX(Datos_problemas!$D:$D,MATCH($A270,Datos_problemas!$AV:$AV,0)))</f>
        <v/>
      </c>
      <c r="E270" s="2" t="str">
        <f aca="false">IF($B270="","",COUNTIFS(Datos_problemas!$B:$B,$B270,Datos_problemas!$F:$F,"Evaluación"))</f>
        <v/>
      </c>
      <c r="F270" s="20" t="str">
        <f aca="false">IF($B270="","",IFERROR(AVERAGEIFS(Datos_problemas!$AE:$AE,Datos_problemas!$B:$B,$B270,Datos_problemas!$F:$F,"Evaluación"),""))</f>
        <v/>
      </c>
      <c r="G270" s="20" t="str">
        <f aca="false">IF($B270="","",IFERROR(AVERAGEIFS(Datos_problemas!$AE:$AE,Datos_problemas!$B:$B,$B270,Datos_problemas!$F:$F,"Evaluación",Datos_problemas!$E:$E,"Diagnóstico"),""))</f>
        <v/>
      </c>
      <c r="H270" s="20" t="str">
        <f aca="false">IF($B270="","",IFERROR(AVERAGEIFS(Datos_problemas!$AE:$AE,Datos_problemas!$B:$B,$B270,Datos_problemas!$F:$F,"Evaluación",Datos_problemas!$E:$E,"Final"),""))</f>
        <v/>
      </c>
      <c r="I270" s="21" t="str">
        <f aca="false">IF(OR(G270="",H270=""),"",IF(G270&gt;=10,"",(H270-G270)/(10-G270)))</f>
        <v/>
      </c>
      <c r="J270" s="18" t="str">
        <f aca="false">IF($B270="","",IFERROR(SUMIFS(Datos_items!$Z:$Z,Datos_items!$B:$B,$B270,Datos_items!$O:$O,J$4,Datos_items!$E:$E,Analisis_grupo!$C$4)/COUNTIFS(Datos_items!$B:$B,$B270,Datos_items!$O:$O,J$4,Datos_items!$E:$E,Analisis_grupo!$C$4),""))</f>
        <v/>
      </c>
      <c r="K270" s="18" t="str">
        <f aca="false">IF($B270="","",IFERROR(SUMIFS(Datos_items!$Z:$Z,Datos_items!$B:$B,$B270,Datos_items!$O:$O,K$4,Datos_items!$E:$E,Analisis_grupo!$C$4)/COUNTIFS(Datos_items!$B:$B,$B270,Datos_items!$O:$O,K$4,Datos_items!$E:$E,Analisis_grupo!$C$4),""))</f>
        <v/>
      </c>
      <c r="L270" s="18" t="str">
        <f aca="false">IF($B270="","",IFERROR(SUMIFS(Datos_items!$Z:$Z,Datos_items!$B:$B,$B270,Datos_items!$O:$O,L$4,Datos_items!$E:$E,Analisis_grupo!$C$4)/COUNTIFS(Datos_items!$B:$B,$B270,Datos_items!$O:$O,L$4,Datos_items!$E:$E,Analisis_grupo!$C$4),""))</f>
        <v/>
      </c>
      <c r="M270" s="18" t="str">
        <f aca="false">IF($B270="","",IFERROR(SUMIFS(Datos_items!$Z:$Z,Datos_items!$B:$B,$B270,Datos_items!$O:$O,M$4,Datos_items!$E:$E,Analisis_grupo!$C$4)/COUNTIFS(Datos_items!$B:$B,$B270,Datos_items!$O:$O,M$4,Datos_items!$E:$E,Analisis_grupo!$C$4),""))</f>
        <v/>
      </c>
      <c r="N270" s="18" t="str">
        <f aca="false">IF($B270="","",IFERROR(SUMIFS(Datos_items!$Z:$Z,Datos_items!$B:$B,$B270,Datos_items!$O:$O,N$4,Datos_items!$E:$E,Analisis_grupo!$C$4)/COUNTIFS(Datos_items!$B:$B,$B270,Datos_items!$O:$O,N$4,Datos_items!$E:$E,Analisis_grupo!$C$4),""))</f>
        <v/>
      </c>
      <c r="O270" s="18" t="str">
        <f aca="false">IF($B270="","",IFERROR(SUMIFS(Datos_items!$Z:$Z,Datos_items!$B:$B,$B270,Datos_items!$O:$O,O$4,Datos_items!$E:$E,Analisis_grupo!$C$4)/COUNTIFS(Datos_items!$B:$B,$B270,Datos_items!$O:$O,O$4,Datos_items!$E:$E,Analisis_grupo!$C$4),""))</f>
        <v/>
      </c>
      <c r="P270" s="18" t="str">
        <f aca="false">IF($B270="","",IFERROR(SUMIFS(Datos_items!$Z:$Z,Datos_items!$B:$B,$B270,Datos_items!$O:$O,P$4,Datos_items!$E:$E,Analisis_grupo!$C$4)/COUNTIFS(Datos_items!$B:$B,$B270,Datos_items!$O:$O,P$4,Datos_items!$E:$E,Analisis_grupo!$C$4),""))</f>
        <v/>
      </c>
      <c r="Q270" s="18" t="str">
        <f aca="false">IF($B270="","",IFERROR(SUMIFS(Datos_items!$Z:$Z,Datos_items!$B:$B,$B270,Datos_items!$O:$O,Q$4,Datos_items!$E:$E,Analisis_grupo!$C$4)/COUNTIFS(Datos_items!$B:$B,$B270,Datos_items!$O:$O,Q$4,Datos_items!$E:$E,Analisis_grupo!$C$4),""))</f>
        <v/>
      </c>
      <c r="R270" s="2" t="str">
        <f aca="false">IF(COUNT(J270:Q270)=0,"",IF(MIN(J270:Q270)&gt;=Analisis_grupo!$B$7,"(ninguna)",INDEX($J$4:$Q$4,MATCH(MIN(J270:Q270),J270:Q270,0))))</f>
        <v/>
      </c>
      <c r="S270" s="2" t="str">
        <f aca="false">IF($B270="","",COUNTIF(J270:Q270,"&lt;"&amp;Analisis_grupo!$B$7))</f>
        <v/>
      </c>
      <c r="T270" s="2" t="str">
        <f aca="false">IF($B270="","",COUNTIFS(Datos_items!$B:$B,$B270,Datos_items!$AA:$AA,T$4,Datos_items!$E:$E,Analisis_grupo!$C$4))</f>
        <v/>
      </c>
      <c r="U270" s="2" t="str">
        <f aca="false">IF($B270="","",COUNTIFS(Datos_items!$B:$B,$B270,Datos_items!$AA:$AA,U$4,Datos_items!$E:$E,Analisis_grupo!$C$4))</f>
        <v/>
      </c>
      <c r="V270" s="2" t="str">
        <f aca="false">IF($B270="","",COUNTIFS(Datos_items!$B:$B,$B270,Datos_items!$AA:$AA,V$4,Datos_items!$E:$E,Analisis_grupo!$C$4))</f>
        <v/>
      </c>
      <c r="W270" s="2" t="str">
        <f aca="false">IF($B270="","",COUNTIFS(Datos_items!$B:$B,$B270,Datos_items!$AA:$AA,W$4,Datos_items!$E:$E,Analisis_grupo!$C$4))</f>
        <v/>
      </c>
      <c r="X270" s="2" t="str">
        <f aca="false">IF($B270="","",COUNTIFS(Datos_items!$B:$B,$B270,Datos_items!$AA:$AA,X$4,Datos_items!$E:$E,Analisis_grupo!$C$4))</f>
        <v/>
      </c>
      <c r="Y270" s="2" t="str">
        <f aca="false">IF($B270="","",COUNTIFS(Datos_items!$B:$B,$B270,Datos_items!$AA:$AA,Y$4,Datos_items!$E:$E,Analisis_grupo!$C$4))</f>
        <v/>
      </c>
      <c r="Z270" s="2" t="str">
        <f aca="false">IF($B270="","",COUNTIFS(Datos_items!$B:$B,$B270,Datos_items!$AA:$AA,Z$4,Datos_items!$E:$E,Analisis_grupo!$C$4))</f>
        <v/>
      </c>
      <c r="AA270" s="2" t="str">
        <f aca="false">IF($B270="","",COUNTIFS(Datos_items!$B:$B,$B270,Datos_items!$AA:$AA,AA$4,Datos_items!$E:$E,Analisis_grupo!$C$4))</f>
        <v/>
      </c>
      <c r="AB270" s="2" t="str">
        <f aca="false">IF($B270="","",COUNTIFS(Datos_items!$B:$B,$B270,Datos_items!$AA:$AA,AB$4,Datos_items!$E:$E,Analisis_grupo!$C$4))</f>
        <v/>
      </c>
      <c r="AC270" s="2" t="str">
        <f aca="false">IF($B270="","",COUNTIFS(Datos_items!$B:$B,$B270,Datos_items!$AA:$AA,AC$4,Datos_items!$E:$E,Analisis_grupo!$C$4))</f>
        <v/>
      </c>
      <c r="AD270" s="2" t="str">
        <f aca="false">IF($B270="","",COUNTIFS(Datos_items!$B:$B,$B270,Datos_items!$AA:$AA,AD$4,Datos_items!$E:$E,Analisis_grupo!$C$4))</f>
        <v/>
      </c>
      <c r="AE270" s="2" t="str">
        <f aca="false">IF($B270="","",COUNTIFS(Datos_items!$B:$B,$B270,Datos_items!$AA:$AA,AE$4,Datos_items!$E:$E,Analisis_grupo!$C$4))</f>
        <v/>
      </c>
      <c r="AF270" s="2" t="str">
        <f aca="false">IF($B270="","",COUNTIFS(Datos_items!$B:$B,$B270,Datos_items!$AA:$AA,AF$4,Datos_items!$E:$E,Analisis_grupo!$C$4))</f>
        <v/>
      </c>
      <c r="AG270" s="2" t="str">
        <f aca="false">IF($B270="","",COUNTIFS(Datos_items!$B:$B,$B270,Datos_items!$AA:$AA,AG$4,Datos_items!$E:$E,Analisis_grupo!$C$4))</f>
        <v/>
      </c>
      <c r="AH270" s="2" t="str">
        <f aca="false">IF($B270="","",COUNTIFS(Datos_items!$B:$B,$B270,Datos_items!$AA:$AA,AH$4,Datos_items!$E:$E,Analisis_grupo!$C$4))</f>
        <v/>
      </c>
      <c r="AI270" s="2" t="str">
        <f aca="false">IF($B270="","",COUNTIFS(Datos_items!$B:$B,$B270,Datos_items!$AA:$AA,AI$4,Datos_items!$E:$E,Analisis_grupo!$C$4))</f>
        <v/>
      </c>
      <c r="AJ270" s="2" t="str">
        <f aca="false">IF($B270="","",COUNTIFS(Datos_items!$B:$B,$B270,Datos_items!$AA:$AA,AJ$4,Datos_items!$E:$E,Analisis_grupo!$C$4))</f>
        <v/>
      </c>
      <c r="AK270" s="2" t="str">
        <f aca="false">IF($B270="","",COUNTIFS(Datos_items!$B:$B,$B270,Datos_items!$AA:$AA,AK$4,Datos_items!$E:$E,Analisis_grupo!$C$4))</f>
        <v/>
      </c>
      <c r="AL270" s="2" t="str">
        <f aca="false">IF($B270="","",COUNTIFS(Datos_items!$B:$B,$B270,Datos_items!$AA:$AA,AL$4,Datos_items!$E:$E,Analisis_grupo!$C$4))</f>
        <v/>
      </c>
      <c r="AM270" s="2" t="str">
        <f aca="false">IF($B270="","",IF(MAX(Y270:AL270)=0,"",INDEX($Y$4:$AL$4,MATCH(MAX(Y270:AL270),Y270:AL270,0))))</f>
        <v/>
      </c>
      <c r="AN270" s="2" t="str">
        <f aca="false">IF($B270="","",COUNTIFS(Datos_problemas!$B:$B,$B270,Datos_problemas!$F:$F,"Práctica"))</f>
        <v/>
      </c>
      <c r="AO270" s="2" t="str">
        <f aca="false">IF($B270="","",SUMIFS(Datos_problemas!$AQ:$AQ,Datos_problemas!$B:$B,$B270,Datos_problemas!$F:$F,"Práctica"))</f>
        <v/>
      </c>
      <c r="AP270" s="2" t="str">
        <f aca="false">IF($B270="","",COUNTIFS(Datos_problemas!$B:$B,$B270,Datos_problemas!$F:$F,"Práctica",Datos_problemas!$AS:$AS,"Sí"))</f>
        <v/>
      </c>
    </row>
    <row r="271" customFormat="false" ht="15" hidden="false" customHeight="false" outlineLevel="0" collapsed="false">
      <c r="A271" s="2" t="n">
        <v>267</v>
      </c>
      <c r="B271" s="2" t="str">
        <f aca="false">IFERROR(INDEX(Datos_problemas!$B:$B,MATCH($A271,Datos_problemas!$AV:$AV,0)),"")</f>
        <v/>
      </c>
      <c r="C271" s="2" t="str">
        <f aca="false">IF($B271="","",INDEX(Datos_problemas!$C:$C,MATCH($A271,Datos_problemas!$AV:$AV,0)))</f>
        <v/>
      </c>
      <c r="D271" s="2" t="str">
        <f aca="false">IF($B271="","",INDEX(Datos_problemas!$D:$D,MATCH($A271,Datos_problemas!$AV:$AV,0)))</f>
        <v/>
      </c>
      <c r="E271" s="2" t="str">
        <f aca="false">IF($B271="","",COUNTIFS(Datos_problemas!$B:$B,$B271,Datos_problemas!$F:$F,"Evaluación"))</f>
        <v/>
      </c>
      <c r="F271" s="20" t="str">
        <f aca="false">IF($B271="","",IFERROR(AVERAGEIFS(Datos_problemas!$AE:$AE,Datos_problemas!$B:$B,$B271,Datos_problemas!$F:$F,"Evaluación"),""))</f>
        <v/>
      </c>
      <c r="G271" s="20" t="str">
        <f aca="false">IF($B271="","",IFERROR(AVERAGEIFS(Datos_problemas!$AE:$AE,Datos_problemas!$B:$B,$B271,Datos_problemas!$F:$F,"Evaluación",Datos_problemas!$E:$E,"Diagnóstico"),""))</f>
        <v/>
      </c>
      <c r="H271" s="20" t="str">
        <f aca="false">IF($B271="","",IFERROR(AVERAGEIFS(Datos_problemas!$AE:$AE,Datos_problemas!$B:$B,$B271,Datos_problemas!$F:$F,"Evaluación",Datos_problemas!$E:$E,"Final"),""))</f>
        <v/>
      </c>
      <c r="I271" s="21" t="str">
        <f aca="false">IF(OR(G271="",H271=""),"",IF(G271&gt;=10,"",(H271-G271)/(10-G271)))</f>
        <v/>
      </c>
      <c r="J271" s="18" t="str">
        <f aca="false">IF($B271="","",IFERROR(SUMIFS(Datos_items!$Z:$Z,Datos_items!$B:$B,$B271,Datos_items!$O:$O,J$4,Datos_items!$E:$E,Analisis_grupo!$C$4)/COUNTIFS(Datos_items!$B:$B,$B271,Datos_items!$O:$O,J$4,Datos_items!$E:$E,Analisis_grupo!$C$4),""))</f>
        <v/>
      </c>
      <c r="K271" s="18" t="str">
        <f aca="false">IF($B271="","",IFERROR(SUMIFS(Datos_items!$Z:$Z,Datos_items!$B:$B,$B271,Datos_items!$O:$O,K$4,Datos_items!$E:$E,Analisis_grupo!$C$4)/COUNTIFS(Datos_items!$B:$B,$B271,Datos_items!$O:$O,K$4,Datos_items!$E:$E,Analisis_grupo!$C$4),""))</f>
        <v/>
      </c>
      <c r="L271" s="18" t="str">
        <f aca="false">IF($B271="","",IFERROR(SUMIFS(Datos_items!$Z:$Z,Datos_items!$B:$B,$B271,Datos_items!$O:$O,L$4,Datos_items!$E:$E,Analisis_grupo!$C$4)/COUNTIFS(Datos_items!$B:$B,$B271,Datos_items!$O:$O,L$4,Datos_items!$E:$E,Analisis_grupo!$C$4),""))</f>
        <v/>
      </c>
      <c r="M271" s="18" t="str">
        <f aca="false">IF($B271="","",IFERROR(SUMIFS(Datos_items!$Z:$Z,Datos_items!$B:$B,$B271,Datos_items!$O:$O,M$4,Datos_items!$E:$E,Analisis_grupo!$C$4)/COUNTIFS(Datos_items!$B:$B,$B271,Datos_items!$O:$O,M$4,Datos_items!$E:$E,Analisis_grupo!$C$4),""))</f>
        <v/>
      </c>
      <c r="N271" s="18" t="str">
        <f aca="false">IF($B271="","",IFERROR(SUMIFS(Datos_items!$Z:$Z,Datos_items!$B:$B,$B271,Datos_items!$O:$O,N$4,Datos_items!$E:$E,Analisis_grupo!$C$4)/COUNTIFS(Datos_items!$B:$B,$B271,Datos_items!$O:$O,N$4,Datos_items!$E:$E,Analisis_grupo!$C$4),""))</f>
        <v/>
      </c>
      <c r="O271" s="18" t="str">
        <f aca="false">IF($B271="","",IFERROR(SUMIFS(Datos_items!$Z:$Z,Datos_items!$B:$B,$B271,Datos_items!$O:$O,O$4,Datos_items!$E:$E,Analisis_grupo!$C$4)/COUNTIFS(Datos_items!$B:$B,$B271,Datos_items!$O:$O,O$4,Datos_items!$E:$E,Analisis_grupo!$C$4),""))</f>
        <v/>
      </c>
      <c r="P271" s="18" t="str">
        <f aca="false">IF($B271="","",IFERROR(SUMIFS(Datos_items!$Z:$Z,Datos_items!$B:$B,$B271,Datos_items!$O:$O,P$4,Datos_items!$E:$E,Analisis_grupo!$C$4)/COUNTIFS(Datos_items!$B:$B,$B271,Datos_items!$O:$O,P$4,Datos_items!$E:$E,Analisis_grupo!$C$4),""))</f>
        <v/>
      </c>
      <c r="Q271" s="18" t="str">
        <f aca="false">IF($B271="","",IFERROR(SUMIFS(Datos_items!$Z:$Z,Datos_items!$B:$B,$B271,Datos_items!$O:$O,Q$4,Datos_items!$E:$E,Analisis_grupo!$C$4)/COUNTIFS(Datos_items!$B:$B,$B271,Datos_items!$O:$O,Q$4,Datos_items!$E:$E,Analisis_grupo!$C$4),""))</f>
        <v/>
      </c>
      <c r="R271" s="2" t="str">
        <f aca="false">IF(COUNT(J271:Q271)=0,"",IF(MIN(J271:Q271)&gt;=Analisis_grupo!$B$7,"(ninguna)",INDEX($J$4:$Q$4,MATCH(MIN(J271:Q271),J271:Q271,0))))</f>
        <v/>
      </c>
      <c r="S271" s="2" t="str">
        <f aca="false">IF($B271="","",COUNTIF(J271:Q271,"&lt;"&amp;Analisis_grupo!$B$7))</f>
        <v/>
      </c>
      <c r="T271" s="2" t="str">
        <f aca="false">IF($B271="","",COUNTIFS(Datos_items!$B:$B,$B271,Datos_items!$AA:$AA,T$4,Datos_items!$E:$E,Analisis_grupo!$C$4))</f>
        <v/>
      </c>
      <c r="U271" s="2" t="str">
        <f aca="false">IF($B271="","",COUNTIFS(Datos_items!$B:$B,$B271,Datos_items!$AA:$AA,U$4,Datos_items!$E:$E,Analisis_grupo!$C$4))</f>
        <v/>
      </c>
      <c r="V271" s="2" t="str">
        <f aca="false">IF($B271="","",COUNTIFS(Datos_items!$B:$B,$B271,Datos_items!$AA:$AA,V$4,Datos_items!$E:$E,Analisis_grupo!$C$4))</f>
        <v/>
      </c>
      <c r="W271" s="2" t="str">
        <f aca="false">IF($B271="","",COUNTIFS(Datos_items!$B:$B,$B271,Datos_items!$AA:$AA,W$4,Datos_items!$E:$E,Analisis_grupo!$C$4))</f>
        <v/>
      </c>
      <c r="X271" s="2" t="str">
        <f aca="false">IF($B271="","",COUNTIFS(Datos_items!$B:$B,$B271,Datos_items!$AA:$AA,X$4,Datos_items!$E:$E,Analisis_grupo!$C$4))</f>
        <v/>
      </c>
      <c r="Y271" s="2" t="str">
        <f aca="false">IF($B271="","",COUNTIFS(Datos_items!$B:$B,$B271,Datos_items!$AA:$AA,Y$4,Datos_items!$E:$E,Analisis_grupo!$C$4))</f>
        <v/>
      </c>
      <c r="Z271" s="2" t="str">
        <f aca="false">IF($B271="","",COUNTIFS(Datos_items!$B:$B,$B271,Datos_items!$AA:$AA,Z$4,Datos_items!$E:$E,Analisis_grupo!$C$4))</f>
        <v/>
      </c>
      <c r="AA271" s="2" t="str">
        <f aca="false">IF($B271="","",COUNTIFS(Datos_items!$B:$B,$B271,Datos_items!$AA:$AA,AA$4,Datos_items!$E:$E,Analisis_grupo!$C$4))</f>
        <v/>
      </c>
      <c r="AB271" s="2" t="str">
        <f aca="false">IF($B271="","",COUNTIFS(Datos_items!$B:$B,$B271,Datos_items!$AA:$AA,AB$4,Datos_items!$E:$E,Analisis_grupo!$C$4))</f>
        <v/>
      </c>
      <c r="AC271" s="2" t="str">
        <f aca="false">IF($B271="","",COUNTIFS(Datos_items!$B:$B,$B271,Datos_items!$AA:$AA,AC$4,Datos_items!$E:$E,Analisis_grupo!$C$4))</f>
        <v/>
      </c>
      <c r="AD271" s="2" t="str">
        <f aca="false">IF($B271="","",COUNTIFS(Datos_items!$B:$B,$B271,Datos_items!$AA:$AA,AD$4,Datos_items!$E:$E,Analisis_grupo!$C$4))</f>
        <v/>
      </c>
      <c r="AE271" s="2" t="str">
        <f aca="false">IF($B271="","",COUNTIFS(Datos_items!$B:$B,$B271,Datos_items!$AA:$AA,AE$4,Datos_items!$E:$E,Analisis_grupo!$C$4))</f>
        <v/>
      </c>
      <c r="AF271" s="2" t="str">
        <f aca="false">IF($B271="","",COUNTIFS(Datos_items!$B:$B,$B271,Datos_items!$AA:$AA,AF$4,Datos_items!$E:$E,Analisis_grupo!$C$4))</f>
        <v/>
      </c>
      <c r="AG271" s="2" t="str">
        <f aca="false">IF($B271="","",COUNTIFS(Datos_items!$B:$B,$B271,Datos_items!$AA:$AA,AG$4,Datos_items!$E:$E,Analisis_grupo!$C$4))</f>
        <v/>
      </c>
      <c r="AH271" s="2" t="str">
        <f aca="false">IF($B271="","",COUNTIFS(Datos_items!$B:$B,$B271,Datos_items!$AA:$AA,AH$4,Datos_items!$E:$E,Analisis_grupo!$C$4))</f>
        <v/>
      </c>
      <c r="AI271" s="2" t="str">
        <f aca="false">IF($B271="","",COUNTIFS(Datos_items!$B:$B,$B271,Datos_items!$AA:$AA,AI$4,Datos_items!$E:$E,Analisis_grupo!$C$4))</f>
        <v/>
      </c>
      <c r="AJ271" s="2" t="str">
        <f aca="false">IF($B271="","",COUNTIFS(Datos_items!$B:$B,$B271,Datos_items!$AA:$AA,AJ$4,Datos_items!$E:$E,Analisis_grupo!$C$4))</f>
        <v/>
      </c>
      <c r="AK271" s="2" t="str">
        <f aca="false">IF($B271="","",COUNTIFS(Datos_items!$B:$B,$B271,Datos_items!$AA:$AA,AK$4,Datos_items!$E:$E,Analisis_grupo!$C$4))</f>
        <v/>
      </c>
      <c r="AL271" s="2" t="str">
        <f aca="false">IF($B271="","",COUNTIFS(Datos_items!$B:$B,$B271,Datos_items!$AA:$AA,AL$4,Datos_items!$E:$E,Analisis_grupo!$C$4))</f>
        <v/>
      </c>
      <c r="AM271" s="2" t="str">
        <f aca="false">IF($B271="","",IF(MAX(Y271:AL271)=0,"",INDEX($Y$4:$AL$4,MATCH(MAX(Y271:AL271),Y271:AL271,0))))</f>
        <v/>
      </c>
      <c r="AN271" s="2" t="str">
        <f aca="false">IF($B271="","",COUNTIFS(Datos_problemas!$B:$B,$B271,Datos_problemas!$F:$F,"Práctica"))</f>
        <v/>
      </c>
      <c r="AO271" s="2" t="str">
        <f aca="false">IF($B271="","",SUMIFS(Datos_problemas!$AQ:$AQ,Datos_problemas!$B:$B,$B271,Datos_problemas!$F:$F,"Práctica"))</f>
        <v/>
      </c>
      <c r="AP271" s="2" t="str">
        <f aca="false">IF($B271="","",COUNTIFS(Datos_problemas!$B:$B,$B271,Datos_problemas!$F:$F,"Práctica",Datos_problemas!$AS:$AS,"Sí"))</f>
        <v/>
      </c>
    </row>
    <row r="272" customFormat="false" ht="15" hidden="false" customHeight="false" outlineLevel="0" collapsed="false">
      <c r="A272" s="2" t="n">
        <v>268</v>
      </c>
      <c r="B272" s="2" t="str">
        <f aca="false">IFERROR(INDEX(Datos_problemas!$B:$B,MATCH($A272,Datos_problemas!$AV:$AV,0)),"")</f>
        <v/>
      </c>
      <c r="C272" s="2" t="str">
        <f aca="false">IF($B272="","",INDEX(Datos_problemas!$C:$C,MATCH($A272,Datos_problemas!$AV:$AV,0)))</f>
        <v/>
      </c>
      <c r="D272" s="2" t="str">
        <f aca="false">IF($B272="","",INDEX(Datos_problemas!$D:$D,MATCH($A272,Datos_problemas!$AV:$AV,0)))</f>
        <v/>
      </c>
      <c r="E272" s="2" t="str">
        <f aca="false">IF($B272="","",COUNTIFS(Datos_problemas!$B:$B,$B272,Datos_problemas!$F:$F,"Evaluación"))</f>
        <v/>
      </c>
      <c r="F272" s="20" t="str">
        <f aca="false">IF($B272="","",IFERROR(AVERAGEIFS(Datos_problemas!$AE:$AE,Datos_problemas!$B:$B,$B272,Datos_problemas!$F:$F,"Evaluación"),""))</f>
        <v/>
      </c>
      <c r="G272" s="20" t="str">
        <f aca="false">IF($B272="","",IFERROR(AVERAGEIFS(Datos_problemas!$AE:$AE,Datos_problemas!$B:$B,$B272,Datos_problemas!$F:$F,"Evaluación",Datos_problemas!$E:$E,"Diagnóstico"),""))</f>
        <v/>
      </c>
      <c r="H272" s="20" t="str">
        <f aca="false">IF($B272="","",IFERROR(AVERAGEIFS(Datos_problemas!$AE:$AE,Datos_problemas!$B:$B,$B272,Datos_problemas!$F:$F,"Evaluación",Datos_problemas!$E:$E,"Final"),""))</f>
        <v/>
      </c>
      <c r="I272" s="21" t="str">
        <f aca="false">IF(OR(G272="",H272=""),"",IF(G272&gt;=10,"",(H272-G272)/(10-G272)))</f>
        <v/>
      </c>
      <c r="J272" s="18" t="str">
        <f aca="false">IF($B272="","",IFERROR(SUMIFS(Datos_items!$Z:$Z,Datos_items!$B:$B,$B272,Datos_items!$O:$O,J$4,Datos_items!$E:$E,Analisis_grupo!$C$4)/COUNTIFS(Datos_items!$B:$B,$B272,Datos_items!$O:$O,J$4,Datos_items!$E:$E,Analisis_grupo!$C$4),""))</f>
        <v/>
      </c>
      <c r="K272" s="18" t="str">
        <f aca="false">IF($B272="","",IFERROR(SUMIFS(Datos_items!$Z:$Z,Datos_items!$B:$B,$B272,Datos_items!$O:$O,K$4,Datos_items!$E:$E,Analisis_grupo!$C$4)/COUNTIFS(Datos_items!$B:$B,$B272,Datos_items!$O:$O,K$4,Datos_items!$E:$E,Analisis_grupo!$C$4),""))</f>
        <v/>
      </c>
      <c r="L272" s="18" t="str">
        <f aca="false">IF($B272="","",IFERROR(SUMIFS(Datos_items!$Z:$Z,Datos_items!$B:$B,$B272,Datos_items!$O:$O,L$4,Datos_items!$E:$E,Analisis_grupo!$C$4)/COUNTIFS(Datos_items!$B:$B,$B272,Datos_items!$O:$O,L$4,Datos_items!$E:$E,Analisis_grupo!$C$4),""))</f>
        <v/>
      </c>
      <c r="M272" s="18" t="str">
        <f aca="false">IF($B272="","",IFERROR(SUMIFS(Datos_items!$Z:$Z,Datos_items!$B:$B,$B272,Datos_items!$O:$O,M$4,Datos_items!$E:$E,Analisis_grupo!$C$4)/COUNTIFS(Datos_items!$B:$B,$B272,Datos_items!$O:$O,M$4,Datos_items!$E:$E,Analisis_grupo!$C$4),""))</f>
        <v/>
      </c>
      <c r="N272" s="18" t="str">
        <f aca="false">IF($B272="","",IFERROR(SUMIFS(Datos_items!$Z:$Z,Datos_items!$B:$B,$B272,Datos_items!$O:$O,N$4,Datos_items!$E:$E,Analisis_grupo!$C$4)/COUNTIFS(Datos_items!$B:$B,$B272,Datos_items!$O:$O,N$4,Datos_items!$E:$E,Analisis_grupo!$C$4),""))</f>
        <v/>
      </c>
      <c r="O272" s="18" t="str">
        <f aca="false">IF($B272="","",IFERROR(SUMIFS(Datos_items!$Z:$Z,Datos_items!$B:$B,$B272,Datos_items!$O:$O,O$4,Datos_items!$E:$E,Analisis_grupo!$C$4)/COUNTIFS(Datos_items!$B:$B,$B272,Datos_items!$O:$O,O$4,Datos_items!$E:$E,Analisis_grupo!$C$4),""))</f>
        <v/>
      </c>
      <c r="P272" s="18" t="str">
        <f aca="false">IF($B272="","",IFERROR(SUMIFS(Datos_items!$Z:$Z,Datos_items!$B:$B,$B272,Datos_items!$O:$O,P$4,Datos_items!$E:$E,Analisis_grupo!$C$4)/COUNTIFS(Datos_items!$B:$B,$B272,Datos_items!$O:$O,P$4,Datos_items!$E:$E,Analisis_grupo!$C$4),""))</f>
        <v/>
      </c>
      <c r="Q272" s="18" t="str">
        <f aca="false">IF($B272="","",IFERROR(SUMIFS(Datos_items!$Z:$Z,Datos_items!$B:$B,$B272,Datos_items!$O:$O,Q$4,Datos_items!$E:$E,Analisis_grupo!$C$4)/COUNTIFS(Datos_items!$B:$B,$B272,Datos_items!$O:$O,Q$4,Datos_items!$E:$E,Analisis_grupo!$C$4),""))</f>
        <v/>
      </c>
      <c r="R272" s="2" t="str">
        <f aca="false">IF(COUNT(J272:Q272)=0,"",IF(MIN(J272:Q272)&gt;=Analisis_grupo!$B$7,"(ninguna)",INDEX($J$4:$Q$4,MATCH(MIN(J272:Q272),J272:Q272,0))))</f>
        <v/>
      </c>
      <c r="S272" s="2" t="str">
        <f aca="false">IF($B272="","",COUNTIF(J272:Q272,"&lt;"&amp;Analisis_grupo!$B$7))</f>
        <v/>
      </c>
      <c r="T272" s="2" t="str">
        <f aca="false">IF($B272="","",COUNTIFS(Datos_items!$B:$B,$B272,Datos_items!$AA:$AA,T$4,Datos_items!$E:$E,Analisis_grupo!$C$4))</f>
        <v/>
      </c>
      <c r="U272" s="2" t="str">
        <f aca="false">IF($B272="","",COUNTIFS(Datos_items!$B:$B,$B272,Datos_items!$AA:$AA,U$4,Datos_items!$E:$E,Analisis_grupo!$C$4))</f>
        <v/>
      </c>
      <c r="V272" s="2" t="str">
        <f aca="false">IF($B272="","",COUNTIFS(Datos_items!$B:$B,$B272,Datos_items!$AA:$AA,V$4,Datos_items!$E:$E,Analisis_grupo!$C$4))</f>
        <v/>
      </c>
      <c r="W272" s="2" t="str">
        <f aca="false">IF($B272="","",COUNTIFS(Datos_items!$B:$B,$B272,Datos_items!$AA:$AA,W$4,Datos_items!$E:$E,Analisis_grupo!$C$4))</f>
        <v/>
      </c>
      <c r="X272" s="2" t="str">
        <f aca="false">IF($B272="","",COUNTIFS(Datos_items!$B:$B,$B272,Datos_items!$AA:$AA,X$4,Datos_items!$E:$E,Analisis_grupo!$C$4))</f>
        <v/>
      </c>
      <c r="Y272" s="2" t="str">
        <f aca="false">IF($B272="","",COUNTIFS(Datos_items!$B:$B,$B272,Datos_items!$AA:$AA,Y$4,Datos_items!$E:$E,Analisis_grupo!$C$4))</f>
        <v/>
      </c>
      <c r="Z272" s="2" t="str">
        <f aca="false">IF($B272="","",COUNTIFS(Datos_items!$B:$B,$B272,Datos_items!$AA:$AA,Z$4,Datos_items!$E:$E,Analisis_grupo!$C$4))</f>
        <v/>
      </c>
      <c r="AA272" s="2" t="str">
        <f aca="false">IF($B272="","",COUNTIFS(Datos_items!$B:$B,$B272,Datos_items!$AA:$AA,AA$4,Datos_items!$E:$E,Analisis_grupo!$C$4))</f>
        <v/>
      </c>
      <c r="AB272" s="2" t="str">
        <f aca="false">IF($B272="","",COUNTIFS(Datos_items!$B:$B,$B272,Datos_items!$AA:$AA,AB$4,Datos_items!$E:$E,Analisis_grupo!$C$4))</f>
        <v/>
      </c>
      <c r="AC272" s="2" t="str">
        <f aca="false">IF($B272="","",COUNTIFS(Datos_items!$B:$B,$B272,Datos_items!$AA:$AA,AC$4,Datos_items!$E:$E,Analisis_grupo!$C$4))</f>
        <v/>
      </c>
      <c r="AD272" s="2" t="str">
        <f aca="false">IF($B272="","",COUNTIFS(Datos_items!$B:$B,$B272,Datos_items!$AA:$AA,AD$4,Datos_items!$E:$E,Analisis_grupo!$C$4))</f>
        <v/>
      </c>
      <c r="AE272" s="2" t="str">
        <f aca="false">IF($B272="","",COUNTIFS(Datos_items!$B:$B,$B272,Datos_items!$AA:$AA,AE$4,Datos_items!$E:$E,Analisis_grupo!$C$4))</f>
        <v/>
      </c>
      <c r="AF272" s="2" t="str">
        <f aca="false">IF($B272="","",COUNTIFS(Datos_items!$B:$B,$B272,Datos_items!$AA:$AA,AF$4,Datos_items!$E:$E,Analisis_grupo!$C$4))</f>
        <v/>
      </c>
      <c r="AG272" s="2" t="str">
        <f aca="false">IF($B272="","",COUNTIFS(Datos_items!$B:$B,$B272,Datos_items!$AA:$AA,AG$4,Datos_items!$E:$E,Analisis_grupo!$C$4))</f>
        <v/>
      </c>
      <c r="AH272" s="2" t="str">
        <f aca="false">IF($B272="","",COUNTIFS(Datos_items!$B:$B,$B272,Datos_items!$AA:$AA,AH$4,Datos_items!$E:$E,Analisis_grupo!$C$4))</f>
        <v/>
      </c>
      <c r="AI272" s="2" t="str">
        <f aca="false">IF($B272="","",COUNTIFS(Datos_items!$B:$B,$B272,Datos_items!$AA:$AA,AI$4,Datos_items!$E:$E,Analisis_grupo!$C$4))</f>
        <v/>
      </c>
      <c r="AJ272" s="2" t="str">
        <f aca="false">IF($B272="","",COUNTIFS(Datos_items!$B:$B,$B272,Datos_items!$AA:$AA,AJ$4,Datos_items!$E:$E,Analisis_grupo!$C$4))</f>
        <v/>
      </c>
      <c r="AK272" s="2" t="str">
        <f aca="false">IF($B272="","",COUNTIFS(Datos_items!$B:$B,$B272,Datos_items!$AA:$AA,AK$4,Datos_items!$E:$E,Analisis_grupo!$C$4))</f>
        <v/>
      </c>
      <c r="AL272" s="2" t="str">
        <f aca="false">IF($B272="","",COUNTIFS(Datos_items!$B:$B,$B272,Datos_items!$AA:$AA,AL$4,Datos_items!$E:$E,Analisis_grupo!$C$4))</f>
        <v/>
      </c>
      <c r="AM272" s="2" t="str">
        <f aca="false">IF($B272="","",IF(MAX(Y272:AL272)=0,"",INDEX($Y$4:$AL$4,MATCH(MAX(Y272:AL272),Y272:AL272,0))))</f>
        <v/>
      </c>
      <c r="AN272" s="2" t="str">
        <f aca="false">IF($B272="","",COUNTIFS(Datos_problemas!$B:$B,$B272,Datos_problemas!$F:$F,"Práctica"))</f>
        <v/>
      </c>
      <c r="AO272" s="2" t="str">
        <f aca="false">IF($B272="","",SUMIFS(Datos_problemas!$AQ:$AQ,Datos_problemas!$B:$B,$B272,Datos_problemas!$F:$F,"Práctica"))</f>
        <v/>
      </c>
      <c r="AP272" s="2" t="str">
        <f aca="false">IF($B272="","",COUNTIFS(Datos_problemas!$B:$B,$B272,Datos_problemas!$F:$F,"Práctica",Datos_problemas!$AS:$AS,"Sí"))</f>
        <v/>
      </c>
    </row>
    <row r="273" customFormat="false" ht="15" hidden="false" customHeight="false" outlineLevel="0" collapsed="false">
      <c r="A273" s="2" t="n">
        <v>269</v>
      </c>
      <c r="B273" s="2" t="str">
        <f aca="false">IFERROR(INDEX(Datos_problemas!$B:$B,MATCH($A273,Datos_problemas!$AV:$AV,0)),"")</f>
        <v/>
      </c>
      <c r="C273" s="2" t="str">
        <f aca="false">IF($B273="","",INDEX(Datos_problemas!$C:$C,MATCH($A273,Datos_problemas!$AV:$AV,0)))</f>
        <v/>
      </c>
      <c r="D273" s="2" t="str">
        <f aca="false">IF($B273="","",INDEX(Datos_problemas!$D:$D,MATCH($A273,Datos_problemas!$AV:$AV,0)))</f>
        <v/>
      </c>
      <c r="E273" s="2" t="str">
        <f aca="false">IF($B273="","",COUNTIFS(Datos_problemas!$B:$B,$B273,Datos_problemas!$F:$F,"Evaluación"))</f>
        <v/>
      </c>
      <c r="F273" s="20" t="str">
        <f aca="false">IF($B273="","",IFERROR(AVERAGEIFS(Datos_problemas!$AE:$AE,Datos_problemas!$B:$B,$B273,Datos_problemas!$F:$F,"Evaluación"),""))</f>
        <v/>
      </c>
      <c r="G273" s="20" t="str">
        <f aca="false">IF($B273="","",IFERROR(AVERAGEIFS(Datos_problemas!$AE:$AE,Datos_problemas!$B:$B,$B273,Datos_problemas!$F:$F,"Evaluación",Datos_problemas!$E:$E,"Diagnóstico"),""))</f>
        <v/>
      </c>
      <c r="H273" s="20" t="str">
        <f aca="false">IF($B273="","",IFERROR(AVERAGEIFS(Datos_problemas!$AE:$AE,Datos_problemas!$B:$B,$B273,Datos_problemas!$F:$F,"Evaluación",Datos_problemas!$E:$E,"Final"),""))</f>
        <v/>
      </c>
      <c r="I273" s="21" t="str">
        <f aca="false">IF(OR(G273="",H273=""),"",IF(G273&gt;=10,"",(H273-G273)/(10-G273)))</f>
        <v/>
      </c>
      <c r="J273" s="18" t="str">
        <f aca="false">IF($B273="","",IFERROR(SUMIFS(Datos_items!$Z:$Z,Datos_items!$B:$B,$B273,Datos_items!$O:$O,J$4,Datos_items!$E:$E,Analisis_grupo!$C$4)/COUNTIFS(Datos_items!$B:$B,$B273,Datos_items!$O:$O,J$4,Datos_items!$E:$E,Analisis_grupo!$C$4),""))</f>
        <v/>
      </c>
      <c r="K273" s="18" t="str">
        <f aca="false">IF($B273="","",IFERROR(SUMIFS(Datos_items!$Z:$Z,Datos_items!$B:$B,$B273,Datos_items!$O:$O,K$4,Datos_items!$E:$E,Analisis_grupo!$C$4)/COUNTIFS(Datos_items!$B:$B,$B273,Datos_items!$O:$O,K$4,Datos_items!$E:$E,Analisis_grupo!$C$4),""))</f>
        <v/>
      </c>
      <c r="L273" s="18" t="str">
        <f aca="false">IF($B273="","",IFERROR(SUMIFS(Datos_items!$Z:$Z,Datos_items!$B:$B,$B273,Datos_items!$O:$O,L$4,Datos_items!$E:$E,Analisis_grupo!$C$4)/COUNTIFS(Datos_items!$B:$B,$B273,Datos_items!$O:$O,L$4,Datos_items!$E:$E,Analisis_grupo!$C$4),""))</f>
        <v/>
      </c>
      <c r="M273" s="18" t="str">
        <f aca="false">IF($B273="","",IFERROR(SUMIFS(Datos_items!$Z:$Z,Datos_items!$B:$B,$B273,Datos_items!$O:$O,M$4,Datos_items!$E:$E,Analisis_grupo!$C$4)/COUNTIFS(Datos_items!$B:$B,$B273,Datos_items!$O:$O,M$4,Datos_items!$E:$E,Analisis_grupo!$C$4),""))</f>
        <v/>
      </c>
      <c r="N273" s="18" t="str">
        <f aca="false">IF($B273="","",IFERROR(SUMIFS(Datos_items!$Z:$Z,Datos_items!$B:$B,$B273,Datos_items!$O:$O,N$4,Datos_items!$E:$E,Analisis_grupo!$C$4)/COUNTIFS(Datos_items!$B:$B,$B273,Datos_items!$O:$O,N$4,Datos_items!$E:$E,Analisis_grupo!$C$4),""))</f>
        <v/>
      </c>
      <c r="O273" s="18" t="str">
        <f aca="false">IF($B273="","",IFERROR(SUMIFS(Datos_items!$Z:$Z,Datos_items!$B:$B,$B273,Datos_items!$O:$O,O$4,Datos_items!$E:$E,Analisis_grupo!$C$4)/COUNTIFS(Datos_items!$B:$B,$B273,Datos_items!$O:$O,O$4,Datos_items!$E:$E,Analisis_grupo!$C$4),""))</f>
        <v/>
      </c>
      <c r="P273" s="18" t="str">
        <f aca="false">IF($B273="","",IFERROR(SUMIFS(Datos_items!$Z:$Z,Datos_items!$B:$B,$B273,Datos_items!$O:$O,P$4,Datos_items!$E:$E,Analisis_grupo!$C$4)/COUNTIFS(Datos_items!$B:$B,$B273,Datos_items!$O:$O,P$4,Datos_items!$E:$E,Analisis_grupo!$C$4),""))</f>
        <v/>
      </c>
      <c r="Q273" s="18" t="str">
        <f aca="false">IF($B273="","",IFERROR(SUMIFS(Datos_items!$Z:$Z,Datos_items!$B:$B,$B273,Datos_items!$O:$O,Q$4,Datos_items!$E:$E,Analisis_grupo!$C$4)/COUNTIFS(Datos_items!$B:$B,$B273,Datos_items!$O:$O,Q$4,Datos_items!$E:$E,Analisis_grupo!$C$4),""))</f>
        <v/>
      </c>
      <c r="R273" s="2" t="str">
        <f aca="false">IF(COUNT(J273:Q273)=0,"",IF(MIN(J273:Q273)&gt;=Analisis_grupo!$B$7,"(ninguna)",INDEX($J$4:$Q$4,MATCH(MIN(J273:Q273),J273:Q273,0))))</f>
        <v/>
      </c>
      <c r="S273" s="2" t="str">
        <f aca="false">IF($B273="","",COUNTIF(J273:Q273,"&lt;"&amp;Analisis_grupo!$B$7))</f>
        <v/>
      </c>
      <c r="T273" s="2" t="str">
        <f aca="false">IF($B273="","",COUNTIFS(Datos_items!$B:$B,$B273,Datos_items!$AA:$AA,T$4,Datos_items!$E:$E,Analisis_grupo!$C$4))</f>
        <v/>
      </c>
      <c r="U273" s="2" t="str">
        <f aca="false">IF($B273="","",COUNTIFS(Datos_items!$B:$B,$B273,Datos_items!$AA:$AA,U$4,Datos_items!$E:$E,Analisis_grupo!$C$4))</f>
        <v/>
      </c>
      <c r="V273" s="2" t="str">
        <f aca="false">IF($B273="","",COUNTIFS(Datos_items!$B:$B,$B273,Datos_items!$AA:$AA,V$4,Datos_items!$E:$E,Analisis_grupo!$C$4))</f>
        <v/>
      </c>
      <c r="W273" s="2" t="str">
        <f aca="false">IF($B273="","",COUNTIFS(Datos_items!$B:$B,$B273,Datos_items!$AA:$AA,W$4,Datos_items!$E:$E,Analisis_grupo!$C$4))</f>
        <v/>
      </c>
      <c r="X273" s="2" t="str">
        <f aca="false">IF($B273="","",COUNTIFS(Datos_items!$B:$B,$B273,Datos_items!$AA:$AA,X$4,Datos_items!$E:$E,Analisis_grupo!$C$4))</f>
        <v/>
      </c>
      <c r="Y273" s="2" t="str">
        <f aca="false">IF($B273="","",COUNTIFS(Datos_items!$B:$B,$B273,Datos_items!$AA:$AA,Y$4,Datos_items!$E:$E,Analisis_grupo!$C$4))</f>
        <v/>
      </c>
      <c r="Z273" s="2" t="str">
        <f aca="false">IF($B273="","",COUNTIFS(Datos_items!$B:$B,$B273,Datos_items!$AA:$AA,Z$4,Datos_items!$E:$E,Analisis_grupo!$C$4))</f>
        <v/>
      </c>
      <c r="AA273" s="2" t="str">
        <f aca="false">IF($B273="","",COUNTIFS(Datos_items!$B:$B,$B273,Datos_items!$AA:$AA,AA$4,Datos_items!$E:$E,Analisis_grupo!$C$4))</f>
        <v/>
      </c>
      <c r="AB273" s="2" t="str">
        <f aca="false">IF($B273="","",COUNTIFS(Datos_items!$B:$B,$B273,Datos_items!$AA:$AA,AB$4,Datos_items!$E:$E,Analisis_grupo!$C$4))</f>
        <v/>
      </c>
      <c r="AC273" s="2" t="str">
        <f aca="false">IF($B273="","",COUNTIFS(Datos_items!$B:$B,$B273,Datos_items!$AA:$AA,AC$4,Datos_items!$E:$E,Analisis_grupo!$C$4))</f>
        <v/>
      </c>
      <c r="AD273" s="2" t="str">
        <f aca="false">IF($B273="","",COUNTIFS(Datos_items!$B:$B,$B273,Datos_items!$AA:$AA,AD$4,Datos_items!$E:$E,Analisis_grupo!$C$4))</f>
        <v/>
      </c>
      <c r="AE273" s="2" t="str">
        <f aca="false">IF($B273="","",COUNTIFS(Datos_items!$B:$B,$B273,Datos_items!$AA:$AA,AE$4,Datos_items!$E:$E,Analisis_grupo!$C$4))</f>
        <v/>
      </c>
      <c r="AF273" s="2" t="str">
        <f aca="false">IF($B273="","",COUNTIFS(Datos_items!$B:$B,$B273,Datos_items!$AA:$AA,AF$4,Datos_items!$E:$E,Analisis_grupo!$C$4))</f>
        <v/>
      </c>
      <c r="AG273" s="2" t="str">
        <f aca="false">IF($B273="","",COUNTIFS(Datos_items!$B:$B,$B273,Datos_items!$AA:$AA,AG$4,Datos_items!$E:$E,Analisis_grupo!$C$4))</f>
        <v/>
      </c>
      <c r="AH273" s="2" t="str">
        <f aca="false">IF($B273="","",COUNTIFS(Datos_items!$B:$B,$B273,Datos_items!$AA:$AA,AH$4,Datos_items!$E:$E,Analisis_grupo!$C$4))</f>
        <v/>
      </c>
      <c r="AI273" s="2" t="str">
        <f aca="false">IF($B273="","",COUNTIFS(Datos_items!$B:$B,$B273,Datos_items!$AA:$AA,AI$4,Datos_items!$E:$E,Analisis_grupo!$C$4))</f>
        <v/>
      </c>
      <c r="AJ273" s="2" t="str">
        <f aca="false">IF($B273="","",COUNTIFS(Datos_items!$B:$B,$B273,Datos_items!$AA:$AA,AJ$4,Datos_items!$E:$E,Analisis_grupo!$C$4))</f>
        <v/>
      </c>
      <c r="AK273" s="2" t="str">
        <f aca="false">IF($B273="","",COUNTIFS(Datos_items!$B:$B,$B273,Datos_items!$AA:$AA,AK$4,Datos_items!$E:$E,Analisis_grupo!$C$4))</f>
        <v/>
      </c>
      <c r="AL273" s="2" t="str">
        <f aca="false">IF($B273="","",COUNTIFS(Datos_items!$B:$B,$B273,Datos_items!$AA:$AA,AL$4,Datos_items!$E:$E,Analisis_grupo!$C$4))</f>
        <v/>
      </c>
      <c r="AM273" s="2" t="str">
        <f aca="false">IF($B273="","",IF(MAX(Y273:AL273)=0,"",INDEX($Y$4:$AL$4,MATCH(MAX(Y273:AL273),Y273:AL273,0))))</f>
        <v/>
      </c>
      <c r="AN273" s="2" t="str">
        <f aca="false">IF($B273="","",COUNTIFS(Datos_problemas!$B:$B,$B273,Datos_problemas!$F:$F,"Práctica"))</f>
        <v/>
      </c>
      <c r="AO273" s="2" t="str">
        <f aca="false">IF($B273="","",SUMIFS(Datos_problemas!$AQ:$AQ,Datos_problemas!$B:$B,$B273,Datos_problemas!$F:$F,"Práctica"))</f>
        <v/>
      </c>
      <c r="AP273" s="2" t="str">
        <f aca="false">IF($B273="","",COUNTIFS(Datos_problemas!$B:$B,$B273,Datos_problemas!$F:$F,"Práctica",Datos_problemas!$AS:$AS,"Sí"))</f>
        <v/>
      </c>
    </row>
    <row r="274" customFormat="false" ht="15" hidden="false" customHeight="false" outlineLevel="0" collapsed="false">
      <c r="A274" s="2" t="n">
        <v>270</v>
      </c>
      <c r="B274" s="2" t="str">
        <f aca="false">IFERROR(INDEX(Datos_problemas!$B:$B,MATCH($A274,Datos_problemas!$AV:$AV,0)),"")</f>
        <v/>
      </c>
      <c r="C274" s="2" t="str">
        <f aca="false">IF($B274="","",INDEX(Datos_problemas!$C:$C,MATCH($A274,Datos_problemas!$AV:$AV,0)))</f>
        <v/>
      </c>
      <c r="D274" s="2" t="str">
        <f aca="false">IF($B274="","",INDEX(Datos_problemas!$D:$D,MATCH($A274,Datos_problemas!$AV:$AV,0)))</f>
        <v/>
      </c>
      <c r="E274" s="2" t="str">
        <f aca="false">IF($B274="","",COUNTIFS(Datos_problemas!$B:$B,$B274,Datos_problemas!$F:$F,"Evaluación"))</f>
        <v/>
      </c>
      <c r="F274" s="20" t="str">
        <f aca="false">IF($B274="","",IFERROR(AVERAGEIFS(Datos_problemas!$AE:$AE,Datos_problemas!$B:$B,$B274,Datos_problemas!$F:$F,"Evaluación"),""))</f>
        <v/>
      </c>
      <c r="G274" s="20" t="str">
        <f aca="false">IF($B274="","",IFERROR(AVERAGEIFS(Datos_problemas!$AE:$AE,Datos_problemas!$B:$B,$B274,Datos_problemas!$F:$F,"Evaluación",Datos_problemas!$E:$E,"Diagnóstico"),""))</f>
        <v/>
      </c>
      <c r="H274" s="20" t="str">
        <f aca="false">IF($B274="","",IFERROR(AVERAGEIFS(Datos_problemas!$AE:$AE,Datos_problemas!$B:$B,$B274,Datos_problemas!$F:$F,"Evaluación",Datos_problemas!$E:$E,"Final"),""))</f>
        <v/>
      </c>
      <c r="I274" s="21" t="str">
        <f aca="false">IF(OR(G274="",H274=""),"",IF(G274&gt;=10,"",(H274-G274)/(10-G274)))</f>
        <v/>
      </c>
      <c r="J274" s="18" t="str">
        <f aca="false">IF($B274="","",IFERROR(SUMIFS(Datos_items!$Z:$Z,Datos_items!$B:$B,$B274,Datos_items!$O:$O,J$4,Datos_items!$E:$E,Analisis_grupo!$C$4)/COUNTIFS(Datos_items!$B:$B,$B274,Datos_items!$O:$O,J$4,Datos_items!$E:$E,Analisis_grupo!$C$4),""))</f>
        <v/>
      </c>
      <c r="K274" s="18" t="str">
        <f aca="false">IF($B274="","",IFERROR(SUMIFS(Datos_items!$Z:$Z,Datos_items!$B:$B,$B274,Datos_items!$O:$O,K$4,Datos_items!$E:$E,Analisis_grupo!$C$4)/COUNTIFS(Datos_items!$B:$B,$B274,Datos_items!$O:$O,K$4,Datos_items!$E:$E,Analisis_grupo!$C$4),""))</f>
        <v/>
      </c>
      <c r="L274" s="18" t="str">
        <f aca="false">IF($B274="","",IFERROR(SUMIFS(Datos_items!$Z:$Z,Datos_items!$B:$B,$B274,Datos_items!$O:$O,L$4,Datos_items!$E:$E,Analisis_grupo!$C$4)/COUNTIFS(Datos_items!$B:$B,$B274,Datos_items!$O:$O,L$4,Datos_items!$E:$E,Analisis_grupo!$C$4),""))</f>
        <v/>
      </c>
      <c r="M274" s="18" t="str">
        <f aca="false">IF($B274="","",IFERROR(SUMIFS(Datos_items!$Z:$Z,Datos_items!$B:$B,$B274,Datos_items!$O:$O,M$4,Datos_items!$E:$E,Analisis_grupo!$C$4)/COUNTIFS(Datos_items!$B:$B,$B274,Datos_items!$O:$O,M$4,Datos_items!$E:$E,Analisis_grupo!$C$4),""))</f>
        <v/>
      </c>
      <c r="N274" s="18" t="str">
        <f aca="false">IF($B274="","",IFERROR(SUMIFS(Datos_items!$Z:$Z,Datos_items!$B:$B,$B274,Datos_items!$O:$O,N$4,Datos_items!$E:$E,Analisis_grupo!$C$4)/COUNTIFS(Datos_items!$B:$B,$B274,Datos_items!$O:$O,N$4,Datos_items!$E:$E,Analisis_grupo!$C$4),""))</f>
        <v/>
      </c>
      <c r="O274" s="18" t="str">
        <f aca="false">IF($B274="","",IFERROR(SUMIFS(Datos_items!$Z:$Z,Datos_items!$B:$B,$B274,Datos_items!$O:$O,O$4,Datos_items!$E:$E,Analisis_grupo!$C$4)/COUNTIFS(Datos_items!$B:$B,$B274,Datos_items!$O:$O,O$4,Datos_items!$E:$E,Analisis_grupo!$C$4),""))</f>
        <v/>
      </c>
      <c r="P274" s="18" t="str">
        <f aca="false">IF($B274="","",IFERROR(SUMIFS(Datos_items!$Z:$Z,Datos_items!$B:$B,$B274,Datos_items!$O:$O,P$4,Datos_items!$E:$E,Analisis_grupo!$C$4)/COUNTIFS(Datos_items!$B:$B,$B274,Datos_items!$O:$O,P$4,Datos_items!$E:$E,Analisis_grupo!$C$4),""))</f>
        <v/>
      </c>
      <c r="Q274" s="18" t="str">
        <f aca="false">IF($B274="","",IFERROR(SUMIFS(Datos_items!$Z:$Z,Datos_items!$B:$B,$B274,Datos_items!$O:$O,Q$4,Datos_items!$E:$E,Analisis_grupo!$C$4)/COUNTIFS(Datos_items!$B:$B,$B274,Datos_items!$O:$O,Q$4,Datos_items!$E:$E,Analisis_grupo!$C$4),""))</f>
        <v/>
      </c>
      <c r="R274" s="2" t="str">
        <f aca="false">IF(COUNT(J274:Q274)=0,"",IF(MIN(J274:Q274)&gt;=Analisis_grupo!$B$7,"(ninguna)",INDEX($J$4:$Q$4,MATCH(MIN(J274:Q274),J274:Q274,0))))</f>
        <v/>
      </c>
      <c r="S274" s="2" t="str">
        <f aca="false">IF($B274="","",COUNTIF(J274:Q274,"&lt;"&amp;Analisis_grupo!$B$7))</f>
        <v/>
      </c>
      <c r="T274" s="2" t="str">
        <f aca="false">IF($B274="","",COUNTIFS(Datos_items!$B:$B,$B274,Datos_items!$AA:$AA,T$4,Datos_items!$E:$E,Analisis_grupo!$C$4))</f>
        <v/>
      </c>
      <c r="U274" s="2" t="str">
        <f aca="false">IF($B274="","",COUNTIFS(Datos_items!$B:$B,$B274,Datos_items!$AA:$AA,U$4,Datos_items!$E:$E,Analisis_grupo!$C$4))</f>
        <v/>
      </c>
      <c r="V274" s="2" t="str">
        <f aca="false">IF($B274="","",COUNTIFS(Datos_items!$B:$B,$B274,Datos_items!$AA:$AA,V$4,Datos_items!$E:$E,Analisis_grupo!$C$4))</f>
        <v/>
      </c>
      <c r="W274" s="2" t="str">
        <f aca="false">IF($B274="","",COUNTIFS(Datos_items!$B:$B,$B274,Datos_items!$AA:$AA,W$4,Datos_items!$E:$E,Analisis_grupo!$C$4))</f>
        <v/>
      </c>
      <c r="X274" s="2" t="str">
        <f aca="false">IF($B274="","",COUNTIFS(Datos_items!$B:$B,$B274,Datos_items!$AA:$AA,X$4,Datos_items!$E:$E,Analisis_grupo!$C$4))</f>
        <v/>
      </c>
      <c r="Y274" s="2" t="str">
        <f aca="false">IF($B274="","",COUNTIFS(Datos_items!$B:$B,$B274,Datos_items!$AA:$AA,Y$4,Datos_items!$E:$E,Analisis_grupo!$C$4))</f>
        <v/>
      </c>
      <c r="Z274" s="2" t="str">
        <f aca="false">IF($B274="","",COUNTIFS(Datos_items!$B:$B,$B274,Datos_items!$AA:$AA,Z$4,Datos_items!$E:$E,Analisis_grupo!$C$4))</f>
        <v/>
      </c>
      <c r="AA274" s="2" t="str">
        <f aca="false">IF($B274="","",COUNTIFS(Datos_items!$B:$B,$B274,Datos_items!$AA:$AA,AA$4,Datos_items!$E:$E,Analisis_grupo!$C$4))</f>
        <v/>
      </c>
      <c r="AB274" s="2" t="str">
        <f aca="false">IF($B274="","",COUNTIFS(Datos_items!$B:$B,$B274,Datos_items!$AA:$AA,AB$4,Datos_items!$E:$E,Analisis_grupo!$C$4))</f>
        <v/>
      </c>
      <c r="AC274" s="2" t="str">
        <f aca="false">IF($B274="","",COUNTIFS(Datos_items!$B:$B,$B274,Datos_items!$AA:$AA,AC$4,Datos_items!$E:$E,Analisis_grupo!$C$4))</f>
        <v/>
      </c>
      <c r="AD274" s="2" t="str">
        <f aca="false">IF($B274="","",COUNTIFS(Datos_items!$B:$B,$B274,Datos_items!$AA:$AA,AD$4,Datos_items!$E:$E,Analisis_grupo!$C$4))</f>
        <v/>
      </c>
      <c r="AE274" s="2" t="str">
        <f aca="false">IF($B274="","",COUNTIFS(Datos_items!$B:$B,$B274,Datos_items!$AA:$AA,AE$4,Datos_items!$E:$E,Analisis_grupo!$C$4))</f>
        <v/>
      </c>
      <c r="AF274" s="2" t="str">
        <f aca="false">IF($B274="","",COUNTIFS(Datos_items!$B:$B,$B274,Datos_items!$AA:$AA,AF$4,Datos_items!$E:$E,Analisis_grupo!$C$4))</f>
        <v/>
      </c>
      <c r="AG274" s="2" t="str">
        <f aca="false">IF($B274="","",COUNTIFS(Datos_items!$B:$B,$B274,Datos_items!$AA:$AA,AG$4,Datos_items!$E:$E,Analisis_grupo!$C$4))</f>
        <v/>
      </c>
      <c r="AH274" s="2" t="str">
        <f aca="false">IF($B274="","",COUNTIFS(Datos_items!$B:$B,$B274,Datos_items!$AA:$AA,AH$4,Datos_items!$E:$E,Analisis_grupo!$C$4))</f>
        <v/>
      </c>
      <c r="AI274" s="2" t="str">
        <f aca="false">IF($B274="","",COUNTIFS(Datos_items!$B:$B,$B274,Datos_items!$AA:$AA,AI$4,Datos_items!$E:$E,Analisis_grupo!$C$4))</f>
        <v/>
      </c>
      <c r="AJ274" s="2" t="str">
        <f aca="false">IF($B274="","",COUNTIFS(Datos_items!$B:$B,$B274,Datos_items!$AA:$AA,AJ$4,Datos_items!$E:$E,Analisis_grupo!$C$4))</f>
        <v/>
      </c>
      <c r="AK274" s="2" t="str">
        <f aca="false">IF($B274="","",COUNTIFS(Datos_items!$B:$B,$B274,Datos_items!$AA:$AA,AK$4,Datos_items!$E:$E,Analisis_grupo!$C$4))</f>
        <v/>
      </c>
      <c r="AL274" s="2" t="str">
        <f aca="false">IF($B274="","",COUNTIFS(Datos_items!$B:$B,$B274,Datos_items!$AA:$AA,AL$4,Datos_items!$E:$E,Analisis_grupo!$C$4))</f>
        <v/>
      </c>
      <c r="AM274" s="2" t="str">
        <f aca="false">IF($B274="","",IF(MAX(Y274:AL274)=0,"",INDEX($Y$4:$AL$4,MATCH(MAX(Y274:AL274),Y274:AL274,0))))</f>
        <v/>
      </c>
      <c r="AN274" s="2" t="str">
        <f aca="false">IF($B274="","",COUNTIFS(Datos_problemas!$B:$B,$B274,Datos_problemas!$F:$F,"Práctica"))</f>
        <v/>
      </c>
      <c r="AO274" s="2" t="str">
        <f aca="false">IF($B274="","",SUMIFS(Datos_problemas!$AQ:$AQ,Datos_problemas!$B:$B,$B274,Datos_problemas!$F:$F,"Práctica"))</f>
        <v/>
      </c>
      <c r="AP274" s="2" t="str">
        <f aca="false">IF($B274="","",COUNTIFS(Datos_problemas!$B:$B,$B274,Datos_problemas!$F:$F,"Práctica",Datos_problemas!$AS:$AS,"Sí"))</f>
        <v/>
      </c>
    </row>
    <row r="275" customFormat="false" ht="15" hidden="false" customHeight="false" outlineLevel="0" collapsed="false">
      <c r="A275" s="2" t="n">
        <v>271</v>
      </c>
      <c r="B275" s="2" t="str">
        <f aca="false">IFERROR(INDEX(Datos_problemas!$B:$B,MATCH($A275,Datos_problemas!$AV:$AV,0)),"")</f>
        <v/>
      </c>
      <c r="C275" s="2" t="str">
        <f aca="false">IF($B275="","",INDEX(Datos_problemas!$C:$C,MATCH($A275,Datos_problemas!$AV:$AV,0)))</f>
        <v/>
      </c>
      <c r="D275" s="2" t="str">
        <f aca="false">IF($B275="","",INDEX(Datos_problemas!$D:$D,MATCH($A275,Datos_problemas!$AV:$AV,0)))</f>
        <v/>
      </c>
      <c r="E275" s="2" t="str">
        <f aca="false">IF($B275="","",COUNTIFS(Datos_problemas!$B:$B,$B275,Datos_problemas!$F:$F,"Evaluación"))</f>
        <v/>
      </c>
      <c r="F275" s="20" t="str">
        <f aca="false">IF($B275="","",IFERROR(AVERAGEIFS(Datos_problemas!$AE:$AE,Datos_problemas!$B:$B,$B275,Datos_problemas!$F:$F,"Evaluación"),""))</f>
        <v/>
      </c>
      <c r="G275" s="20" t="str">
        <f aca="false">IF($B275="","",IFERROR(AVERAGEIFS(Datos_problemas!$AE:$AE,Datos_problemas!$B:$B,$B275,Datos_problemas!$F:$F,"Evaluación",Datos_problemas!$E:$E,"Diagnóstico"),""))</f>
        <v/>
      </c>
      <c r="H275" s="20" t="str">
        <f aca="false">IF($B275="","",IFERROR(AVERAGEIFS(Datos_problemas!$AE:$AE,Datos_problemas!$B:$B,$B275,Datos_problemas!$F:$F,"Evaluación",Datos_problemas!$E:$E,"Final"),""))</f>
        <v/>
      </c>
      <c r="I275" s="21" t="str">
        <f aca="false">IF(OR(G275="",H275=""),"",IF(G275&gt;=10,"",(H275-G275)/(10-G275)))</f>
        <v/>
      </c>
      <c r="J275" s="18" t="str">
        <f aca="false">IF($B275="","",IFERROR(SUMIFS(Datos_items!$Z:$Z,Datos_items!$B:$B,$B275,Datos_items!$O:$O,J$4,Datos_items!$E:$E,Analisis_grupo!$C$4)/COUNTIFS(Datos_items!$B:$B,$B275,Datos_items!$O:$O,J$4,Datos_items!$E:$E,Analisis_grupo!$C$4),""))</f>
        <v/>
      </c>
      <c r="K275" s="18" t="str">
        <f aca="false">IF($B275="","",IFERROR(SUMIFS(Datos_items!$Z:$Z,Datos_items!$B:$B,$B275,Datos_items!$O:$O,K$4,Datos_items!$E:$E,Analisis_grupo!$C$4)/COUNTIFS(Datos_items!$B:$B,$B275,Datos_items!$O:$O,K$4,Datos_items!$E:$E,Analisis_grupo!$C$4),""))</f>
        <v/>
      </c>
      <c r="L275" s="18" t="str">
        <f aca="false">IF($B275="","",IFERROR(SUMIFS(Datos_items!$Z:$Z,Datos_items!$B:$B,$B275,Datos_items!$O:$O,L$4,Datos_items!$E:$E,Analisis_grupo!$C$4)/COUNTIFS(Datos_items!$B:$B,$B275,Datos_items!$O:$O,L$4,Datos_items!$E:$E,Analisis_grupo!$C$4),""))</f>
        <v/>
      </c>
      <c r="M275" s="18" t="str">
        <f aca="false">IF($B275="","",IFERROR(SUMIFS(Datos_items!$Z:$Z,Datos_items!$B:$B,$B275,Datos_items!$O:$O,M$4,Datos_items!$E:$E,Analisis_grupo!$C$4)/COUNTIFS(Datos_items!$B:$B,$B275,Datos_items!$O:$O,M$4,Datos_items!$E:$E,Analisis_grupo!$C$4),""))</f>
        <v/>
      </c>
      <c r="N275" s="18" t="str">
        <f aca="false">IF($B275="","",IFERROR(SUMIFS(Datos_items!$Z:$Z,Datos_items!$B:$B,$B275,Datos_items!$O:$O,N$4,Datos_items!$E:$E,Analisis_grupo!$C$4)/COUNTIFS(Datos_items!$B:$B,$B275,Datos_items!$O:$O,N$4,Datos_items!$E:$E,Analisis_grupo!$C$4),""))</f>
        <v/>
      </c>
      <c r="O275" s="18" t="str">
        <f aca="false">IF($B275="","",IFERROR(SUMIFS(Datos_items!$Z:$Z,Datos_items!$B:$B,$B275,Datos_items!$O:$O,O$4,Datos_items!$E:$E,Analisis_grupo!$C$4)/COUNTIFS(Datos_items!$B:$B,$B275,Datos_items!$O:$O,O$4,Datos_items!$E:$E,Analisis_grupo!$C$4),""))</f>
        <v/>
      </c>
      <c r="P275" s="18" t="str">
        <f aca="false">IF($B275="","",IFERROR(SUMIFS(Datos_items!$Z:$Z,Datos_items!$B:$B,$B275,Datos_items!$O:$O,P$4,Datos_items!$E:$E,Analisis_grupo!$C$4)/COUNTIFS(Datos_items!$B:$B,$B275,Datos_items!$O:$O,P$4,Datos_items!$E:$E,Analisis_grupo!$C$4),""))</f>
        <v/>
      </c>
      <c r="Q275" s="18" t="str">
        <f aca="false">IF($B275="","",IFERROR(SUMIFS(Datos_items!$Z:$Z,Datos_items!$B:$B,$B275,Datos_items!$O:$O,Q$4,Datos_items!$E:$E,Analisis_grupo!$C$4)/COUNTIFS(Datos_items!$B:$B,$B275,Datos_items!$O:$O,Q$4,Datos_items!$E:$E,Analisis_grupo!$C$4),""))</f>
        <v/>
      </c>
      <c r="R275" s="2" t="str">
        <f aca="false">IF(COUNT(J275:Q275)=0,"",IF(MIN(J275:Q275)&gt;=Analisis_grupo!$B$7,"(ninguna)",INDEX($J$4:$Q$4,MATCH(MIN(J275:Q275),J275:Q275,0))))</f>
        <v/>
      </c>
      <c r="S275" s="2" t="str">
        <f aca="false">IF($B275="","",COUNTIF(J275:Q275,"&lt;"&amp;Analisis_grupo!$B$7))</f>
        <v/>
      </c>
      <c r="T275" s="2" t="str">
        <f aca="false">IF($B275="","",COUNTIFS(Datos_items!$B:$B,$B275,Datos_items!$AA:$AA,T$4,Datos_items!$E:$E,Analisis_grupo!$C$4))</f>
        <v/>
      </c>
      <c r="U275" s="2" t="str">
        <f aca="false">IF($B275="","",COUNTIFS(Datos_items!$B:$B,$B275,Datos_items!$AA:$AA,U$4,Datos_items!$E:$E,Analisis_grupo!$C$4))</f>
        <v/>
      </c>
      <c r="V275" s="2" t="str">
        <f aca="false">IF($B275="","",COUNTIFS(Datos_items!$B:$B,$B275,Datos_items!$AA:$AA,V$4,Datos_items!$E:$E,Analisis_grupo!$C$4))</f>
        <v/>
      </c>
      <c r="W275" s="2" t="str">
        <f aca="false">IF($B275="","",COUNTIFS(Datos_items!$B:$B,$B275,Datos_items!$AA:$AA,W$4,Datos_items!$E:$E,Analisis_grupo!$C$4))</f>
        <v/>
      </c>
      <c r="X275" s="2" t="str">
        <f aca="false">IF($B275="","",COUNTIFS(Datos_items!$B:$B,$B275,Datos_items!$AA:$AA,X$4,Datos_items!$E:$E,Analisis_grupo!$C$4))</f>
        <v/>
      </c>
      <c r="Y275" s="2" t="str">
        <f aca="false">IF($B275="","",COUNTIFS(Datos_items!$B:$B,$B275,Datos_items!$AA:$AA,Y$4,Datos_items!$E:$E,Analisis_grupo!$C$4))</f>
        <v/>
      </c>
      <c r="Z275" s="2" t="str">
        <f aca="false">IF($B275="","",COUNTIFS(Datos_items!$B:$B,$B275,Datos_items!$AA:$AA,Z$4,Datos_items!$E:$E,Analisis_grupo!$C$4))</f>
        <v/>
      </c>
      <c r="AA275" s="2" t="str">
        <f aca="false">IF($B275="","",COUNTIFS(Datos_items!$B:$B,$B275,Datos_items!$AA:$AA,AA$4,Datos_items!$E:$E,Analisis_grupo!$C$4))</f>
        <v/>
      </c>
      <c r="AB275" s="2" t="str">
        <f aca="false">IF($B275="","",COUNTIFS(Datos_items!$B:$B,$B275,Datos_items!$AA:$AA,AB$4,Datos_items!$E:$E,Analisis_grupo!$C$4))</f>
        <v/>
      </c>
      <c r="AC275" s="2" t="str">
        <f aca="false">IF($B275="","",COUNTIFS(Datos_items!$B:$B,$B275,Datos_items!$AA:$AA,AC$4,Datos_items!$E:$E,Analisis_grupo!$C$4))</f>
        <v/>
      </c>
      <c r="AD275" s="2" t="str">
        <f aca="false">IF($B275="","",COUNTIFS(Datos_items!$B:$B,$B275,Datos_items!$AA:$AA,AD$4,Datos_items!$E:$E,Analisis_grupo!$C$4))</f>
        <v/>
      </c>
      <c r="AE275" s="2" t="str">
        <f aca="false">IF($B275="","",COUNTIFS(Datos_items!$B:$B,$B275,Datos_items!$AA:$AA,AE$4,Datos_items!$E:$E,Analisis_grupo!$C$4))</f>
        <v/>
      </c>
      <c r="AF275" s="2" t="str">
        <f aca="false">IF($B275="","",COUNTIFS(Datos_items!$B:$B,$B275,Datos_items!$AA:$AA,AF$4,Datos_items!$E:$E,Analisis_grupo!$C$4))</f>
        <v/>
      </c>
      <c r="AG275" s="2" t="str">
        <f aca="false">IF($B275="","",COUNTIFS(Datos_items!$B:$B,$B275,Datos_items!$AA:$AA,AG$4,Datos_items!$E:$E,Analisis_grupo!$C$4))</f>
        <v/>
      </c>
      <c r="AH275" s="2" t="str">
        <f aca="false">IF($B275="","",COUNTIFS(Datos_items!$B:$B,$B275,Datos_items!$AA:$AA,AH$4,Datos_items!$E:$E,Analisis_grupo!$C$4))</f>
        <v/>
      </c>
      <c r="AI275" s="2" t="str">
        <f aca="false">IF($B275="","",COUNTIFS(Datos_items!$B:$B,$B275,Datos_items!$AA:$AA,AI$4,Datos_items!$E:$E,Analisis_grupo!$C$4))</f>
        <v/>
      </c>
      <c r="AJ275" s="2" t="str">
        <f aca="false">IF($B275="","",COUNTIFS(Datos_items!$B:$B,$B275,Datos_items!$AA:$AA,AJ$4,Datos_items!$E:$E,Analisis_grupo!$C$4))</f>
        <v/>
      </c>
      <c r="AK275" s="2" t="str">
        <f aca="false">IF($B275="","",COUNTIFS(Datos_items!$B:$B,$B275,Datos_items!$AA:$AA,AK$4,Datos_items!$E:$E,Analisis_grupo!$C$4))</f>
        <v/>
      </c>
      <c r="AL275" s="2" t="str">
        <f aca="false">IF($B275="","",COUNTIFS(Datos_items!$B:$B,$B275,Datos_items!$AA:$AA,AL$4,Datos_items!$E:$E,Analisis_grupo!$C$4))</f>
        <v/>
      </c>
      <c r="AM275" s="2" t="str">
        <f aca="false">IF($B275="","",IF(MAX(Y275:AL275)=0,"",INDEX($Y$4:$AL$4,MATCH(MAX(Y275:AL275),Y275:AL275,0))))</f>
        <v/>
      </c>
      <c r="AN275" s="2" t="str">
        <f aca="false">IF($B275="","",COUNTIFS(Datos_problemas!$B:$B,$B275,Datos_problemas!$F:$F,"Práctica"))</f>
        <v/>
      </c>
      <c r="AO275" s="2" t="str">
        <f aca="false">IF($B275="","",SUMIFS(Datos_problemas!$AQ:$AQ,Datos_problemas!$B:$B,$B275,Datos_problemas!$F:$F,"Práctica"))</f>
        <v/>
      </c>
      <c r="AP275" s="2" t="str">
        <f aca="false">IF($B275="","",COUNTIFS(Datos_problemas!$B:$B,$B275,Datos_problemas!$F:$F,"Práctica",Datos_problemas!$AS:$AS,"Sí"))</f>
        <v/>
      </c>
    </row>
    <row r="276" customFormat="false" ht="15" hidden="false" customHeight="false" outlineLevel="0" collapsed="false">
      <c r="A276" s="2" t="n">
        <v>272</v>
      </c>
      <c r="B276" s="2" t="str">
        <f aca="false">IFERROR(INDEX(Datos_problemas!$B:$B,MATCH($A276,Datos_problemas!$AV:$AV,0)),"")</f>
        <v/>
      </c>
      <c r="C276" s="2" t="str">
        <f aca="false">IF($B276="","",INDEX(Datos_problemas!$C:$C,MATCH($A276,Datos_problemas!$AV:$AV,0)))</f>
        <v/>
      </c>
      <c r="D276" s="2" t="str">
        <f aca="false">IF($B276="","",INDEX(Datos_problemas!$D:$D,MATCH($A276,Datos_problemas!$AV:$AV,0)))</f>
        <v/>
      </c>
      <c r="E276" s="2" t="str">
        <f aca="false">IF($B276="","",COUNTIFS(Datos_problemas!$B:$B,$B276,Datos_problemas!$F:$F,"Evaluación"))</f>
        <v/>
      </c>
      <c r="F276" s="20" t="str">
        <f aca="false">IF($B276="","",IFERROR(AVERAGEIFS(Datos_problemas!$AE:$AE,Datos_problemas!$B:$B,$B276,Datos_problemas!$F:$F,"Evaluación"),""))</f>
        <v/>
      </c>
      <c r="G276" s="20" t="str">
        <f aca="false">IF($B276="","",IFERROR(AVERAGEIFS(Datos_problemas!$AE:$AE,Datos_problemas!$B:$B,$B276,Datos_problemas!$F:$F,"Evaluación",Datos_problemas!$E:$E,"Diagnóstico"),""))</f>
        <v/>
      </c>
      <c r="H276" s="20" t="str">
        <f aca="false">IF($B276="","",IFERROR(AVERAGEIFS(Datos_problemas!$AE:$AE,Datos_problemas!$B:$B,$B276,Datos_problemas!$F:$F,"Evaluación",Datos_problemas!$E:$E,"Final"),""))</f>
        <v/>
      </c>
      <c r="I276" s="21" t="str">
        <f aca="false">IF(OR(G276="",H276=""),"",IF(G276&gt;=10,"",(H276-G276)/(10-G276)))</f>
        <v/>
      </c>
      <c r="J276" s="18" t="str">
        <f aca="false">IF($B276="","",IFERROR(SUMIFS(Datos_items!$Z:$Z,Datos_items!$B:$B,$B276,Datos_items!$O:$O,J$4,Datos_items!$E:$E,Analisis_grupo!$C$4)/COUNTIFS(Datos_items!$B:$B,$B276,Datos_items!$O:$O,J$4,Datos_items!$E:$E,Analisis_grupo!$C$4),""))</f>
        <v/>
      </c>
      <c r="K276" s="18" t="str">
        <f aca="false">IF($B276="","",IFERROR(SUMIFS(Datos_items!$Z:$Z,Datos_items!$B:$B,$B276,Datos_items!$O:$O,K$4,Datos_items!$E:$E,Analisis_grupo!$C$4)/COUNTIFS(Datos_items!$B:$B,$B276,Datos_items!$O:$O,K$4,Datos_items!$E:$E,Analisis_grupo!$C$4),""))</f>
        <v/>
      </c>
      <c r="L276" s="18" t="str">
        <f aca="false">IF($B276="","",IFERROR(SUMIFS(Datos_items!$Z:$Z,Datos_items!$B:$B,$B276,Datos_items!$O:$O,L$4,Datos_items!$E:$E,Analisis_grupo!$C$4)/COUNTIFS(Datos_items!$B:$B,$B276,Datos_items!$O:$O,L$4,Datos_items!$E:$E,Analisis_grupo!$C$4),""))</f>
        <v/>
      </c>
      <c r="M276" s="18" t="str">
        <f aca="false">IF($B276="","",IFERROR(SUMIFS(Datos_items!$Z:$Z,Datos_items!$B:$B,$B276,Datos_items!$O:$O,M$4,Datos_items!$E:$E,Analisis_grupo!$C$4)/COUNTIFS(Datos_items!$B:$B,$B276,Datos_items!$O:$O,M$4,Datos_items!$E:$E,Analisis_grupo!$C$4),""))</f>
        <v/>
      </c>
      <c r="N276" s="18" t="str">
        <f aca="false">IF($B276="","",IFERROR(SUMIFS(Datos_items!$Z:$Z,Datos_items!$B:$B,$B276,Datos_items!$O:$O,N$4,Datos_items!$E:$E,Analisis_grupo!$C$4)/COUNTIFS(Datos_items!$B:$B,$B276,Datos_items!$O:$O,N$4,Datos_items!$E:$E,Analisis_grupo!$C$4),""))</f>
        <v/>
      </c>
      <c r="O276" s="18" t="str">
        <f aca="false">IF($B276="","",IFERROR(SUMIFS(Datos_items!$Z:$Z,Datos_items!$B:$B,$B276,Datos_items!$O:$O,O$4,Datos_items!$E:$E,Analisis_grupo!$C$4)/COUNTIFS(Datos_items!$B:$B,$B276,Datos_items!$O:$O,O$4,Datos_items!$E:$E,Analisis_grupo!$C$4),""))</f>
        <v/>
      </c>
      <c r="P276" s="18" t="str">
        <f aca="false">IF($B276="","",IFERROR(SUMIFS(Datos_items!$Z:$Z,Datos_items!$B:$B,$B276,Datos_items!$O:$O,P$4,Datos_items!$E:$E,Analisis_grupo!$C$4)/COUNTIFS(Datos_items!$B:$B,$B276,Datos_items!$O:$O,P$4,Datos_items!$E:$E,Analisis_grupo!$C$4),""))</f>
        <v/>
      </c>
      <c r="Q276" s="18" t="str">
        <f aca="false">IF($B276="","",IFERROR(SUMIFS(Datos_items!$Z:$Z,Datos_items!$B:$B,$B276,Datos_items!$O:$O,Q$4,Datos_items!$E:$E,Analisis_grupo!$C$4)/COUNTIFS(Datos_items!$B:$B,$B276,Datos_items!$O:$O,Q$4,Datos_items!$E:$E,Analisis_grupo!$C$4),""))</f>
        <v/>
      </c>
      <c r="R276" s="2" t="str">
        <f aca="false">IF(COUNT(J276:Q276)=0,"",IF(MIN(J276:Q276)&gt;=Analisis_grupo!$B$7,"(ninguna)",INDEX($J$4:$Q$4,MATCH(MIN(J276:Q276),J276:Q276,0))))</f>
        <v/>
      </c>
      <c r="S276" s="2" t="str">
        <f aca="false">IF($B276="","",COUNTIF(J276:Q276,"&lt;"&amp;Analisis_grupo!$B$7))</f>
        <v/>
      </c>
      <c r="T276" s="2" t="str">
        <f aca="false">IF($B276="","",COUNTIFS(Datos_items!$B:$B,$B276,Datos_items!$AA:$AA,T$4,Datos_items!$E:$E,Analisis_grupo!$C$4))</f>
        <v/>
      </c>
      <c r="U276" s="2" t="str">
        <f aca="false">IF($B276="","",COUNTIFS(Datos_items!$B:$B,$B276,Datos_items!$AA:$AA,U$4,Datos_items!$E:$E,Analisis_grupo!$C$4))</f>
        <v/>
      </c>
      <c r="V276" s="2" t="str">
        <f aca="false">IF($B276="","",COUNTIFS(Datos_items!$B:$B,$B276,Datos_items!$AA:$AA,V$4,Datos_items!$E:$E,Analisis_grupo!$C$4))</f>
        <v/>
      </c>
      <c r="W276" s="2" t="str">
        <f aca="false">IF($B276="","",COUNTIFS(Datos_items!$B:$B,$B276,Datos_items!$AA:$AA,W$4,Datos_items!$E:$E,Analisis_grupo!$C$4))</f>
        <v/>
      </c>
      <c r="X276" s="2" t="str">
        <f aca="false">IF($B276="","",COUNTIFS(Datos_items!$B:$B,$B276,Datos_items!$AA:$AA,X$4,Datos_items!$E:$E,Analisis_grupo!$C$4))</f>
        <v/>
      </c>
      <c r="Y276" s="2" t="str">
        <f aca="false">IF($B276="","",COUNTIFS(Datos_items!$B:$B,$B276,Datos_items!$AA:$AA,Y$4,Datos_items!$E:$E,Analisis_grupo!$C$4))</f>
        <v/>
      </c>
      <c r="Z276" s="2" t="str">
        <f aca="false">IF($B276="","",COUNTIFS(Datos_items!$B:$B,$B276,Datos_items!$AA:$AA,Z$4,Datos_items!$E:$E,Analisis_grupo!$C$4))</f>
        <v/>
      </c>
      <c r="AA276" s="2" t="str">
        <f aca="false">IF($B276="","",COUNTIFS(Datos_items!$B:$B,$B276,Datos_items!$AA:$AA,AA$4,Datos_items!$E:$E,Analisis_grupo!$C$4))</f>
        <v/>
      </c>
      <c r="AB276" s="2" t="str">
        <f aca="false">IF($B276="","",COUNTIFS(Datos_items!$B:$B,$B276,Datos_items!$AA:$AA,AB$4,Datos_items!$E:$E,Analisis_grupo!$C$4))</f>
        <v/>
      </c>
      <c r="AC276" s="2" t="str">
        <f aca="false">IF($B276="","",COUNTIFS(Datos_items!$B:$B,$B276,Datos_items!$AA:$AA,AC$4,Datos_items!$E:$E,Analisis_grupo!$C$4))</f>
        <v/>
      </c>
      <c r="AD276" s="2" t="str">
        <f aca="false">IF($B276="","",COUNTIFS(Datos_items!$B:$B,$B276,Datos_items!$AA:$AA,AD$4,Datos_items!$E:$E,Analisis_grupo!$C$4))</f>
        <v/>
      </c>
      <c r="AE276" s="2" t="str">
        <f aca="false">IF($B276="","",COUNTIFS(Datos_items!$B:$B,$B276,Datos_items!$AA:$AA,AE$4,Datos_items!$E:$E,Analisis_grupo!$C$4))</f>
        <v/>
      </c>
      <c r="AF276" s="2" t="str">
        <f aca="false">IF($B276="","",COUNTIFS(Datos_items!$B:$B,$B276,Datos_items!$AA:$AA,AF$4,Datos_items!$E:$E,Analisis_grupo!$C$4))</f>
        <v/>
      </c>
      <c r="AG276" s="2" t="str">
        <f aca="false">IF($B276="","",COUNTIFS(Datos_items!$B:$B,$B276,Datos_items!$AA:$AA,AG$4,Datos_items!$E:$E,Analisis_grupo!$C$4))</f>
        <v/>
      </c>
      <c r="AH276" s="2" t="str">
        <f aca="false">IF($B276="","",COUNTIFS(Datos_items!$B:$B,$B276,Datos_items!$AA:$AA,AH$4,Datos_items!$E:$E,Analisis_grupo!$C$4))</f>
        <v/>
      </c>
      <c r="AI276" s="2" t="str">
        <f aca="false">IF($B276="","",COUNTIFS(Datos_items!$B:$B,$B276,Datos_items!$AA:$AA,AI$4,Datos_items!$E:$E,Analisis_grupo!$C$4))</f>
        <v/>
      </c>
      <c r="AJ276" s="2" t="str">
        <f aca="false">IF($B276="","",COUNTIFS(Datos_items!$B:$B,$B276,Datos_items!$AA:$AA,AJ$4,Datos_items!$E:$E,Analisis_grupo!$C$4))</f>
        <v/>
      </c>
      <c r="AK276" s="2" t="str">
        <f aca="false">IF($B276="","",COUNTIFS(Datos_items!$B:$B,$B276,Datos_items!$AA:$AA,AK$4,Datos_items!$E:$E,Analisis_grupo!$C$4))</f>
        <v/>
      </c>
      <c r="AL276" s="2" t="str">
        <f aca="false">IF($B276="","",COUNTIFS(Datos_items!$B:$B,$B276,Datos_items!$AA:$AA,AL$4,Datos_items!$E:$E,Analisis_grupo!$C$4))</f>
        <v/>
      </c>
      <c r="AM276" s="2" t="str">
        <f aca="false">IF($B276="","",IF(MAX(Y276:AL276)=0,"",INDEX($Y$4:$AL$4,MATCH(MAX(Y276:AL276),Y276:AL276,0))))</f>
        <v/>
      </c>
      <c r="AN276" s="2" t="str">
        <f aca="false">IF($B276="","",COUNTIFS(Datos_problemas!$B:$B,$B276,Datos_problemas!$F:$F,"Práctica"))</f>
        <v/>
      </c>
      <c r="AO276" s="2" t="str">
        <f aca="false">IF($B276="","",SUMIFS(Datos_problemas!$AQ:$AQ,Datos_problemas!$B:$B,$B276,Datos_problemas!$F:$F,"Práctica"))</f>
        <v/>
      </c>
      <c r="AP276" s="2" t="str">
        <f aca="false">IF($B276="","",COUNTIFS(Datos_problemas!$B:$B,$B276,Datos_problemas!$F:$F,"Práctica",Datos_problemas!$AS:$AS,"Sí"))</f>
        <v/>
      </c>
    </row>
    <row r="277" customFormat="false" ht="15" hidden="false" customHeight="false" outlineLevel="0" collapsed="false">
      <c r="A277" s="2" t="n">
        <v>273</v>
      </c>
      <c r="B277" s="2" t="str">
        <f aca="false">IFERROR(INDEX(Datos_problemas!$B:$B,MATCH($A277,Datos_problemas!$AV:$AV,0)),"")</f>
        <v/>
      </c>
      <c r="C277" s="2" t="str">
        <f aca="false">IF($B277="","",INDEX(Datos_problemas!$C:$C,MATCH($A277,Datos_problemas!$AV:$AV,0)))</f>
        <v/>
      </c>
      <c r="D277" s="2" t="str">
        <f aca="false">IF($B277="","",INDEX(Datos_problemas!$D:$D,MATCH($A277,Datos_problemas!$AV:$AV,0)))</f>
        <v/>
      </c>
      <c r="E277" s="2" t="str">
        <f aca="false">IF($B277="","",COUNTIFS(Datos_problemas!$B:$B,$B277,Datos_problemas!$F:$F,"Evaluación"))</f>
        <v/>
      </c>
      <c r="F277" s="20" t="str">
        <f aca="false">IF($B277="","",IFERROR(AVERAGEIFS(Datos_problemas!$AE:$AE,Datos_problemas!$B:$B,$B277,Datos_problemas!$F:$F,"Evaluación"),""))</f>
        <v/>
      </c>
      <c r="G277" s="20" t="str">
        <f aca="false">IF($B277="","",IFERROR(AVERAGEIFS(Datos_problemas!$AE:$AE,Datos_problemas!$B:$B,$B277,Datos_problemas!$F:$F,"Evaluación",Datos_problemas!$E:$E,"Diagnóstico"),""))</f>
        <v/>
      </c>
      <c r="H277" s="20" t="str">
        <f aca="false">IF($B277="","",IFERROR(AVERAGEIFS(Datos_problemas!$AE:$AE,Datos_problemas!$B:$B,$B277,Datos_problemas!$F:$F,"Evaluación",Datos_problemas!$E:$E,"Final"),""))</f>
        <v/>
      </c>
      <c r="I277" s="21" t="str">
        <f aca="false">IF(OR(G277="",H277=""),"",IF(G277&gt;=10,"",(H277-G277)/(10-G277)))</f>
        <v/>
      </c>
      <c r="J277" s="18" t="str">
        <f aca="false">IF($B277="","",IFERROR(SUMIFS(Datos_items!$Z:$Z,Datos_items!$B:$B,$B277,Datos_items!$O:$O,J$4,Datos_items!$E:$E,Analisis_grupo!$C$4)/COUNTIFS(Datos_items!$B:$B,$B277,Datos_items!$O:$O,J$4,Datos_items!$E:$E,Analisis_grupo!$C$4),""))</f>
        <v/>
      </c>
      <c r="K277" s="18" t="str">
        <f aca="false">IF($B277="","",IFERROR(SUMIFS(Datos_items!$Z:$Z,Datos_items!$B:$B,$B277,Datos_items!$O:$O,K$4,Datos_items!$E:$E,Analisis_grupo!$C$4)/COUNTIFS(Datos_items!$B:$B,$B277,Datos_items!$O:$O,K$4,Datos_items!$E:$E,Analisis_grupo!$C$4),""))</f>
        <v/>
      </c>
      <c r="L277" s="18" t="str">
        <f aca="false">IF($B277="","",IFERROR(SUMIFS(Datos_items!$Z:$Z,Datos_items!$B:$B,$B277,Datos_items!$O:$O,L$4,Datos_items!$E:$E,Analisis_grupo!$C$4)/COUNTIFS(Datos_items!$B:$B,$B277,Datos_items!$O:$O,L$4,Datos_items!$E:$E,Analisis_grupo!$C$4),""))</f>
        <v/>
      </c>
      <c r="M277" s="18" t="str">
        <f aca="false">IF($B277="","",IFERROR(SUMIFS(Datos_items!$Z:$Z,Datos_items!$B:$B,$B277,Datos_items!$O:$O,M$4,Datos_items!$E:$E,Analisis_grupo!$C$4)/COUNTIFS(Datos_items!$B:$B,$B277,Datos_items!$O:$O,M$4,Datos_items!$E:$E,Analisis_grupo!$C$4),""))</f>
        <v/>
      </c>
      <c r="N277" s="18" t="str">
        <f aca="false">IF($B277="","",IFERROR(SUMIFS(Datos_items!$Z:$Z,Datos_items!$B:$B,$B277,Datos_items!$O:$O,N$4,Datos_items!$E:$E,Analisis_grupo!$C$4)/COUNTIFS(Datos_items!$B:$B,$B277,Datos_items!$O:$O,N$4,Datos_items!$E:$E,Analisis_grupo!$C$4),""))</f>
        <v/>
      </c>
      <c r="O277" s="18" t="str">
        <f aca="false">IF($B277="","",IFERROR(SUMIFS(Datos_items!$Z:$Z,Datos_items!$B:$B,$B277,Datos_items!$O:$O,O$4,Datos_items!$E:$E,Analisis_grupo!$C$4)/COUNTIFS(Datos_items!$B:$B,$B277,Datos_items!$O:$O,O$4,Datos_items!$E:$E,Analisis_grupo!$C$4),""))</f>
        <v/>
      </c>
      <c r="P277" s="18" t="str">
        <f aca="false">IF($B277="","",IFERROR(SUMIFS(Datos_items!$Z:$Z,Datos_items!$B:$B,$B277,Datos_items!$O:$O,P$4,Datos_items!$E:$E,Analisis_grupo!$C$4)/COUNTIFS(Datos_items!$B:$B,$B277,Datos_items!$O:$O,P$4,Datos_items!$E:$E,Analisis_grupo!$C$4),""))</f>
        <v/>
      </c>
      <c r="Q277" s="18" t="str">
        <f aca="false">IF($B277="","",IFERROR(SUMIFS(Datos_items!$Z:$Z,Datos_items!$B:$B,$B277,Datos_items!$O:$O,Q$4,Datos_items!$E:$E,Analisis_grupo!$C$4)/COUNTIFS(Datos_items!$B:$B,$B277,Datos_items!$O:$O,Q$4,Datos_items!$E:$E,Analisis_grupo!$C$4),""))</f>
        <v/>
      </c>
      <c r="R277" s="2" t="str">
        <f aca="false">IF(COUNT(J277:Q277)=0,"",IF(MIN(J277:Q277)&gt;=Analisis_grupo!$B$7,"(ninguna)",INDEX($J$4:$Q$4,MATCH(MIN(J277:Q277),J277:Q277,0))))</f>
        <v/>
      </c>
      <c r="S277" s="2" t="str">
        <f aca="false">IF($B277="","",COUNTIF(J277:Q277,"&lt;"&amp;Analisis_grupo!$B$7))</f>
        <v/>
      </c>
      <c r="T277" s="2" t="str">
        <f aca="false">IF($B277="","",COUNTIFS(Datos_items!$B:$B,$B277,Datos_items!$AA:$AA,T$4,Datos_items!$E:$E,Analisis_grupo!$C$4))</f>
        <v/>
      </c>
      <c r="U277" s="2" t="str">
        <f aca="false">IF($B277="","",COUNTIFS(Datos_items!$B:$B,$B277,Datos_items!$AA:$AA,U$4,Datos_items!$E:$E,Analisis_grupo!$C$4))</f>
        <v/>
      </c>
      <c r="V277" s="2" t="str">
        <f aca="false">IF($B277="","",COUNTIFS(Datos_items!$B:$B,$B277,Datos_items!$AA:$AA,V$4,Datos_items!$E:$E,Analisis_grupo!$C$4))</f>
        <v/>
      </c>
      <c r="W277" s="2" t="str">
        <f aca="false">IF($B277="","",COUNTIFS(Datos_items!$B:$B,$B277,Datos_items!$AA:$AA,W$4,Datos_items!$E:$E,Analisis_grupo!$C$4))</f>
        <v/>
      </c>
      <c r="X277" s="2" t="str">
        <f aca="false">IF($B277="","",COUNTIFS(Datos_items!$B:$B,$B277,Datos_items!$AA:$AA,X$4,Datos_items!$E:$E,Analisis_grupo!$C$4))</f>
        <v/>
      </c>
      <c r="Y277" s="2" t="str">
        <f aca="false">IF($B277="","",COUNTIFS(Datos_items!$B:$B,$B277,Datos_items!$AA:$AA,Y$4,Datos_items!$E:$E,Analisis_grupo!$C$4))</f>
        <v/>
      </c>
      <c r="Z277" s="2" t="str">
        <f aca="false">IF($B277="","",COUNTIFS(Datos_items!$B:$B,$B277,Datos_items!$AA:$AA,Z$4,Datos_items!$E:$E,Analisis_grupo!$C$4))</f>
        <v/>
      </c>
      <c r="AA277" s="2" t="str">
        <f aca="false">IF($B277="","",COUNTIFS(Datos_items!$B:$B,$B277,Datos_items!$AA:$AA,AA$4,Datos_items!$E:$E,Analisis_grupo!$C$4))</f>
        <v/>
      </c>
      <c r="AB277" s="2" t="str">
        <f aca="false">IF($B277="","",COUNTIFS(Datos_items!$B:$B,$B277,Datos_items!$AA:$AA,AB$4,Datos_items!$E:$E,Analisis_grupo!$C$4))</f>
        <v/>
      </c>
      <c r="AC277" s="2" t="str">
        <f aca="false">IF($B277="","",COUNTIFS(Datos_items!$B:$B,$B277,Datos_items!$AA:$AA,AC$4,Datos_items!$E:$E,Analisis_grupo!$C$4))</f>
        <v/>
      </c>
      <c r="AD277" s="2" t="str">
        <f aca="false">IF($B277="","",COUNTIFS(Datos_items!$B:$B,$B277,Datos_items!$AA:$AA,AD$4,Datos_items!$E:$E,Analisis_grupo!$C$4))</f>
        <v/>
      </c>
      <c r="AE277" s="2" t="str">
        <f aca="false">IF($B277="","",COUNTIFS(Datos_items!$B:$B,$B277,Datos_items!$AA:$AA,AE$4,Datos_items!$E:$E,Analisis_grupo!$C$4))</f>
        <v/>
      </c>
      <c r="AF277" s="2" t="str">
        <f aca="false">IF($B277="","",COUNTIFS(Datos_items!$B:$B,$B277,Datos_items!$AA:$AA,AF$4,Datos_items!$E:$E,Analisis_grupo!$C$4))</f>
        <v/>
      </c>
      <c r="AG277" s="2" t="str">
        <f aca="false">IF($B277="","",COUNTIFS(Datos_items!$B:$B,$B277,Datos_items!$AA:$AA,AG$4,Datos_items!$E:$E,Analisis_grupo!$C$4))</f>
        <v/>
      </c>
      <c r="AH277" s="2" t="str">
        <f aca="false">IF($B277="","",COUNTIFS(Datos_items!$B:$B,$B277,Datos_items!$AA:$AA,AH$4,Datos_items!$E:$E,Analisis_grupo!$C$4))</f>
        <v/>
      </c>
      <c r="AI277" s="2" t="str">
        <f aca="false">IF($B277="","",COUNTIFS(Datos_items!$B:$B,$B277,Datos_items!$AA:$AA,AI$4,Datos_items!$E:$E,Analisis_grupo!$C$4))</f>
        <v/>
      </c>
      <c r="AJ277" s="2" t="str">
        <f aca="false">IF($B277="","",COUNTIFS(Datos_items!$B:$B,$B277,Datos_items!$AA:$AA,AJ$4,Datos_items!$E:$E,Analisis_grupo!$C$4))</f>
        <v/>
      </c>
      <c r="AK277" s="2" t="str">
        <f aca="false">IF($B277="","",COUNTIFS(Datos_items!$B:$B,$B277,Datos_items!$AA:$AA,AK$4,Datos_items!$E:$E,Analisis_grupo!$C$4))</f>
        <v/>
      </c>
      <c r="AL277" s="2" t="str">
        <f aca="false">IF($B277="","",COUNTIFS(Datos_items!$B:$B,$B277,Datos_items!$AA:$AA,AL$4,Datos_items!$E:$E,Analisis_grupo!$C$4))</f>
        <v/>
      </c>
      <c r="AM277" s="2" t="str">
        <f aca="false">IF($B277="","",IF(MAX(Y277:AL277)=0,"",INDEX($Y$4:$AL$4,MATCH(MAX(Y277:AL277),Y277:AL277,0))))</f>
        <v/>
      </c>
      <c r="AN277" s="2" t="str">
        <f aca="false">IF($B277="","",COUNTIFS(Datos_problemas!$B:$B,$B277,Datos_problemas!$F:$F,"Práctica"))</f>
        <v/>
      </c>
      <c r="AO277" s="2" t="str">
        <f aca="false">IF($B277="","",SUMIFS(Datos_problemas!$AQ:$AQ,Datos_problemas!$B:$B,$B277,Datos_problemas!$F:$F,"Práctica"))</f>
        <v/>
      </c>
      <c r="AP277" s="2" t="str">
        <f aca="false">IF($B277="","",COUNTIFS(Datos_problemas!$B:$B,$B277,Datos_problemas!$F:$F,"Práctica",Datos_problemas!$AS:$AS,"Sí"))</f>
        <v/>
      </c>
    </row>
    <row r="278" customFormat="false" ht="15" hidden="false" customHeight="false" outlineLevel="0" collapsed="false">
      <c r="A278" s="2" t="n">
        <v>274</v>
      </c>
      <c r="B278" s="2" t="str">
        <f aca="false">IFERROR(INDEX(Datos_problemas!$B:$B,MATCH($A278,Datos_problemas!$AV:$AV,0)),"")</f>
        <v/>
      </c>
      <c r="C278" s="2" t="str">
        <f aca="false">IF($B278="","",INDEX(Datos_problemas!$C:$C,MATCH($A278,Datos_problemas!$AV:$AV,0)))</f>
        <v/>
      </c>
      <c r="D278" s="2" t="str">
        <f aca="false">IF($B278="","",INDEX(Datos_problemas!$D:$D,MATCH($A278,Datos_problemas!$AV:$AV,0)))</f>
        <v/>
      </c>
      <c r="E278" s="2" t="str">
        <f aca="false">IF($B278="","",COUNTIFS(Datos_problemas!$B:$B,$B278,Datos_problemas!$F:$F,"Evaluación"))</f>
        <v/>
      </c>
      <c r="F278" s="20" t="str">
        <f aca="false">IF($B278="","",IFERROR(AVERAGEIFS(Datos_problemas!$AE:$AE,Datos_problemas!$B:$B,$B278,Datos_problemas!$F:$F,"Evaluación"),""))</f>
        <v/>
      </c>
      <c r="G278" s="20" t="str">
        <f aca="false">IF($B278="","",IFERROR(AVERAGEIFS(Datos_problemas!$AE:$AE,Datos_problemas!$B:$B,$B278,Datos_problemas!$F:$F,"Evaluación",Datos_problemas!$E:$E,"Diagnóstico"),""))</f>
        <v/>
      </c>
      <c r="H278" s="20" t="str">
        <f aca="false">IF($B278="","",IFERROR(AVERAGEIFS(Datos_problemas!$AE:$AE,Datos_problemas!$B:$B,$B278,Datos_problemas!$F:$F,"Evaluación",Datos_problemas!$E:$E,"Final"),""))</f>
        <v/>
      </c>
      <c r="I278" s="21" t="str">
        <f aca="false">IF(OR(G278="",H278=""),"",IF(G278&gt;=10,"",(H278-G278)/(10-G278)))</f>
        <v/>
      </c>
      <c r="J278" s="18" t="str">
        <f aca="false">IF($B278="","",IFERROR(SUMIFS(Datos_items!$Z:$Z,Datos_items!$B:$B,$B278,Datos_items!$O:$O,J$4,Datos_items!$E:$E,Analisis_grupo!$C$4)/COUNTIFS(Datos_items!$B:$B,$B278,Datos_items!$O:$O,J$4,Datos_items!$E:$E,Analisis_grupo!$C$4),""))</f>
        <v/>
      </c>
      <c r="K278" s="18" t="str">
        <f aca="false">IF($B278="","",IFERROR(SUMIFS(Datos_items!$Z:$Z,Datos_items!$B:$B,$B278,Datos_items!$O:$O,K$4,Datos_items!$E:$E,Analisis_grupo!$C$4)/COUNTIFS(Datos_items!$B:$B,$B278,Datos_items!$O:$O,K$4,Datos_items!$E:$E,Analisis_grupo!$C$4),""))</f>
        <v/>
      </c>
      <c r="L278" s="18" t="str">
        <f aca="false">IF($B278="","",IFERROR(SUMIFS(Datos_items!$Z:$Z,Datos_items!$B:$B,$B278,Datos_items!$O:$O,L$4,Datos_items!$E:$E,Analisis_grupo!$C$4)/COUNTIFS(Datos_items!$B:$B,$B278,Datos_items!$O:$O,L$4,Datos_items!$E:$E,Analisis_grupo!$C$4),""))</f>
        <v/>
      </c>
      <c r="M278" s="18" t="str">
        <f aca="false">IF($B278="","",IFERROR(SUMIFS(Datos_items!$Z:$Z,Datos_items!$B:$B,$B278,Datos_items!$O:$O,M$4,Datos_items!$E:$E,Analisis_grupo!$C$4)/COUNTIFS(Datos_items!$B:$B,$B278,Datos_items!$O:$O,M$4,Datos_items!$E:$E,Analisis_grupo!$C$4),""))</f>
        <v/>
      </c>
      <c r="N278" s="18" t="str">
        <f aca="false">IF($B278="","",IFERROR(SUMIFS(Datos_items!$Z:$Z,Datos_items!$B:$B,$B278,Datos_items!$O:$O,N$4,Datos_items!$E:$E,Analisis_grupo!$C$4)/COUNTIFS(Datos_items!$B:$B,$B278,Datos_items!$O:$O,N$4,Datos_items!$E:$E,Analisis_grupo!$C$4),""))</f>
        <v/>
      </c>
      <c r="O278" s="18" t="str">
        <f aca="false">IF($B278="","",IFERROR(SUMIFS(Datos_items!$Z:$Z,Datos_items!$B:$B,$B278,Datos_items!$O:$O,O$4,Datos_items!$E:$E,Analisis_grupo!$C$4)/COUNTIFS(Datos_items!$B:$B,$B278,Datos_items!$O:$O,O$4,Datos_items!$E:$E,Analisis_grupo!$C$4),""))</f>
        <v/>
      </c>
      <c r="P278" s="18" t="str">
        <f aca="false">IF($B278="","",IFERROR(SUMIFS(Datos_items!$Z:$Z,Datos_items!$B:$B,$B278,Datos_items!$O:$O,P$4,Datos_items!$E:$E,Analisis_grupo!$C$4)/COUNTIFS(Datos_items!$B:$B,$B278,Datos_items!$O:$O,P$4,Datos_items!$E:$E,Analisis_grupo!$C$4),""))</f>
        <v/>
      </c>
      <c r="Q278" s="18" t="str">
        <f aca="false">IF($B278="","",IFERROR(SUMIFS(Datos_items!$Z:$Z,Datos_items!$B:$B,$B278,Datos_items!$O:$O,Q$4,Datos_items!$E:$E,Analisis_grupo!$C$4)/COUNTIFS(Datos_items!$B:$B,$B278,Datos_items!$O:$O,Q$4,Datos_items!$E:$E,Analisis_grupo!$C$4),""))</f>
        <v/>
      </c>
      <c r="R278" s="2" t="str">
        <f aca="false">IF(COUNT(J278:Q278)=0,"",IF(MIN(J278:Q278)&gt;=Analisis_grupo!$B$7,"(ninguna)",INDEX($J$4:$Q$4,MATCH(MIN(J278:Q278),J278:Q278,0))))</f>
        <v/>
      </c>
      <c r="S278" s="2" t="str">
        <f aca="false">IF($B278="","",COUNTIF(J278:Q278,"&lt;"&amp;Analisis_grupo!$B$7))</f>
        <v/>
      </c>
      <c r="T278" s="2" t="str">
        <f aca="false">IF($B278="","",COUNTIFS(Datos_items!$B:$B,$B278,Datos_items!$AA:$AA,T$4,Datos_items!$E:$E,Analisis_grupo!$C$4))</f>
        <v/>
      </c>
      <c r="U278" s="2" t="str">
        <f aca="false">IF($B278="","",COUNTIFS(Datos_items!$B:$B,$B278,Datos_items!$AA:$AA,U$4,Datos_items!$E:$E,Analisis_grupo!$C$4))</f>
        <v/>
      </c>
      <c r="V278" s="2" t="str">
        <f aca="false">IF($B278="","",COUNTIFS(Datos_items!$B:$B,$B278,Datos_items!$AA:$AA,V$4,Datos_items!$E:$E,Analisis_grupo!$C$4))</f>
        <v/>
      </c>
      <c r="W278" s="2" t="str">
        <f aca="false">IF($B278="","",COUNTIFS(Datos_items!$B:$B,$B278,Datos_items!$AA:$AA,W$4,Datos_items!$E:$E,Analisis_grupo!$C$4))</f>
        <v/>
      </c>
      <c r="X278" s="2" t="str">
        <f aca="false">IF($B278="","",COUNTIFS(Datos_items!$B:$B,$B278,Datos_items!$AA:$AA,X$4,Datos_items!$E:$E,Analisis_grupo!$C$4))</f>
        <v/>
      </c>
      <c r="Y278" s="2" t="str">
        <f aca="false">IF($B278="","",COUNTIFS(Datos_items!$B:$B,$B278,Datos_items!$AA:$AA,Y$4,Datos_items!$E:$E,Analisis_grupo!$C$4))</f>
        <v/>
      </c>
      <c r="Z278" s="2" t="str">
        <f aca="false">IF($B278="","",COUNTIFS(Datos_items!$B:$B,$B278,Datos_items!$AA:$AA,Z$4,Datos_items!$E:$E,Analisis_grupo!$C$4))</f>
        <v/>
      </c>
      <c r="AA278" s="2" t="str">
        <f aca="false">IF($B278="","",COUNTIFS(Datos_items!$B:$B,$B278,Datos_items!$AA:$AA,AA$4,Datos_items!$E:$E,Analisis_grupo!$C$4))</f>
        <v/>
      </c>
      <c r="AB278" s="2" t="str">
        <f aca="false">IF($B278="","",COUNTIFS(Datos_items!$B:$B,$B278,Datos_items!$AA:$AA,AB$4,Datos_items!$E:$E,Analisis_grupo!$C$4))</f>
        <v/>
      </c>
      <c r="AC278" s="2" t="str">
        <f aca="false">IF($B278="","",COUNTIFS(Datos_items!$B:$B,$B278,Datos_items!$AA:$AA,AC$4,Datos_items!$E:$E,Analisis_grupo!$C$4))</f>
        <v/>
      </c>
      <c r="AD278" s="2" t="str">
        <f aca="false">IF($B278="","",COUNTIFS(Datos_items!$B:$B,$B278,Datos_items!$AA:$AA,AD$4,Datos_items!$E:$E,Analisis_grupo!$C$4))</f>
        <v/>
      </c>
      <c r="AE278" s="2" t="str">
        <f aca="false">IF($B278="","",COUNTIFS(Datos_items!$B:$B,$B278,Datos_items!$AA:$AA,AE$4,Datos_items!$E:$E,Analisis_grupo!$C$4))</f>
        <v/>
      </c>
      <c r="AF278" s="2" t="str">
        <f aca="false">IF($B278="","",COUNTIFS(Datos_items!$B:$B,$B278,Datos_items!$AA:$AA,AF$4,Datos_items!$E:$E,Analisis_grupo!$C$4))</f>
        <v/>
      </c>
      <c r="AG278" s="2" t="str">
        <f aca="false">IF($B278="","",COUNTIFS(Datos_items!$B:$B,$B278,Datos_items!$AA:$AA,AG$4,Datos_items!$E:$E,Analisis_grupo!$C$4))</f>
        <v/>
      </c>
      <c r="AH278" s="2" t="str">
        <f aca="false">IF($B278="","",COUNTIFS(Datos_items!$B:$B,$B278,Datos_items!$AA:$AA,AH$4,Datos_items!$E:$E,Analisis_grupo!$C$4))</f>
        <v/>
      </c>
      <c r="AI278" s="2" t="str">
        <f aca="false">IF($B278="","",COUNTIFS(Datos_items!$B:$B,$B278,Datos_items!$AA:$AA,AI$4,Datos_items!$E:$E,Analisis_grupo!$C$4))</f>
        <v/>
      </c>
      <c r="AJ278" s="2" t="str">
        <f aca="false">IF($B278="","",COUNTIFS(Datos_items!$B:$B,$B278,Datos_items!$AA:$AA,AJ$4,Datos_items!$E:$E,Analisis_grupo!$C$4))</f>
        <v/>
      </c>
      <c r="AK278" s="2" t="str">
        <f aca="false">IF($B278="","",COUNTIFS(Datos_items!$B:$B,$B278,Datos_items!$AA:$AA,AK$4,Datos_items!$E:$E,Analisis_grupo!$C$4))</f>
        <v/>
      </c>
      <c r="AL278" s="2" t="str">
        <f aca="false">IF($B278="","",COUNTIFS(Datos_items!$B:$B,$B278,Datos_items!$AA:$AA,AL$4,Datos_items!$E:$E,Analisis_grupo!$C$4))</f>
        <v/>
      </c>
      <c r="AM278" s="2" t="str">
        <f aca="false">IF($B278="","",IF(MAX(Y278:AL278)=0,"",INDEX($Y$4:$AL$4,MATCH(MAX(Y278:AL278),Y278:AL278,0))))</f>
        <v/>
      </c>
      <c r="AN278" s="2" t="str">
        <f aca="false">IF($B278="","",COUNTIFS(Datos_problemas!$B:$B,$B278,Datos_problemas!$F:$F,"Práctica"))</f>
        <v/>
      </c>
      <c r="AO278" s="2" t="str">
        <f aca="false">IF($B278="","",SUMIFS(Datos_problemas!$AQ:$AQ,Datos_problemas!$B:$B,$B278,Datos_problemas!$F:$F,"Práctica"))</f>
        <v/>
      </c>
      <c r="AP278" s="2" t="str">
        <f aca="false">IF($B278="","",COUNTIFS(Datos_problemas!$B:$B,$B278,Datos_problemas!$F:$F,"Práctica",Datos_problemas!$AS:$AS,"Sí"))</f>
        <v/>
      </c>
    </row>
    <row r="279" customFormat="false" ht="15" hidden="false" customHeight="false" outlineLevel="0" collapsed="false">
      <c r="A279" s="2" t="n">
        <v>275</v>
      </c>
      <c r="B279" s="2" t="str">
        <f aca="false">IFERROR(INDEX(Datos_problemas!$B:$B,MATCH($A279,Datos_problemas!$AV:$AV,0)),"")</f>
        <v/>
      </c>
      <c r="C279" s="2" t="str">
        <f aca="false">IF($B279="","",INDEX(Datos_problemas!$C:$C,MATCH($A279,Datos_problemas!$AV:$AV,0)))</f>
        <v/>
      </c>
      <c r="D279" s="2" t="str">
        <f aca="false">IF($B279="","",INDEX(Datos_problemas!$D:$D,MATCH($A279,Datos_problemas!$AV:$AV,0)))</f>
        <v/>
      </c>
      <c r="E279" s="2" t="str">
        <f aca="false">IF($B279="","",COUNTIFS(Datos_problemas!$B:$B,$B279,Datos_problemas!$F:$F,"Evaluación"))</f>
        <v/>
      </c>
      <c r="F279" s="20" t="str">
        <f aca="false">IF($B279="","",IFERROR(AVERAGEIFS(Datos_problemas!$AE:$AE,Datos_problemas!$B:$B,$B279,Datos_problemas!$F:$F,"Evaluación"),""))</f>
        <v/>
      </c>
      <c r="G279" s="20" t="str">
        <f aca="false">IF($B279="","",IFERROR(AVERAGEIFS(Datos_problemas!$AE:$AE,Datos_problemas!$B:$B,$B279,Datos_problemas!$F:$F,"Evaluación",Datos_problemas!$E:$E,"Diagnóstico"),""))</f>
        <v/>
      </c>
      <c r="H279" s="20" t="str">
        <f aca="false">IF($B279="","",IFERROR(AVERAGEIFS(Datos_problemas!$AE:$AE,Datos_problemas!$B:$B,$B279,Datos_problemas!$F:$F,"Evaluación",Datos_problemas!$E:$E,"Final"),""))</f>
        <v/>
      </c>
      <c r="I279" s="21" t="str">
        <f aca="false">IF(OR(G279="",H279=""),"",IF(G279&gt;=10,"",(H279-G279)/(10-G279)))</f>
        <v/>
      </c>
      <c r="J279" s="18" t="str">
        <f aca="false">IF($B279="","",IFERROR(SUMIFS(Datos_items!$Z:$Z,Datos_items!$B:$B,$B279,Datos_items!$O:$O,J$4,Datos_items!$E:$E,Analisis_grupo!$C$4)/COUNTIFS(Datos_items!$B:$B,$B279,Datos_items!$O:$O,J$4,Datos_items!$E:$E,Analisis_grupo!$C$4),""))</f>
        <v/>
      </c>
      <c r="K279" s="18" t="str">
        <f aca="false">IF($B279="","",IFERROR(SUMIFS(Datos_items!$Z:$Z,Datos_items!$B:$B,$B279,Datos_items!$O:$O,K$4,Datos_items!$E:$E,Analisis_grupo!$C$4)/COUNTIFS(Datos_items!$B:$B,$B279,Datos_items!$O:$O,K$4,Datos_items!$E:$E,Analisis_grupo!$C$4),""))</f>
        <v/>
      </c>
      <c r="L279" s="18" t="str">
        <f aca="false">IF($B279="","",IFERROR(SUMIFS(Datos_items!$Z:$Z,Datos_items!$B:$B,$B279,Datos_items!$O:$O,L$4,Datos_items!$E:$E,Analisis_grupo!$C$4)/COUNTIFS(Datos_items!$B:$B,$B279,Datos_items!$O:$O,L$4,Datos_items!$E:$E,Analisis_grupo!$C$4),""))</f>
        <v/>
      </c>
      <c r="M279" s="18" t="str">
        <f aca="false">IF($B279="","",IFERROR(SUMIFS(Datos_items!$Z:$Z,Datos_items!$B:$B,$B279,Datos_items!$O:$O,M$4,Datos_items!$E:$E,Analisis_grupo!$C$4)/COUNTIFS(Datos_items!$B:$B,$B279,Datos_items!$O:$O,M$4,Datos_items!$E:$E,Analisis_grupo!$C$4),""))</f>
        <v/>
      </c>
      <c r="N279" s="18" t="str">
        <f aca="false">IF($B279="","",IFERROR(SUMIFS(Datos_items!$Z:$Z,Datos_items!$B:$B,$B279,Datos_items!$O:$O,N$4,Datos_items!$E:$E,Analisis_grupo!$C$4)/COUNTIFS(Datos_items!$B:$B,$B279,Datos_items!$O:$O,N$4,Datos_items!$E:$E,Analisis_grupo!$C$4),""))</f>
        <v/>
      </c>
      <c r="O279" s="18" t="str">
        <f aca="false">IF($B279="","",IFERROR(SUMIFS(Datos_items!$Z:$Z,Datos_items!$B:$B,$B279,Datos_items!$O:$O,O$4,Datos_items!$E:$E,Analisis_grupo!$C$4)/COUNTIFS(Datos_items!$B:$B,$B279,Datos_items!$O:$O,O$4,Datos_items!$E:$E,Analisis_grupo!$C$4),""))</f>
        <v/>
      </c>
      <c r="P279" s="18" t="str">
        <f aca="false">IF($B279="","",IFERROR(SUMIFS(Datos_items!$Z:$Z,Datos_items!$B:$B,$B279,Datos_items!$O:$O,P$4,Datos_items!$E:$E,Analisis_grupo!$C$4)/COUNTIFS(Datos_items!$B:$B,$B279,Datos_items!$O:$O,P$4,Datos_items!$E:$E,Analisis_grupo!$C$4),""))</f>
        <v/>
      </c>
      <c r="Q279" s="18" t="str">
        <f aca="false">IF($B279="","",IFERROR(SUMIFS(Datos_items!$Z:$Z,Datos_items!$B:$B,$B279,Datos_items!$O:$O,Q$4,Datos_items!$E:$E,Analisis_grupo!$C$4)/COUNTIFS(Datos_items!$B:$B,$B279,Datos_items!$O:$O,Q$4,Datos_items!$E:$E,Analisis_grupo!$C$4),""))</f>
        <v/>
      </c>
      <c r="R279" s="2" t="str">
        <f aca="false">IF(COUNT(J279:Q279)=0,"",IF(MIN(J279:Q279)&gt;=Analisis_grupo!$B$7,"(ninguna)",INDEX($J$4:$Q$4,MATCH(MIN(J279:Q279),J279:Q279,0))))</f>
        <v/>
      </c>
      <c r="S279" s="2" t="str">
        <f aca="false">IF($B279="","",COUNTIF(J279:Q279,"&lt;"&amp;Analisis_grupo!$B$7))</f>
        <v/>
      </c>
      <c r="T279" s="2" t="str">
        <f aca="false">IF($B279="","",COUNTIFS(Datos_items!$B:$B,$B279,Datos_items!$AA:$AA,T$4,Datos_items!$E:$E,Analisis_grupo!$C$4))</f>
        <v/>
      </c>
      <c r="U279" s="2" t="str">
        <f aca="false">IF($B279="","",COUNTIFS(Datos_items!$B:$B,$B279,Datos_items!$AA:$AA,U$4,Datos_items!$E:$E,Analisis_grupo!$C$4))</f>
        <v/>
      </c>
      <c r="V279" s="2" t="str">
        <f aca="false">IF($B279="","",COUNTIFS(Datos_items!$B:$B,$B279,Datos_items!$AA:$AA,V$4,Datos_items!$E:$E,Analisis_grupo!$C$4))</f>
        <v/>
      </c>
      <c r="W279" s="2" t="str">
        <f aca="false">IF($B279="","",COUNTIFS(Datos_items!$B:$B,$B279,Datos_items!$AA:$AA,W$4,Datos_items!$E:$E,Analisis_grupo!$C$4))</f>
        <v/>
      </c>
      <c r="X279" s="2" t="str">
        <f aca="false">IF($B279="","",COUNTIFS(Datos_items!$B:$B,$B279,Datos_items!$AA:$AA,X$4,Datos_items!$E:$E,Analisis_grupo!$C$4))</f>
        <v/>
      </c>
      <c r="Y279" s="2" t="str">
        <f aca="false">IF($B279="","",COUNTIFS(Datos_items!$B:$B,$B279,Datos_items!$AA:$AA,Y$4,Datos_items!$E:$E,Analisis_grupo!$C$4))</f>
        <v/>
      </c>
      <c r="Z279" s="2" t="str">
        <f aca="false">IF($B279="","",COUNTIFS(Datos_items!$B:$B,$B279,Datos_items!$AA:$AA,Z$4,Datos_items!$E:$E,Analisis_grupo!$C$4))</f>
        <v/>
      </c>
      <c r="AA279" s="2" t="str">
        <f aca="false">IF($B279="","",COUNTIFS(Datos_items!$B:$B,$B279,Datos_items!$AA:$AA,AA$4,Datos_items!$E:$E,Analisis_grupo!$C$4))</f>
        <v/>
      </c>
      <c r="AB279" s="2" t="str">
        <f aca="false">IF($B279="","",COUNTIFS(Datos_items!$B:$B,$B279,Datos_items!$AA:$AA,AB$4,Datos_items!$E:$E,Analisis_grupo!$C$4))</f>
        <v/>
      </c>
      <c r="AC279" s="2" t="str">
        <f aca="false">IF($B279="","",COUNTIFS(Datos_items!$B:$B,$B279,Datos_items!$AA:$AA,AC$4,Datos_items!$E:$E,Analisis_grupo!$C$4))</f>
        <v/>
      </c>
      <c r="AD279" s="2" t="str">
        <f aca="false">IF($B279="","",COUNTIFS(Datos_items!$B:$B,$B279,Datos_items!$AA:$AA,AD$4,Datos_items!$E:$E,Analisis_grupo!$C$4))</f>
        <v/>
      </c>
      <c r="AE279" s="2" t="str">
        <f aca="false">IF($B279="","",COUNTIFS(Datos_items!$B:$B,$B279,Datos_items!$AA:$AA,AE$4,Datos_items!$E:$E,Analisis_grupo!$C$4))</f>
        <v/>
      </c>
      <c r="AF279" s="2" t="str">
        <f aca="false">IF($B279="","",COUNTIFS(Datos_items!$B:$B,$B279,Datos_items!$AA:$AA,AF$4,Datos_items!$E:$E,Analisis_grupo!$C$4))</f>
        <v/>
      </c>
      <c r="AG279" s="2" t="str">
        <f aca="false">IF($B279="","",COUNTIFS(Datos_items!$B:$B,$B279,Datos_items!$AA:$AA,AG$4,Datos_items!$E:$E,Analisis_grupo!$C$4))</f>
        <v/>
      </c>
      <c r="AH279" s="2" t="str">
        <f aca="false">IF($B279="","",COUNTIFS(Datos_items!$B:$B,$B279,Datos_items!$AA:$AA,AH$4,Datos_items!$E:$E,Analisis_grupo!$C$4))</f>
        <v/>
      </c>
      <c r="AI279" s="2" t="str">
        <f aca="false">IF($B279="","",COUNTIFS(Datos_items!$B:$B,$B279,Datos_items!$AA:$AA,AI$4,Datos_items!$E:$E,Analisis_grupo!$C$4))</f>
        <v/>
      </c>
      <c r="AJ279" s="2" t="str">
        <f aca="false">IF($B279="","",COUNTIFS(Datos_items!$B:$B,$B279,Datos_items!$AA:$AA,AJ$4,Datos_items!$E:$E,Analisis_grupo!$C$4))</f>
        <v/>
      </c>
      <c r="AK279" s="2" t="str">
        <f aca="false">IF($B279="","",COUNTIFS(Datos_items!$B:$B,$B279,Datos_items!$AA:$AA,AK$4,Datos_items!$E:$E,Analisis_grupo!$C$4))</f>
        <v/>
      </c>
      <c r="AL279" s="2" t="str">
        <f aca="false">IF($B279="","",COUNTIFS(Datos_items!$B:$B,$B279,Datos_items!$AA:$AA,AL$4,Datos_items!$E:$E,Analisis_grupo!$C$4))</f>
        <v/>
      </c>
      <c r="AM279" s="2" t="str">
        <f aca="false">IF($B279="","",IF(MAX(Y279:AL279)=0,"",INDEX($Y$4:$AL$4,MATCH(MAX(Y279:AL279),Y279:AL279,0))))</f>
        <v/>
      </c>
      <c r="AN279" s="2" t="str">
        <f aca="false">IF($B279="","",COUNTIFS(Datos_problemas!$B:$B,$B279,Datos_problemas!$F:$F,"Práctica"))</f>
        <v/>
      </c>
      <c r="AO279" s="2" t="str">
        <f aca="false">IF($B279="","",SUMIFS(Datos_problemas!$AQ:$AQ,Datos_problemas!$B:$B,$B279,Datos_problemas!$F:$F,"Práctica"))</f>
        <v/>
      </c>
      <c r="AP279" s="2" t="str">
        <f aca="false">IF($B279="","",COUNTIFS(Datos_problemas!$B:$B,$B279,Datos_problemas!$F:$F,"Práctica",Datos_problemas!$AS:$AS,"Sí"))</f>
        <v/>
      </c>
    </row>
    <row r="280" customFormat="false" ht="15" hidden="false" customHeight="false" outlineLevel="0" collapsed="false">
      <c r="A280" s="2" t="n">
        <v>276</v>
      </c>
      <c r="B280" s="2" t="str">
        <f aca="false">IFERROR(INDEX(Datos_problemas!$B:$B,MATCH($A280,Datos_problemas!$AV:$AV,0)),"")</f>
        <v/>
      </c>
      <c r="C280" s="2" t="str">
        <f aca="false">IF($B280="","",INDEX(Datos_problemas!$C:$C,MATCH($A280,Datos_problemas!$AV:$AV,0)))</f>
        <v/>
      </c>
      <c r="D280" s="2" t="str">
        <f aca="false">IF($B280="","",INDEX(Datos_problemas!$D:$D,MATCH($A280,Datos_problemas!$AV:$AV,0)))</f>
        <v/>
      </c>
      <c r="E280" s="2" t="str">
        <f aca="false">IF($B280="","",COUNTIFS(Datos_problemas!$B:$B,$B280,Datos_problemas!$F:$F,"Evaluación"))</f>
        <v/>
      </c>
      <c r="F280" s="20" t="str">
        <f aca="false">IF($B280="","",IFERROR(AVERAGEIFS(Datos_problemas!$AE:$AE,Datos_problemas!$B:$B,$B280,Datos_problemas!$F:$F,"Evaluación"),""))</f>
        <v/>
      </c>
      <c r="G280" s="20" t="str">
        <f aca="false">IF($B280="","",IFERROR(AVERAGEIFS(Datos_problemas!$AE:$AE,Datos_problemas!$B:$B,$B280,Datos_problemas!$F:$F,"Evaluación",Datos_problemas!$E:$E,"Diagnóstico"),""))</f>
        <v/>
      </c>
      <c r="H280" s="20" t="str">
        <f aca="false">IF($B280="","",IFERROR(AVERAGEIFS(Datos_problemas!$AE:$AE,Datos_problemas!$B:$B,$B280,Datos_problemas!$F:$F,"Evaluación",Datos_problemas!$E:$E,"Final"),""))</f>
        <v/>
      </c>
      <c r="I280" s="21" t="str">
        <f aca="false">IF(OR(G280="",H280=""),"",IF(G280&gt;=10,"",(H280-G280)/(10-G280)))</f>
        <v/>
      </c>
      <c r="J280" s="18" t="str">
        <f aca="false">IF($B280="","",IFERROR(SUMIFS(Datos_items!$Z:$Z,Datos_items!$B:$B,$B280,Datos_items!$O:$O,J$4,Datos_items!$E:$E,Analisis_grupo!$C$4)/COUNTIFS(Datos_items!$B:$B,$B280,Datos_items!$O:$O,J$4,Datos_items!$E:$E,Analisis_grupo!$C$4),""))</f>
        <v/>
      </c>
      <c r="K280" s="18" t="str">
        <f aca="false">IF($B280="","",IFERROR(SUMIFS(Datos_items!$Z:$Z,Datos_items!$B:$B,$B280,Datos_items!$O:$O,K$4,Datos_items!$E:$E,Analisis_grupo!$C$4)/COUNTIFS(Datos_items!$B:$B,$B280,Datos_items!$O:$O,K$4,Datos_items!$E:$E,Analisis_grupo!$C$4),""))</f>
        <v/>
      </c>
      <c r="L280" s="18" t="str">
        <f aca="false">IF($B280="","",IFERROR(SUMIFS(Datos_items!$Z:$Z,Datos_items!$B:$B,$B280,Datos_items!$O:$O,L$4,Datos_items!$E:$E,Analisis_grupo!$C$4)/COUNTIFS(Datos_items!$B:$B,$B280,Datos_items!$O:$O,L$4,Datos_items!$E:$E,Analisis_grupo!$C$4),""))</f>
        <v/>
      </c>
      <c r="M280" s="18" t="str">
        <f aca="false">IF($B280="","",IFERROR(SUMIFS(Datos_items!$Z:$Z,Datos_items!$B:$B,$B280,Datos_items!$O:$O,M$4,Datos_items!$E:$E,Analisis_grupo!$C$4)/COUNTIFS(Datos_items!$B:$B,$B280,Datos_items!$O:$O,M$4,Datos_items!$E:$E,Analisis_grupo!$C$4),""))</f>
        <v/>
      </c>
      <c r="N280" s="18" t="str">
        <f aca="false">IF($B280="","",IFERROR(SUMIFS(Datos_items!$Z:$Z,Datos_items!$B:$B,$B280,Datos_items!$O:$O,N$4,Datos_items!$E:$E,Analisis_grupo!$C$4)/COUNTIFS(Datos_items!$B:$B,$B280,Datos_items!$O:$O,N$4,Datos_items!$E:$E,Analisis_grupo!$C$4),""))</f>
        <v/>
      </c>
      <c r="O280" s="18" t="str">
        <f aca="false">IF($B280="","",IFERROR(SUMIFS(Datos_items!$Z:$Z,Datos_items!$B:$B,$B280,Datos_items!$O:$O,O$4,Datos_items!$E:$E,Analisis_grupo!$C$4)/COUNTIFS(Datos_items!$B:$B,$B280,Datos_items!$O:$O,O$4,Datos_items!$E:$E,Analisis_grupo!$C$4),""))</f>
        <v/>
      </c>
      <c r="P280" s="18" t="str">
        <f aca="false">IF($B280="","",IFERROR(SUMIFS(Datos_items!$Z:$Z,Datos_items!$B:$B,$B280,Datos_items!$O:$O,P$4,Datos_items!$E:$E,Analisis_grupo!$C$4)/COUNTIFS(Datos_items!$B:$B,$B280,Datos_items!$O:$O,P$4,Datos_items!$E:$E,Analisis_grupo!$C$4),""))</f>
        <v/>
      </c>
      <c r="Q280" s="18" t="str">
        <f aca="false">IF($B280="","",IFERROR(SUMIFS(Datos_items!$Z:$Z,Datos_items!$B:$B,$B280,Datos_items!$O:$O,Q$4,Datos_items!$E:$E,Analisis_grupo!$C$4)/COUNTIFS(Datos_items!$B:$B,$B280,Datos_items!$O:$O,Q$4,Datos_items!$E:$E,Analisis_grupo!$C$4),""))</f>
        <v/>
      </c>
      <c r="R280" s="2" t="str">
        <f aca="false">IF(COUNT(J280:Q280)=0,"",IF(MIN(J280:Q280)&gt;=Analisis_grupo!$B$7,"(ninguna)",INDEX($J$4:$Q$4,MATCH(MIN(J280:Q280),J280:Q280,0))))</f>
        <v/>
      </c>
      <c r="S280" s="2" t="str">
        <f aca="false">IF($B280="","",COUNTIF(J280:Q280,"&lt;"&amp;Analisis_grupo!$B$7))</f>
        <v/>
      </c>
      <c r="T280" s="2" t="str">
        <f aca="false">IF($B280="","",COUNTIFS(Datos_items!$B:$B,$B280,Datos_items!$AA:$AA,T$4,Datos_items!$E:$E,Analisis_grupo!$C$4))</f>
        <v/>
      </c>
      <c r="U280" s="2" t="str">
        <f aca="false">IF($B280="","",COUNTIFS(Datos_items!$B:$B,$B280,Datos_items!$AA:$AA,U$4,Datos_items!$E:$E,Analisis_grupo!$C$4))</f>
        <v/>
      </c>
      <c r="V280" s="2" t="str">
        <f aca="false">IF($B280="","",COUNTIFS(Datos_items!$B:$B,$B280,Datos_items!$AA:$AA,V$4,Datos_items!$E:$E,Analisis_grupo!$C$4))</f>
        <v/>
      </c>
      <c r="W280" s="2" t="str">
        <f aca="false">IF($B280="","",COUNTIFS(Datos_items!$B:$B,$B280,Datos_items!$AA:$AA,W$4,Datos_items!$E:$E,Analisis_grupo!$C$4))</f>
        <v/>
      </c>
      <c r="X280" s="2" t="str">
        <f aca="false">IF($B280="","",COUNTIFS(Datos_items!$B:$B,$B280,Datos_items!$AA:$AA,X$4,Datos_items!$E:$E,Analisis_grupo!$C$4))</f>
        <v/>
      </c>
      <c r="Y280" s="2" t="str">
        <f aca="false">IF($B280="","",COUNTIFS(Datos_items!$B:$B,$B280,Datos_items!$AA:$AA,Y$4,Datos_items!$E:$E,Analisis_grupo!$C$4))</f>
        <v/>
      </c>
      <c r="Z280" s="2" t="str">
        <f aca="false">IF($B280="","",COUNTIFS(Datos_items!$B:$B,$B280,Datos_items!$AA:$AA,Z$4,Datos_items!$E:$E,Analisis_grupo!$C$4))</f>
        <v/>
      </c>
      <c r="AA280" s="2" t="str">
        <f aca="false">IF($B280="","",COUNTIFS(Datos_items!$B:$B,$B280,Datos_items!$AA:$AA,AA$4,Datos_items!$E:$E,Analisis_grupo!$C$4))</f>
        <v/>
      </c>
      <c r="AB280" s="2" t="str">
        <f aca="false">IF($B280="","",COUNTIFS(Datos_items!$B:$B,$B280,Datos_items!$AA:$AA,AB$4,Datos_items!$E:$E,Analisis_grupo!$C$4))</f>
        <v/>
      </c>
      <c r="AC280" s="2" t="str">
        <f aca="false">IF($B280="","",COUNTIFS(Datos_items!$B:$B,$B280,Datos_items!$AA:$AA,AC$4,Datos_items!$E:$E,Analisis_grupo!$C$4))</f>
        <v/>
      </c>
      <c r="AD280" s="2" t="str">
        <f aca="false">IF($B280="","",COUNTIFS(Datos_items!$B:$B,$B280,Datos_items!$AA:$AA,AD$4,Datos_items!$E:$E,Analisis_grupo!$C$4))</f>
        <v/>
      </c>
      <c r="AE280" s="2" t="str">
        <f aca="false">IF($B280="","",COUNTIFS(Datos_items!$B:$B,$B280,Datos_items!$AA:$AA,AE$4,Datos_items!$E:$E,Analisis_grupo!$C$4))</f>
        <v/>
      </c>
      <c r="AF280" s="2" t="str">
        <f aca="false">IF($B280="","",COUNTIFS(Datos_items!$B:$B,$B280,Datos_items!$AA:$AA,AF$4,Datos_items!$E:$E,Analisis_grupo!$C$4))</f>
        <v/>
      </c>
      <c r="AG280" s="2" t="str">
        <f aca="false">IF($B280="","",COUNTIFS(Datos_items!$B:$B,$B280,Datos_items!$AA:$AA,AG$4,Datos_items!$E:$E,Analisis_grupo!$C$4))</f>
        <v/>
      </c>
      <c r="AH280" s="2" t="str">
        <f aca="false">IF($B280="","",COUNTIFS(Datos_items!$B:$B,$B280,Datos_items!$AA:$AA,AH$4,Datos_items!$E:$E,Analisis_grupo!$C$4))</f>
        <v/>
      </c>
      <c r="AI280" s="2" t="str">
        <f aca="false">IF($B280="","",COUNTIFS(Datos_items!$B:$B,$B280,Datos_items!$AA:$AA,AI$4,Datos_items!$E:$E,Analisis_grupo!$C$4))</f>
        <v/>
      </c>
      <c r="AJ280" s="2" t="str">
        <f aca="false">IF($B280="","",COUNTIFS(Datos_items!$B:$B,$B280,Datos_items!$AA:$AA,AJ$4,Datos_items!$E:$E,Analisis_grupo!$C$4))</f>
        <v/>
      </c>
      <c r="AK280" s="2" t="str">
        <f aca="false">IF($B280="","",COUNTIFS(Datos_items!$B:$B,$B280,Datos_items!$AA:$AA,AK$4,Datos_items!$E:$E,Analisis_grupo!$C$4))</f>
        <v/>
      </c>
      <c r="AL280" s="2" t="str">
        <f aca="false">IF($B280="","",COUNTIFS(Datos_items!$B:$B,$B280,Datos_items!$AA:$AA,AL$4,Datos_items!$E:$E,Analisis_grupo!$C$4))</f>
        <v/>
      </c>
      <c r="AM280" s="2" t="str">
        <f aca="false">IF($B280="","",IF(MAX(Y280:AL280)=0,"",INDEX($Y$4:$AL$4,MATCH(MAX(Y280:AL280),Y280:AL280,0))))</f>
        <v/>
      </c>
      <c r="AN280" s="2" t="str">
        <f aca="false">IF($B280="","",COUNTIFS(Datos_problemas!$B:$B,$B280,Datos_problemas!$F:$F,"Práctica"))</f>
        <v/>
      </c>
      <c r="AO280" s="2" t="str">
        <f aca="false">IF($B280="","",SUMIFS(Datos_problemas!$AQ:$AQ,Datos_problemas!$B:$B,$B280,Datos_problemas!$F:$F,"Práctica"))</f>
        <v/>
      </c>
      <c r="AP280" s="2" t="str">
        <f aca="false">IF($B280="","",COUNTIFS(Datos_problemas!$B:$B,$B280,Datos_problemas!$F:$F,"Práctica",Datos_problemas!$AS:$AS,"Sí"))</f>
        <v/>
      </c>
    </row>
    <row r="281" customFormat="false" ht="15" hidden="false" customHeight="false" outlineLevel="0" collapsed="false">
      <c r="A281" s="2" t="n">
        <v>277</v>
      </c>
      <c r="B281" s="2" t="str">
        <f aca="false">IFERROR(INDEX(Datos_problemas!$B:$B,MATCH($A281,Datos_problemas!$AV:$AV,0)),"")</f>
        <v/>
      </c>
      <c r="C281" s="2" t="str">
        <f aca="false">IF($B281="","",INDEX(Datos_problemas!$C:$C,MATCH($A281,Datos_problemas!$AV:$AV,0)))</f>
        <v/>
      </c>
      <c r="D281" s="2" t="str">
        <f aca="false">IF($B281="","",INDEX(Datos_problemas!$D:$D,MATCH($A281,Datos_problemas!$AV:$AV,0)))</f>
        <v/>
      </c>
      <c r="E281" s="2" t="str">
        <f aca="false">IF($B281="","",COUNTIFS(Datos_problemas!$B:$B,$B281,Datos_problemas!$F:$F,"Evaluación"))</f>
        <v/>
      </c>
      <c r="F281" s="20" t="str">
        <f aca="false">IF($B281="","",IFERROR(AVERAGEIFS(Datos_problemas!$AE:$AE,Datos_problemas!$B:$B,$B281,Datos_problemas!$F:$F,"Evaluación"),""))</f>
        <v/>
      </c>
      <c r="G281" s="20" t="str">
        <f aca="false">IF($B281="","",IFERROR(AVERAGEIFS(Datos_problemas!$AE:$AE,Datos_problemas!$B:$B,$B281,Datos_problemas!$F:$F,"Evaluación",Datos_problemas!$E:$E,"Diagnóstico"),""))</f>
        <v/>
      </c>
      <c r="H281" s="20" t="str">
        <f aca="false">IF($B281="","",IFERROR(AVERAGEIFS(Datos_problemas!$AE:$AE,Datos_problemas!$B:$B,$B281,Datos_problemas!$F:$F,"Evaluación",Datos_problemas!$E:$E,"Final"),""))</f>
        <v/>
      </c>
      <c r="I281" s="21" t="str">
        <f aca="false">IF(OR(G281="",H281=""),"",IF(G281&gt;=10,"",(H281-G281)/(10-G281)))</f>
        <v/>
      </c>
      <c r="J281" s="18" t="str">
        <f aca="false">IF($B281="","",IFERROR(SUMIFS(Datos_items!$Z:$Z,Datos_items!$B:$B,$B281,Datos_items!$O:$O,J$4,Datos_items!$E:$E,Analisis_grupo!$C$4)/COUNTIFS(Datos_items!$B:$B,$B281,Datos_items!$O:$O,J$4,Datos_items!$E:$E,Analisis_grupo!$C$4),""))</f>
        <v/>
      </c>
      <c r="K281" s="18" t="str">
        <f aca="false">IF($B281="","",IFERROR(SUMIFS(Datos_items!$Z:$Z,Datos_items!$B:$B,$B281,Datos_items!$O:$O,K$4,Datos_items!$E:$E,Analisis_grupo!$C$4)/COUNTIFS(Datos_items!$B:$B,$B281,Datos_items!$O:$O,K$4,Datos_items!$E:$E,Analisis_grupo!$C$4),""))</f>
        <v/>
      </c>
      <c r="L281" s="18" t="str">
        <f aca="false">IF($B281="","",IFERROR(SUMIFS(Datos_items!$Z:$Z,Datos_items!$B:$B,$B281,Datos_items!$O:$O,L$4,Datos_items!$E:$E,Analisis_grupo!$C$4)/COUNTIFS(Datos_items!$B:$B,$B281,Datos_items!$O:$O,L$4,Datos_items!$E:$E,Analisis_grupo!$C$4),""))</f>
        <v/>
      </c>
      <c r="M281" s="18" t="str">
        <f aca="false">IF($B281="","",IFERROR(SUMIFS(Datos_items!$Z:$Z,Datos_items!$B:$B,$B281,Datos_items!$O:$O,M$4,Datos_items!$E:$E,Analisis_grupo!$C$4)/COUNTIFS(Datos_items!$B:$B,$B281,Datos_items!$O:$O,M$4,Datos_items!$E:$E,Analisis_grupo!$C$4),""))</f>
        <v/>
      </c>
      <c r="N281" s="18" t="str">
        <f aca="false">IF($B281="","",IFERROR(SUMIFS(Datos_items!$Z:$Z,Datos_items!$B:$B,$B281,Datos_items!$O:$O,N$4,Datos_items!$E:$E,Analisis_grupo!$C$4)/COUNTIFS(Datos_items!$B:$B,$B281,Datos_items!$O:$O,N$4,Datos_items!$E:$E,Analisis_grupo!$C$4),""))</f>
        <v/>
      </c>
      <c r="O281" s="18" t="str">
        <f aca="false">IF($B281="","",IFERROR(SUMIFS(Datos_items!$Z:$Z,Datos_items!$B:$B,$B281,Datos_items!$O:$O,O$4,Datos_items!$E:$E,Analisis_grupo!$C$4)/COUNTIFS(Datos_items!$B:$B,$B281,Datos_items!$O:$O,O$4,Datos_items!$E:$E,Analisis_grupo!$C$4),""))</f>
        <v/>
      </c>
      <c r="P281" s="18" t="str">
        <f aca="false">IF($B281="","",IFERROR(SUMIFS(Datos_items!$Z:$Z,Datos_items!$B:$B,$B281,Datos_items!$O:$O,P$4,Datos_items!$E:$E,Analisis_grupo!$C$4)/COUNTIFS(Datos_items!$B:$B,$B281,Datos_items!$O:$O,P$4,Datos_items!$E:$E,Analisis_grupo!$C$4),""))</f>
        <v/>
      </c>
      <c r="Q281" s="18" t="str">
        <f aca="false">IF($B281="","",IFERROR(SUMIFS(Datos_items!$Z:$Z,Datos_items!$B:$B,$B281,Datos_items!$O:$O,Q$4,Datos_items!$E:$E,Analisis_grupo!$C$4)/COUNTIFS(Datos_items!$B:$B,$B281,Datos_items!$O:$O,Q$4,Datos_items!$E:$E,Analisis_grupo!$C$4),""))</f>
        <v/>
      </c>
      <c r="R281" s="2" t="str">
        <f aca="false">IF(COUNT(J281:Q281)=0,"",IF(MIN(J281:Q281)&gt;=Analisis_grupo!$B$7,"(ninguna)",INDEX($J$4:$Q$4,MATCH(MIN(J281:Q281),J281:Q281,0))))</f>
        <v/>
      </c>
      <c r="S281" s="2" t="str">
        <f aca="false">IF($B281="","",COUNTIF(J281:Q281,"&lt;"&amp;Analisis_grupo!$B$7))</f>
        <v/>
      </c>
      <c r="T281" s="2" t="str">
        <f aca="false">IF($B281="","",COUNTIFS(Datos_items!$B:$B,$B281,Datos_items!$AA:$AA,T$4,Datos_items!$E:$E,Analisis_grupo!$C$4))</f>
        <v/>
      </c>
      <c r="U281" s="2" t="str">
        <f aca="false">IF($B281="","",COUNTIFS(Datos_items!$B:$B,$B281,Datos_items!$AA:$AA,U$4,Datos_items!$E:$E,Analisis_grupo!$C$4))</f>
        <v/>
      </c>
      <c r="V281" s="2" t="str">
        <f aca="false">IF($B281="","",COUNTIFS(Datos_items!$B:$B,$B281,Datos_items!$AA:$AA,V$4,Datos_items!$E:$E,Analisis_grupo!$C$4))</f>
        <v/>
      </c>
      <c r="W281" s="2" t="str">
        <f aca="false">IF($B281="","",COUNTIFS(Datos_items!$B:$B,$B281,Datos_items!$AA:$AA,W$4,Datos_items!$E:$E,Analisis_grupo!$C$4))</f>
        <v/>
      </c>
      <c r="X281" s="2" t="str">
        <f aca="false">IF($B281="","",COUNTIFS(Datos_items!$B:$B,$B281,Datos_items!$AA:$AA,X$4,Datos_items!$E:$E,Analisis_grupo!$C$4))</f>
        <v/>
      </c>
      <c r="Y281" s="2" t="str">
        <f aca="false">IF($B281="","",COUNTIFS(Datos_items!$B:$B,$B281,Datos_items!$AA:$AA,Y$4,Datos_items!$E:$E,Analisis_grupo!$C$4))</f>
        <v/>
      </c>
      <c r="Z281" s="2" t="str">
        <f aca="false">IF($B281="","",COUNTIFS(Datos_items!$B:$B,$B281,Datos_items!$AA:$AA,Z$4,Datos_items!$E:$E,Analisis_grupo!$C$4))</f>
        <v/>
      </c>
      <c r="AA281" s="2" t="str">
        <f aca="false">IF($B281="","",COUNTIFS(Datos_items!$B:$B,$B281,Datos_items!$AA:$AA,AA$4,Datos_items!$E:$E,Analisis_grupo!$C$4))</f>
        <v/>
      </c>
      <c r="AB281" s="2" t="str">
        <f aca="false">IF($B281="","",COUNTIFS(Datos_items!$B:$B,$B281,Datos_items!$AA:$AA,AB$4,Datos_items!$E:$E,Analisis_grupo!$C$4))</f>
        <v/>
      </c>
      <c r="AC281" s="2" t="str">
        <f aca="false">IF($B281="","",COUNTIFS(Datos_items!$B:$B,$B281,Datos_items!$AA:$AA,AC$4,Datos_items!$E:$E,Analisis_grupo!$C$4))</f>
        <v/>
      </c>
      <c r="AD281" s="2" t="str">
        <f aca="false">IF($B281="","",COUNTIFS(Datos_items!$B:$B,$B281,Datos_items!$AA:$AA,AD$4,Datos_items!$E:$E,Analisis_grupo!$C$4))</f>
        <v/>
      </c>
      <c r="AE281" s="2" t="str">
        <f aca="false">IF($B281="","",COUNTIFS(Datos_items!$B:$B,$B281,Datos_items!$AA:$AA,AE$4,Datos_items!$E:$E,Analisis_grupo!$C$4))</f>
        <v/>
      </c>
      <c r="AF281" s="2" t="str">
        <f aca="false">IF($B281="","",COUNTIFS(Datos_items!$B:$B,$B281,Datos_items!$AA:$AA,AF$4,Datos_items!$E:$E,Analisis_grupo!$C$4))</f>
        <v/>
      </c>
      <c r="AG281" s="2" t="str">
        <f aca="false">IF($B281="","",COUNTIFS(Datos_items!$B:$B,$B281,Datos_items!$AA:$AA,AG$4,Datos_items!$E:$E,Analisis_grupo!$C$4))</f>
        <v/>
      </c>
      <c r="AH281" s="2" t="str">
        <f aca="false">IF($B281="","",COUNTIFS(Datos_items!$B:$B,$B281,Datos_items!$AA:$AA,AH$4,Datos_items!$E:$E,Analisis_grupo!$C$4))</f>
        <v/>
      </c>
      <c r="AI281" s="2" t="str">
        <f aca="false">IF($B281="","",COUNTIFS(Datos_items!$B:$B,$B281,Datos_items!$AA:$AA,AI$4,Datos_items!$E:$E,Analisis_grupo!$C$4))</f>
        <v/>
      </c>
      <c r="AJ281" s="2" t="str">
        <f aca="false">IF($B281="","",COUNTIFS(Datos_items!$B:$B,$B281,Datos_items!$AA:$AA,AJ$4,Datos_items!$E:$E,Analisis_grupo!$C$4))</f>
        <v/>
      </c>
      <c r="AK281" s="2" t="str">
        <f aca="false">IF($B281="","",COUNTIFS(Datos_items!$B:$B,$B281,Datos_items!$AA:$AA,AK$4,Datos_items!$E:$E,Analisis_grupo!$C$4))</f>
        <v/>
      </c>
      <c r="AL281" s="2" t="str">
        <f aca="false">IF($B281="","",COUNTIFS(Datos_items!$B:$B,$B281,Datos_items!$AA:$AA,AL$4,Datos_items!$E:$E,Analisis_grupo!$C$4))</f>
        <v/>
      </c>
      <c r="AM281" s="2" t="str">
        <f aca="false">IF($B281="","",IF(MAX(Y281:AL281)=0,"",INDEX($Y$4:$AL$4,MATCH(MAX(Y281:AL281),Y281:AL281,0))))</f>
        <v/>
      </c>
      <c r="AN281" s="2" t="str">
        <f aca="false">IF($B281="","",COUNTIFS(Datos_problemas!$B:$B,$B281,Datos_problemas!$F:$F,"Práctica"))</f>
        <v/>
      </c>
      <c r="AO281" s="2" t="str">
        <f aca="false">IF($B281="","",SUMIFS(Datos_problemas!$AQ:$AQ,Datos_problemas!$B:$B,$B281,Datos_problemas!$F:$F,"Práctica"))</f>
        <v/>
      </c>
      <c r="AP281" s="2" t="str">
        <f aca="false">IF($B281="","",COUNTIFS(Datos_problemas!$B:$B,$B281,Datos_problemas!$F:$F,"Práctica",Datos_problemas!$AS:$AS,"Sí"))</f>
        <v/>
      </c>
    </row>
    <row r="282" customFormat="false" ht="15" hidden="false" customHeight="false" outlineLevel="0" collapsed="false">
      <c r="A282" s="2" t="n">
        <v>278</v>
      </c>
      <c r="B282" s="2" t="str">
        <f aca="false">IFERROR(INDEX(Datos_problemas!$B:$B,MATCH($A282,Datos_problemas!$AV:$AV,0)),"")</f>
        <v/>
      </c>
      <c r="C282" s="2" t="str">
        <f aca="false">IF($B282="","",INDEX(Datos_problemas!$C:$C,MATCH($A282,Datos_problemas!$AV:$AV,0)))</f>
        <v/>
      </c>
      <c r="D282" s="2" t="str">
        <f aca="false">IF($B282="","",INDEX(Datos_problemas!$D:$D,MATCH($A282,Datos_problemas!$AV:$AV,0)))</f>
        <v/>
      </c>
      <c r="E282" s="2" t="str">
        <f aca="false">IF($B282="","",COUNTIFS(Datos_problemas!$B:$B,$B282,Datos_problemas!$F:$F,"Evaluación"))</f>
        <v/>
      </c>
      <c r="F282" s="20" t="str">
        <f aca="false">IF($B282="","",IFERROR(AVERAGEIFS(Datos_problemas!$AE:$AE,Datos_problemas!$B:$B,$B282,Datos_problemas!$F:$F,"Evaluación"),""))</f>
        <v/>
      </c>
      <c r="G282" s="20" t="str">
        <f aca="false">IF($B282="","",IFERROR(AVERAGEIFS(Datos_problemas!$AE:$AE,Datos_problemas!$B:$B,$B282,Datos_problemas!$F:$F,"Evaluación",Datos_problemas!$E:$E,"Diagnóstico"),""))</f>
        <v/>
      </c>
      <c r="H282" s="20" t="str">
        <f aca="false">IF($B282="","",IFERROR(AVERAGEIFS(Datos_problemas!$AE:$AE,Datos_problemas!$B:$B,$B282,Datos_problemas!$F:$F,"Evaluación",Datos_problemas!$E:$E,"Final"),""))</f>
        <v/>
      </c>
      <c r="I282" s="21" t="str">
        <f aca="false">IF(OR(G282="",H282=""),"",IF(G282&gt;=10,"",(H282-G282)/(10-G282)))</f>
        <v/>
      </c>
      <c r="J282" s="18" t="str">
        <f aca="false">IF($B282="","",IFERROR(SUMIFS(Datos_items!$Z:$Z,Datos_items!$B:$B,$B282,Datos_items!$O:$O,J$4,Datos_items!$E:$E,Analisis_grupo!$C$4)/COUNTIFS(Datos_items!$B:$B,$B282,Datos_items!$O:$O,J$4,Datos_items!$E:$E,Analisis_grupo!$C$4),""))</f>
        <v/>
      </c>
      <c r="K282" s="18" t="str">
        <f aca="false">IF($B282="","",IFERROR(SUMIFS(Datos_items!$Z:$Z,Datos_items!$B:$B,$B282,Datos_items!$O:$O,K$4,Datos_items!$E:$E,Analisis_grupo!$C$4)/COUNTIFS(Datos_items!$B:$B,$B282,Datos_items!$O:$O,K$4,Datos_items!$E:$E,Analisis_grupo!$C$4),""))</f>
        <v/>
      </c>
      <c r="L282" s="18" t="str">
        <f aca="false">IF($B282="","",IFERROR(SUMIFS(Datos_items!$Z:$Z,Datos_items!$B:$B,$B282,Datos_items!$O:$O,L$4,Datos_items!$E:$E,Analisis_grupo!$C$4)/COUNTIFS(Datos_items!$B:$B,$B282,Datos_items!$O:$O,L$4,Datos_items!$E:$E,Analisis_grupo!$C$4),""))</f>
        <v/>
      </c>
      <c r="M282" s="18" t="str">
        <f aca="false">IF($B282="","",IFERROR(SUMIFS(Datos_items!$Z:$Z,Datos_items!$B:$B,$B282,Datos_items!$O:$O,M$4,Datos_items!$E:$E,Analisis_grupo!$C$4)/COUNTIFS(Datos_items!$B:$B,$B282,Datos_items!$O:$O,M$4,Datos_items!$E:$E,Analisis_grupo!$C$4),""))</f>
        <v/>
      </c>
      <c r="N282" s="18" t="str">
        <f aca="false">IF($B282="","",IFERROR(SUMIFS(Datos_items!$Z:$Z,Datos_items!$B:$B,$B282,Datos_items!$O:$O,N$4,Datos_items!$E:$E,Analisis_grupo!$C$4)/COUNTIFS(Datos_items!$B:$B,$B282,Datos_items!$O:$O,N$4,Datos_items!$E:$E,Analisis_grupo!$C$4),""))</f>
        <v/>
      </c>
      <c r="O282" s="18" t="str">
        <f aca="false">IF($B282="","",IFERROR(SUMIFS(Datos_items!$Z:$Z,Datos_items!$B:$B,$B282,Datos_items!$O:$O,O$4,Datos_items!$E:$E,Analisis_grupo!$C$4)/COUNTIFS(Datos_items!$B:$B,$B282,Datos_items!$O:$O,O$4,Datos_items!$E:$E,Analisis_grupo!$C$4),""))</f>
        <v/>
      </c>
      <c r="P282" s="18" t="str">
        <f aca="false">IF($B282="","",IFERROR(SUMIFS(Datos_items!$Z:$Z,Datos_items!$B:$B,$B282,Datos_items!$O:$O,P$4,Datos_items!$E:$E,Analisis_grupo!$C$4)/COUNTIFS(Datos_items!$B:$B,$B282,Datos_items!$O:$O,P$4,Datos_items!$E:$E,Analisis_grupo!$C$4),""))</f>
        <v/>
      </c>
      <c r="Q282" s="18" t="str">
        <f aca="false">IF($B282="","",IFERROR(SUMIFS(Datos_items!$Z:$Z,Datos_items!$B:$B,$B282,Datos_items!$O:$O,Q$4,Datos_items!$E:$E,Analisis_grupo!$C$4)/COUNTIFS(Datos_items!$B:$B,$B282,Datos_items!$O:$O,Q$4,Datos_items!$E:$E,Analisis_grupo!$C$4),""))</f>
        <v/>
      </c>
      <c r="R282" s="2" t="str">
        <f aca="false">IF(COUNT(J282:Q282)=0,"",IF(MIN(J282:Q282)&gt;=Analisis_grupo!$B$7,"(ninguna)",INDEX($J$4:$Q$4,MATCH(MIN(J282:Q282),J282:Q282,0))))</f>
        <v/>
      </c>
      <c r="S282" s="2" t="str">
        <f aca="false">IF($B282="","",COUNTIF(J282:Q282,"&lt;"&amp;Analisis_grupo!$B$7))</f>
        <v/>
      </c>
      <c r="T282" s="2" t="str">
        <f aca="false">IF($B282="","",COUNTIFS(Datos_items!$B:$B,$B282,Datos_items!$AA:$AA,T$4,Datos_items!$E:$E,Analisis_grupo!$C$4))</f>
        <v/>
      </c>
      <c r="U282" s="2" t="str">
        <f aca="false">IF($B282="","",COUNTIFS(Datos_items!$B:$B,$B282,Datos_items!$AA:$AA,U$4,Datos_items!$E:$E,Analisis_grupo!$C$4))</f>
        <v/>
      </c>
      <c r="V282" s="2" t="str">
        <f aca="false">IF($B282="","",COUNTIFS(Datos_items!$B:$B,$B282,Datos_items!$AA:$AA,V$4,Datos_items!$E:$E,Analisis_grupo!$C$4))</f>
        <v/>
      </c>
      <c r="W282" s="2" t="str">
        <f aca="false">IF($B282="","",COUNTIFS(Datos_items!$B:$B,$B282,Datos_items!$AA:$AA,W$4,Datos_items!$E:$E,Analisis_grupo!$C$4))</f>
        <v/>
      </c>
      <c r="X282" s="2" t="str">
        <f aca="false">IF($B282="","",COUNTIFS(Datos_items!$B:$B,$B282,Datos_items!$AA:$AA,X$4,Datos_items!$E:$E,Analisis_grupo!$C$4))</f>
        <v/>
      </c>
      <c r="Y282" s="2" t="str">
        <f aca="false">IF($B282="","",COUNTIFS(Datos_items!$B:$B,$B282,Datos_items!$AA:$AA,Y$4,Datos_items!$E:$E,Analisis_grupo!$C$4))</f>
        <v/>
      </c>
      <c r="Z282" s="2" t="str">
        <f aca="false">IF($B282="","",COUNTIFS(Datos_items!$B:$B,$B282,Datos_items!$AA:$AA,Z$4,Datos_items!$E:$E,Analisis_grupo!$C$4))</f>
        <v/>
      </c>
      <c r="AA282" s="2" t="str">
        <f aca="false">IF($B282="","",COUNTIFS(Datos_items!$B:$B,$B282,Datos_items!$AA:$AA,AA$4,Datos_items!$E:$E,Analisis_grupo!$C$4))</f>
        <v/>
      </c>
      <c r="AB282" s="2" t="str">
        <f aca="false">IF($B282="","",COUNTIFS(Datos_items!$B:$B,$B282,Datos_items!$AA:$AA,AB$4,Datos_items!$E:$E,Analisis_grupo!$C$4))</f>
        <v/>
      </c>
      <c r="AC282" s="2" t="str">
        <f aca="false">IF($B282="","",COUNTIFS(Datos_items!$B:$B,$B282,Datos_items!$AA:$AA,AC$4,Datos_items!$E:$E,Analisis_grupo!$C$4))</f>
        <v/>
      </c>
      <c r="AD282" s="2" t="str">
        <f aca="false">IF($B282="","",COUNTIFS(Datos_items!$B:$B,$B282,Datos_items!$AA:$AA,AD$4,Datos_items!$E:$E,Analisis_grupo!$C$4))</f>
        <v/>
      </c>
      <c r="AE282" s="2" t="str">
        <f aca="false">IF($B282="","",COUNTIFS(Datos_items!$B:$B,$B282,Datos_items!$AA:$AA,AE$4,Datos_items!$E:$E,Analisis_grupo!$C$4))</f>
        <v/>
      </c>
      <c r="AF282" s="2" t="str">
        <f aca="false">IF($B282="","",COUNTIFS(Datos_items!$B:$B,$B282,Datos_items!$AA:$AA,AF$4,Datos_items!$E:$E,Analisis_grupo!$C$4))</f>
        <v/>
      </c>
      <c r="AG282" s="2" t="str">
        <f aca="false">IF($B282="","",COUNTIFS(Datos_items!$B:$B,$B282,Datos_items!$AA:$AA,AG$4,Datos_items!$E:$E,Analisis_grupo!$C$4))</f>
        <v/>
      </c>
      <c r="AH282" s="2" t="str">
        <f aca="false">IF($B282="","",COUNTIFS(Datos_items!$B:$B,$B282,Datos_items!$AA:$AA,AH$4,Datos_items!$E:$E,Analisis_grupo!$C$4))</f>
        <v/>
      </c>
      <c r="AI282" s="2" t="str">
        <f aca="false">IF($B282="","",COUNTIFS(Datos_items!$B:$B,$B282,Datos_items!$AA:$AA,AI$4,Datos_items!$E:$E,Analisis_grupo!$C$4))</f>
        <v/>
      </c>
      <c r="AJ282" s="2" t="str">
        <f aca="false">IF($B282="","",COUNTIFS(Datos_items!$B:$B,$B282,Datos_items!$AA:$AA,AJ$4,Datos_items!$E:$E,Analisis_grupo!$C$4))</f>
        <v/>
      </c>
      <c r="AK282" s="2" t="str">
        <f aca="false">IF($B282="","",COUNTIFS(Datos_items!$B:$B,$B282,Datos_items!$AA:$AA,AK$4,Datos_items!$E:$E,Analisis_grupo!$C$4))</f>
        <v/>
      </c>
      <c r="AL282" s="2" t="str">
        <f aca="false">IF($B282="","",COUNTIFS(Datos_items!$B:$B,$B282,Datos_items!$AA:$AA,AL$4,Datos_items!$E:$E,Analisis_grupo!$C$4))</f>
        <v/>
      </c>
      <c r="AM282" s="2" t="str">
        <f aca="false">IF($B282="","",IF(MAX(Y282:AL282)=0,"",INDEX($Y$4:$AL$4,MATCH(MAX(Y282:AL282),Y282:AL282,0))))</f>
        <v/>
      </c>
      <c r="AN282" s="2" t="str">
        <f aca="false">IF($B282="","",COUNTIFS(Datos_problemas!$B:$B,$B282,Datos_problemas!$F:$F,"Práctica"))</f>
        <v/>
      </c>
      <c r="AO282" s="2" t="str">
        <f aca="false">IF($B282="","",SUMIFS(Datos_problemas!$AQ:$AQ,Datos_problemas!$B:$B,$B282,Datos_problemas!$F:$F,"Práctica"))</f>
        <v/>
      </c>
      <c r="AP282" s="2" t="str">
        <f aca="false">IF($B282="","",COUNTIFS(Datos_problemas!$B:$B,$B282,Datos_problemas!$F:$F,"Práctica",Datos_problemas!$AS:$AS,"Sí"))</f>
        <v/>
      </c>
    </row>
    <row r="283" customFormat="false" ht="15" hidden="false" customHeight="false" outlineLevel="0" collapsed="false">
      <c r="A283" s="2" t="n">
        <v>279</v>
      </c>
      <c r="B283" s="2" t="str">
        <f aca="false">IFERROR(INDEX(Datos_problemas!$B:$B,MATCH($A283,Datos_problemas!$AV:$AV,0)),"")</f>
        <v/>
      </c>
      <c r="C283" s="2" t="str">
        <f aca="false">IF($B283="","",INDEX(Datos_problemas!$C:$C,MATCH($A283,Datos_problemas!$AV:$AV,0)))</f>
        <v/>
      </c>
      <c r="D283" s="2" t="str">
        <f aca="false">IF($B283="","",INDEX(Datos_problemas!$D:$D,MATCH($A283,Datos_problemas!$AV:$AV,0)))</f>
        <v/>
      </c>
      <c r="E283" s="2" t="str">
        <f aca="false">IF($B283="","",COUNTIFS(Datos_problemas!$B:$B,$B283,Datos_problemas!$F:$F,"Evaluación"))</f>
        <v/>
      </c>
      <c r="F283" s="20" t="str">
        <f aca="false">IF($B283="","",IFERROR(AVERAGEIFS(Datos_problemas!$AE:$AE,Datos_problemas!$B:$B,$B283,Datos_problemas!$F:$F,"Evaluación"),""))</f>
        <v/>
      </c>
      <c r="G283" s="20" t="str">
        <f aca="false">IF($B283="","",IFERROR(AVERAGEIFS(Datos_problemas!$AE:$AE,Datos_problemas!$B:$B,$B283,Datos_problemas!$F:$F,"Evaluación",Datos_problemas!$E:$E,"Diagnóstico"),""))</f>
        <v/>
      </c>
      <c r="H283" s="20" t="str">
        <f aca="false">IF($B283="","",IFERROR(AVERAGEIFS(Datos_problemas!$AE:$AE,Datos_problemas!$B:$B,$B283,Datos_problemas!$F:$F,"Evaluación",Datos_problemas!$E:$E,"Final"),""))</f>
        <v/>
      </c>
      <c r="I283" s="21" t="str">
        <f aca="false">IF(OR(G283="",H283=""),"",IF(G283&gt;=10,"",(H283-G283)/(10-G283)))</f>
        <v/>
      </c>
      <c r="J283" s="18" t="str">
        <f aca="false">IF($B283="","",IFERROR(SUMIFS(Datos_items!$Z:$Z,Datos_items!$B:$B,$B283,Datos_items!$O:$O,J$4,Datos_items!$E:$E,Analisis_grupo!$C$4)/COUNTIFS(Datos_items!$B:$B,$B283,Datos_items!$O:$O,J$4,Datos_items!$E:$E,Analisis_grupo!$C$4),""))</f>
        <v/>
      </c>
      <c r="K283" s="18" t="str">
        <f aca="false">IF($B283="","",IFERROR(SUMIFS(Datos_items!$Z:$Z,Datos_items!$B:$B,$B283,Datos_items!$O:$O,K$4,Datos_items!$E:$E,Analisis_grupo!$C$4)/COUNTIFS(Datos_items!$B:$B,$B283,Datos_items!$O:$O,K$4,Datos_items!$E:$E,Analisis_grupo!$C$4),""))</f>
        <v/>
      </c>
      <c r="L283" s="18" t="str">
        <f aca="false">IF($B283="","",IFERROR(SUMIFS(Datos_items!$Z:$Z,Datos_items!$B:$B,$B283,Datos_items!$O:$O,L$4,Datos_items!$E:$E,Analisis_grupo!$C$4)/COUNTIFS(Datos_items!$B:$B,$B283,Datos_items!$O:$O,L$4,Datos_items!$E:$E,Analisis_grupo!$C$4),""))</f>
        <v/>
      </c>
      <c r="M283" s="18" t="str">
        <f aca="false">IF($B283="","",IFERROR(SUMIFS(Datos_items!$Z:$Z,Datos_items!$B:$B,$B283,Datos_items!$O:$O,M$4,Datos_items!$E:$E,Analisis_grupo!$C$4)/COUNTIFS(Datos_items!$B:$B,$B283,Datos_items!$O:$O,M$4,Datos_items!$E:$E,Analisis_grupo!$C$4),""))</f>
        <v/>
      </c>
      <c r="N283" s="18" t="str">
        <f aca="false">IF($B283="","",IFERROR(SUMIFS(Datos_items!$Z:$Z,Datos_items!$B:$B,$B283,Datos_items!$O:$O,N$4,Datos_items!$E:$E,Analisis_grupo!$C$4)/COUNTIFS(Datos_items!$B:$B,$B283,Datos_items!$O:$O,N$4,Datos_items!$E:$E,Analisis_grupo!$C$4),""))</f>
        <v/>
      </c>
      <c r="O283" s="18" t="str">
        <f aca="false">IF($B283="","",IFERROR(SUMIFS(Datos_items!$Z:$Z,Datos_items!$B:$B,$B283,Datos_items!$O:$O,O$4,Datos_items!$E:$E,Analisis_grupo!$C$4)/COUNTIFS(Datos_items!$B:$B,$B283,Datos_items!$O:$O,O$4,Datos_items!$E:$E,Analisis_grupo!$C$4),""))</f>
        <v/>
      </c>
      <c r="P283" s="18" t="str">
        <f aca="false">IF($B283="","",IFERROR(SUMIFS(Datos_items!$Z:$Z,Datos_items!$B:$B,$B283,Datos_items!$O:$O,P$4,Datos_items!$E:$E,Analisis_grupo!$C$4)/COUNTIFS(Datos_items!$B:$B,$B283,Datos_items!$O:$O,P$4,Datos_items!$E:$E,Analisis_grupo!$C$4),""))</f>
        <v/>
      </c>
      <c r="Q283" s="18" t="str">
        <f aca="false">IF($B283="","",IFERROR(SUMIFS(Datos_items!$Z:$Z,Datos_items!$B:$B,$B283,Datos_items!$O:$O,Q$4,Datos_items!$E:$E,Analisis_grupo!$C$4)/COUNTIFS(Datos_items!$B:$B,$B283,Datos_items!$O:$O,Q$4,Datos_items!$E:$E,Analisis_grupo!$C$4),""))</f>
        <v/>
      </c>
      <c r="R283" s="2" t="str">
        <f aca="false">IF(COUNT(J283:Q283)=0,"",IF(MIN(J283:Q283)&gt;=Analisis_grupo!$B$7,"(ninguna)",INDEX($J$4:$Q$4,MATCH(MIN(J283:Q283),J283:Q283,0))))</f>
        <v/>
      </c>
      <c r="S283" s="2" t="str">
        <f aca="false">IF($B283="","",COUNTIF(J283:Q283,"&lt;"&amp;Analisis_grupo!$B$7))</f>
        <v/>
      </c>
      <c r="T283" s="2" t="str">
        <f aca="false">IF($B283="","",COUNTIFS(Datos_items!$B:$B,$B283,Datos_items!$AA:$AA,T$4,Datos_items!$E:$E,Analisis_grupo!$C$4))</f>
        <v/>
      </c>
      <c r="U283" s="2" t="str">
        <f aca="false">IF($B283="","",COUNTIFS(Datos_items!$B:$B,$B283,Datos_items!$AA:$AA,U$4,Datos_items!$E:$E,Analisis_grupo!$C$4))</f>
        <v/>
      </c>
      <c r="V283" s="2" t="str">
        <f aca="false">IF($B283="","",COUNTIFS(Datos_items!$B:$B,$B283,Datos_items!$AA:$AA,V$4,Datos_items!$E:$E,Analisis_grupo!$C$4))</f>
        <v/>
      </c>
      <c r="W283" s="2" t="str">
        <f aca="false">IF($B283="","",COUNTIFS(Datos_items!$B:$B,$B283,Datos_items!$AA:$AA,W$4,Datos_items!$E:$E,Analisis_grupo!$C$4))</f>
        <v/>
      </c>
      <c r="X283" s="2" t="str">
        <f aca="false">IF($B283="","",COUNTIFS(Datos_items!$B:$B,$B283,Datos_items!$AA:$AA,X$4,Datos_items!$E:$E,Analisis_grupo!$C$4))</f>
        <v/>
      </c>
      <c r="Y283" s="2" t="str">
        <f aca="false">IF($B283="","",COUNTIFS(Datos_items!$B:$B,$B283,Datos_items!$AA:$AA,Y$4,Datos_items!$E:$E,Analisis_grupo!$C$4))</f>
        <v/>
      </c>
      <c r="Z283" s="2" t="str">
        <f aca="false">IF($B283="","",COUNTIFS(Datos_items!$B:$B,$B283,Datos_items!$AA:$AA,Z$4,Datos_items!$E:$E,Analisis_grupo!$C$4))</f>
        <v/>
      </c>
      <c r="AA283" s="2" t="str">
        <f aca="false">IF($B283="","",COUNTIFS(Datos_items!$B:$B,$B283,Datos_items!$AA:$AA,AA$4,Datos_items!$E:$E,Analisis_grupo!$C$4))</f>
        <v/>
      </c>
      <c r="AB283" s="2" t="str">
        <f aca="false">IF($B283="","",COUNTIFS(Datos_items!$B:$B,$B283,Datos_items!$AA:$AA,AB$4,Datos_items!$E:$E,Analisis_grupo!$C$4))</f>
        <v/>
      </c>
      <c r="AC283" s="2" t="str">
        <f aca="false">IF($B283="","",COUNTIFS(Datos_items!$B:$B,$B283,Datos_items!$AA:$AA,AC$4,Datos_items!$E:$E,Analisis_grupo!$C$4))</f>
        <v/>
      </c>
      <c r="AD283" s="2" t="str">
        <f aca="false">IF($B283="","",COUNTIFS(Datos_items!$B:$B,$B283,Datos_items!$AA:$AA,AD$4,Datos_items!$E:$E,Analisis_grupo!$C$4))</f>
        <v/>
      </c>
      <c r="AE283" s="2" t="str">
        <f aca="false">IF($B283="","",COUNTIFS(Datos_items!$B:$B,$B283,Datos_items!$AA:$AA,AE$4,Datos_items!$E:$E,Analisis_grupo!$C$4))</f>
        <v/>
      </c>
      <c r="AF283" s="2" t="str">
        <f aca="false">IF($B283="","",COUNTIFS(Datos_items!$B:$B,$B283,Datos_items!$AA:$AA,AF$4,Datos_items!$E:$E,Analisis_grupo!$C$4))</f>
        <v/>
      </c>
      <c r="AG283" s="2" t="str">
        <f aca="false">IF($B283="","",COUNTIFS(Datos_items!$B:$B,$B283,Datos_items!$AA:$AA,AG$4,Datos_items!$E:$E,Analisis_grupo!$C$4))</f>
        <v/>
      </c>
      <c r="AH283" s="2" t="str">
        <f aca="false">IF($B283="","",COUNTIFS(Datos_items!$B:$B,$B283,Datos_items!$AA:$AA,AH$4,Datos_items!$E:$E,Analisis_grupo!$C$4))</f>
        <v/>
      </c>
      <c r="AI283" s="2" t="str">
        <f aca="false">IF($B283="","",COUNTIFS(Datos_items!$B:$B,$B283,Datos_items!$AA:$AA,AI$4,Datos_items!$E:$E,Analisis_grupo!$C$4))</f>
        <v/>
      </c>
      <c r="AJ283" s="2" t="str">
        <f aca="false">IF($B283="","",COUNTIFS(Datos_items!$B:$B,$B283,Datos_items!$AA:$AA,AJ$4,Datos_items!$E:$E,Analisis_grupo!$C$4))</f>
        <v/>
      </c>
      <c r="AK283" s="2" t="str">
        <f aca="false">IF($B283="","",COUNTIFS(Datos_items!$B:$B,$B283,Datos_items!$AA:$AA,AK$4,Datos_items!$E:$E,Analisis_grupo!$C$4))</f>
        <v/>
      </c>
      <c r="AL283" s="2" t="str">
        <f aca="false">IF($B283="","",COUNTIFS(Datos_items!$B:$B,$B283,Datos_items!$AA:$AA,AL$4,Datos_items!$E:$E,Analisis_grupo!$C$4))</f>
        <v/>
      </c>
      <c r="AM283" s="2" t="str">
        <f aca="false">IF($B283="","",IF(MAX(Y283:AL283)=0,"",INDEX($Y$4:$AL$4,MATCH(MAX(Y283:AL283),Y283:AL283,0))))</f>
        <v/>
      </c>
      <c r="AN283" s="2" t="str">
        <f aca="false">IF($B283="","",COUNTIFS(Datos_problemas!$B:$B,$B283,Datos_problemas!$F:$F,"Práctica"))</f>
        <v/>
      </c>
      <c r="AO283" s="2" t="str">
        <f aca="false">IF($B283="","",SUMIFS(Datos_problemas!$AQ:$AQ,Datos_problemas!$B:$B,$B283,Datos_problemas!$F:$F,"Práctica"))</f>
        <v/>
      </c>
      <c r="AP283" s="2" t="str">
        <f aca="false">IF($B283="","",COUNTIFS(Datos_problemas!$B:$B,$B283,Datos_problemas!$F:$F,"Práctica",Datos_problemas!$AS:$AS,"Sí"))</f>
        <v/>
      </c>
    </row>
    <row r="284" customFormat="false" ht="15" hidden="false" customHeight="false" outlineLevel="0" collapsed="false">
      <c r="A284" s="2" t="n">
        <v>280</v>
      </c>
      <c r="B284" s="2" t="str">
        <f aca="false">IFERROR(INDEX(Datos_problemas!$B:$B,MATCH($A284,Datos_problemas!$AV:$AV,0)),"")</f>
        <v/>
      </c>
      <c r="C284" s="2" t="str">
        <f aca="false">IF($B284="","",INDEX(Datos_problemas!$C:$C,MATCH($A284,Datos_problemas!$AV:$AV,0)))</f>
        <v/>
      </c>
      <c r="D284" s="2" t="str">
        <f aca="false">IF($B284="","",INDEX(Datos_problemas!$D:$D,MATCH($A284,Datos_problemas!$AV:$AV,0)))</f>
        <v/>
      </c>
      <c r="E284" s="2" t="str">
        <f aca="false">IF($B284="","",COUNTIFS(Datos_problemas!$B:$B,$B284,Datos_problemas!$F:$F,"Evaluación"))</f>
        <v/>
      </c>
      <c r="F284" s="20" t="str">
        <f aca="false">IF($B284="","",IFERROR(AVERAGEIFS(Datos_problemas!$AE:$AE,Datos_problemas!$B:$B,$B284,Datos_problemas!$F:$F,"Evaluación"),""))</f>
        <v/>
      </c>
      <c r="G284" s="20" t="str">
        <f aca="false">IF($B284="","",IFERROR(AVERAGEIFS(Datos_problemas!$AE:$AE,Datos_problemas!$B:$B,$B284,Datos_problemas!$F:$F,"Evaluación",Datos_problemas!$E:$E,"Diagnóstico"),""))</f>
        <v/>
      </c>
      <c r="H284" s="20" t="str">
        <f aca="false">IF($B284="","",IFERROR(AVERAGEIFS(Datos_problemas!$AE:$AE,Datos_problemas!$B:$B,$B284,Datos_problemas!$F:$F,"Evaluación",Datos_problemas!$E:$E,"Final"),""))</f>
        <v/>
      </c>
      <c r="I284" s="21" t="str">
        <f aca="false">IF(OR(G284="",H284=""),"",IF(G284&gt;=10,"",(H284-G284)/(10-G284)))</f>
        <v/>
      </c>
      <c r="J284" s="18" t="str">
        <f aca="false">IF($B284="","",IFERROR(SUMIFS(Datos_items!$Z:$Z,Datos_items!$B:$B,$B284,Datos_items!$O:$O,J$4,Datos_items!$E:$E,Analisis_grupo!$C$4)/COUNTIFS(Datos_items!$B:$B,$B284,Datos_items!$O:$O,J$4,Datos_items!$E:$E,Analisis_grupo!$C$4),""))</f>
        <v/>
      </c>
      <c r="K284" s="18" t="str">
        <f aca="false">IF($B284="","",IFERROR(SUMIFS(Datos_items!$Z:$Z,Datos_items!$B:$B,$B284,Datos_items!$O:$O,K$4,Datos_items!$E:$E,Analisis_grupo!$C$4)/COUNTIFS(Datos_items!$B:$B,$B284,Datos_items!$O:$O,K$4,Datos_items!$E:$E,Analisis_grupo!$C$4),""))</f>
        <v/>
      </c>
      <c r="L284" s="18" t="str">
        <f aca="false">IF($B284="","",IFERROR(SUMIFS(Datos_items!$Z:$Z,Datos_items!$B:$B,$B284,Datos_items!$O:$O,L$4,Datos_items!$E:$E,Analisis_grupo!$C$4)/COUNTIFS(Datos_items!$B:$B,$B284,Datos_items!$O:$O,L$4,Datos_items!$E:$E,Analisis_grupo!$C$4),""))</f>
        <v/>
      </c>
      <c r="M284" s="18" t="str">
        <f aca="false">IF($B284="","",IFERROR(SUMIFS(Datos_items!$Z:$Z,Datos_items!$B:$B,$B284,Datos_items!$O:$O,M$4,Datos_items!$E:$E,Analisis_grupo!$C$4)/COUNTIFS(Datos_items!$B:$B,$B284,Datos_items!$O:$O,M$4,Datos_items!$E:$E,Analisis_grupo!$C$4),""))</f>
        <v/>
      </c>
      <c r="N284" s="18" t="str">
        <f aca="false">IF($B284="","",IFERROR(SUMIFS(Datos_items!$Z:$Z,Datos_items!$B:$B,$B284,Datos_items!$O:$O,N$4,Datos_items!$E:$E,Analisis_grupo!$C$4)/COUNTIFS(Datos_items!$B:$B,$B284,Datos_items!$O:$O,N$4,Datos_items!$E:$E,Analisis_grupo!$C$4),""))</f>
        <v/>
      </c>
      <c r="O284" s="18" t="str">
        <f aca="false">IF($B284="","",IFERROR(SUMIFS(Datos_items!$Z:$Z,Datos_items!$B:$B,$B284,Datos_items!$O:$O,O$4,Datos_items!$E:$E,Analisis_grupo!$C$4)/COUNTIFS(Datos_items!$B:$B,$B284,Datos_items!$O:$O,O$4,Datos_items!$E:$E,Analisis_grupo!$C$4),""))</f>
        <v/>
      </c>
      <c r="P284" s="18" t="str">
        <f aca="false">IF($B284="","",IFERROR(SUMIFS(Datos_items!$Z:$Z,Datos_items!$B:$B,$B284,Datos_items!$O:$O,P$4,Datos_items!$E:$E,Analisis_grupo!$C$4)/COUNTIFS(Datos_items!$B:$B,$B284,Datos_items!$O:$O,P$4,Datos_items!$E:$E,Analisis_grupo!$C$4),""))</f>
        <v/>
      </c>
      <c r="Q284" s="18" t="str">
        <f aca="false">IF($B284="","",IFERROR(SUMIFS(Datos_items!$Z:$Z,Datos_items!$B:$B,$B284,Datos_items!$O:$O,Q$4,Datos_items!$E:$E,Analisis_grupo!$C$4)/COUNTIFS(Datos_items!$B:$B,$B284,Datos_items!$O:$O,Q$4,Datos_items!$E:$E,Analisis_grupo!$C$4),""))</f>
        <v/>
      </c>
      <c r="R284" s="2" t="str">
        <f aca="false">IF(COUNT(J284:Q284)=0,"",IF(MIN(J284:Q284)&gt;=Analisis_grupo!$B$7,"(ninguna)",INDEX($J$4:$Q$4,MATCH(MIN(J284:Q284),J284:Q284,0))))</f>
        <v/>
      </c>
      <c r="S284" s="2" t="str">
        <f aca="false">IF($B284="","",COUNTIF(J284:Q284,"&lt;"&amp;Analisis_grupo!$B$7))</f>
        <v/>
      </c>
      <c r="T284" s="2" t="str">
        <f aca="false">IF($B284="","",COUNTIFS(Datos_items!$B:$B,$B284,Datos_items!$AA:$AA,T$4,Datos_items!$E:$E,Analisis_grupo!$C$4))</f>
        <v/>
      </c>
      <c r="U284" s="2" t="str">
        <f aca="false">IF($B284="","",COUNTIFS(Datos_items!$B:$B,$B284,Datos_items!$AA:$AA,U$4,Datos_items!$E:$E,Analisis_grupo!$C$4))</f>
        <v/>
      </c>
      <c r="V284" s="2" t="str">
        <f aca="false">IF($B284="","",COUNTIFS(Datos_items!$B:$B,$B284,Datos_items!$AA:$AA,V$4,Datos_items!$E:$E,Analisis_grupo!$C$4))</f>
        <v/>
      </c>
      <c r="W284" s="2" t="str">
        <f aca="false">IF($B284="","",COUNTIFS(Datos_items!$B:$B,$B284,Datos_items!$AA:$AA,W$4,Datos_items!$E:$E,Analisis_grupo!$C$4))</f>
        <v/>
      </c>
      <c r="X284" s="2" t="str">
        <f aca="false">IF($B284="","",COUNTIFS(Datos_items!$B:$B,$B284,Datos_items!$AA:$AA,X$4,Datos_items!$E:$E,Analisis_grupo!$C$4))</f>
        <v/>
      </c>
      <c r="Y284" s="2" t="str">
        <f aca="false">IF($B284="","",COUNTIFS(Datos_items!$B:$B,$B284,Datos_items!$AA:$AA,Y$4,Datos_items!$E:$E,Analisis_grupo!$C$4))</f>
        <v/>
      </c>
      <c r="Z284" s="2" t="str">
        <f aca="false">IF($B284="","",COUNTIFS(Datos_items!$B:$B,$B284,Datos_items!$AA:$AA,Z$4,Datos_items!$E:$E,Analisis_grupo!$C$4))</f>
        <v/>
      </c>
      <c r="AA284" s="2" t="str">
        <f aca="false">IF($B284="","",COUNTIFS(Datos_items!$B:$B,$B284,Datos_items!$AA:$AA,AA$4,Datos_items!$E:$E,Analisis_grupo!$C$4))</f>
        <v/>
      </c>
      <c r="AB284" s="2" t="str">
        <f aca="false">IF($B284="","",COUNTIFS(Datos_items!$B:$B,$B284,Datos_items!$AA:$AA,AB$4,Datos_items!$E:$E,Analisis_grupo!$C$4))</f>
        <v/>
      </c>
      <c r="AC284" s="2" t="str">
        <f aca="false">IF($B284="","",COUNTIFS(Datos_items!$B:$B,$B284,Datos_items!$AA:$AA,AC$4,Datos_items!$E:$E,Analisis_grupo!$C$4))</f>
        <v/>
      </c>
      <c r="AD284" s="2" t="str">
        <f aca="false">IF($B284="","",COUNTIFS(Datos_items!$B:$B,$B284,Datos_items!$AA:$AA,AD$4,Datos_items!$E:$E,Analisis_grupo!$C$4))</f>
        <v/>
      </c>
      <c r="AE284" s="2" t="str">
        <f aca="false">IF($B284="","",COUNTIFS(Datos_items!$B:$B,$B284,Datos_items!$AA:$AA,AE$4,Datos_items!$E:$E,Analisis_grupo!$C$4))</f>
        <v/>
      </c>
      <c r="AF284" s="2" t="str">
        <f aca="false">IF($B284="","",COUNTIFS(Datos_items!$B:$B,$B284,Datos_items!$AA:$AA,AF$4,Datos_items!$E:$E,Analisis_grupo!$C$4))</f>
        <v/>
      </c>
      <c r="AG284" s="2" t="str">
        <f aca="false">IF($B284="","",COUNTIFS(Datos_items!$B:$B,$B284,Datos_items!$AA:$AA,AG$4,Datos_items!$E:$E,Analisis_grupo!$C$4))</f>
        <v/>
      </c>
      <c r="AH284" s="2" t="str">
        <f aca="false">IF($B284="","",COUNTIFS(Datos_items!$B:$B,$B284,Datos_items!$AA:$AA,AH$4,Datos_items!$E:$E,Analisis_grupo!$C$4))</f>
        <v/>
      </c>
      <c r="AI284" s="2" t="str">
        <f aca="false">IF($B284="","",COUNTIFS(Datos_items!$B:$B,$B284,Datos_items!$AA:$AA,AI$4,Datos_items!$E:$E,Analisis_grupo!$C$4))</f>
        <v/>
      </c>
      <c r="AJ284" s="2" t="str">
        <f aca="false">IF($B284="","",COUNTIFS(Datos_items!$B:$B,$B284,Datos_items!$AA:$AA,AJ$4,Datos_items!$E:$E,Analisis_grupo!$C$4))</f>
        <v/>
      </c>
      <c r="AK284" s="2" t="str">
        <f aca="false">IF($B284="","",COUNTIFS(Datos_items!$B:$B,$B284,Datos_items!$AA:$AA,AK$4,Datos_items!$E:$E,Analisis_grupo!$C$4))</f>
        <v/>
      </c>
      <c r="AL284" s="2" t="str">
        <f aca="false">IF($B284="","",COUNTIFS(Datos_items!$B:$B,$B284,Datos_items!$AA:$AA,AL$4,Datos_items!$E:$E,Analisis_grupo!$C$4))</f>
        <v/>
      </c>
      <c r="AM284" s="2" t="str">
        <f aca="false">IF($B284="","",IF(MAX(Y284:AL284)=0,"",INDEX($Y$4:$AL$4,MATCH(MAX(Y284:AL284),Y284:AL284,0))))</f>
        <v/>
      </c>
      <c r="AN284" s="2" t="str">
        <f aca="false">IF($B284="","",COUNTIFS(Datos_problemas!$B:$B,$B284,Datos_problemas!$F:$F,"Práctica"))</f>
        <v/>
      </c>
      <c r="AO284" s="2" t="str">
        <f aca="false">IF($B284="","",SUMIFS(Datos_problemas!$AQ:$AQ,Datos_problemas!$B:$B,$B284,Datos_problemas!$F:$F,"Práctica"))</f>
        <v/>
      </c>
      <c r="AP284" s="2" t="str">
        <f aca="false">IF($B284="","",COUNTIFS(Datos_problemas!$B:$B,$B284,Datos_problemas!$F:$F,"Práctica",Datos_problemas!$AS:$AS,"Sí"))</f>
        <v/>
      </c>
    </row>
    <row r="285" customFormat="false" ht="15" hidden="false" customHeight="false" outlineLevel="0" collapsed="false">
      <c r="A285" s="2" t="n">
        <v>281</v>
      </c>
      <c r="B285" s="2" t="str">
        <f aca="false">IFERROR(INDEX(Datos_problemas!$B:$B,MATCH($A285,Datos_problemas!$AV:$AV,0)),"")</f>
        <v/>
      </c>
      <c r="C285" s="2" t="str">
        <f aca="false">IF($B285="","",INDEX(Datos_problemas!$C:$C,MATCH($A285,Datos_problemas!$AV:$AV,0)))</f>
        <v/>
      </c>
      <c r="D285" s="2" t="str">
        <f aca="false">IF($B285="","",INDEX(Datos_problemas!$D:$D,MATCH($A285,Datos_problemas!$AV:$AV,0)))</f>
        <v/>
      </c>
      <c r="E285" s="2" t="str">
        <f aca="false">IF($B285="","",COUNTIFS(Datos_problemas!$B:$B,$B285,Datos_problemas!$F:$F,"Evaluación"))</f>
        <v/>
      </c>
      <c r="F285" s="20" t="str">
        <f aca="false">IF($B285="","",IFERROR(AVERAGEIFS(Datos_problemas!$AE:$AE,Datos_problemas!$B:$B,$B285,Datos_problemas!$F:$F,"Evaluación"),""))</f>
        <v/>
      </c>
      <c r="G285" s="20" t="str">
        <f aca="false">IF($B285="","",IFERROR(AVERAGEIFS(Datos_problemas!$AE:$AE,Datos_problemas!$B:$B,$B285,Datos_problemas!$F:$F,"Evaluación",Datos_problemas!$E:$E,"Diagnóstico"),""))</f>
        <v/>
      </c>
      <c r="H285" s="20" t="str">
        <f aca="false">IF($B285="","",IFERROR(AVERAGEIFS(Datos_problemas!$AE:$AE,Datos_problemas!$B:$B,$B285,Datos_problemas!$F:$F,"Evaluación",Datos_problemas!$E:$E,"Final"),""))</f>
        <v/>
      </c>
      <c r="I285" s="21" t="str">
        <f aca="false">IF(OR(G285="",H285=""),"",IF(G285&gt;=10,"",(H285-G285)/(10-G285)))</f>
        <v/>
      </c>
      <c r="J285" s="18" t="str">
        <f aca="false">IF($B285="","",IFERROR(SUMIFS(Datos_items!$Z:$Z,Datos_items!$B:$B,$B285,Datos_items!$O:$O,J$4,Datos_items!$E:$E,Analisis_grupo!$C$4)/COUNTIFS(Datos_items!$B:$B,$B285,Datos_items!$O:$O,J$4,Datos_items!$E:$E,Analisis_grupo!$C$4),""))</f>
        <v/>
      </c>
      <c r="K285" s="18" t="str">
        <f aca="false">IF($B285="","",IFERROR(SUMIFS(Datos_items!$Z:$Z,Datos_items!$B:$B,$B285,Datos_items!$O:$O,K$4,Datos_items!$E:$E,Analisis_grupo!$C$4)/COUNTIFS(Datos_items!$B:$B,$B285,Datos_items!$O:$O,K$4,Datos_items!$E:$E,Analisis_grupo!$C$4),""))</f>
        <v/>
      </c>
      <c r="L285" s="18" t="str">
        <f aca="false">IF($B285="","",IFERROR(SUMIFS(Datos_items!$Z:$Z,Datos_items!$B:$B,$B285,Datos_items!$O:$O,L$4,Datos_items!$E:$E,Analisis_grupo!$C$4)/COUNTIFS(Datos_items!$B:$B,$B285,Datos_items!$O:$O,L$4,Datos_items!$E:$E,Analisis_grupo!$C$4),""))</f>
        <v/>
      </c>
      <c r="M285" s="18" t="str">
        <f aca="false">IF($B285="","",IFERROR(SUMIFS(Datos_items!$Z:$Z,Datos_items!$B:$B,$B285,Datos_items!$O:$O,M$4,Datos_items!$E:$E,Analisis_grupo!$C$4)/COUNTIFS(Datos_items!$B:$B,$B285,Datos_items!$O:$O,M$4,Datos_items!$E:$E,Analisis_grupo!$C$4),""))</f>
        <v/>
      </c>
      <c r="N285" s="18" t="str">
        <f aca="false">IF($B285="","",IFERROR(SUMIFS(Datos_items!$Z:$Z,Datos_items!$B:$B,$B285,Datos_items!$O:$O,N$4,Datos_items!$E:$E,Analisis_grupo!$C$4)/COUNTIFS(Datos_items!$B:$B,$B285,Datos_items!$O:$O,N$4,Datos_items!$E:$E,Analisis_grupo!$C$4),""))</f>
        <v/>
      </c>
      <c r="O285" s="18" t="str">
        <f aca="false">IF($B285="","",IFERROR(SUMIFS(Datos_items!$Z:$Z,Datos_items!$B:$B,$B285,Datos_items!$O:$O,O$4,Datos_items!$E:$E,Analisis_grupo!$C$4)/COUNTIFS(Datos_items!$B:$B,$B285,Datos_items!$O:$O,O$4,Datos_items!$E:$E,Analisis_grupo!$C$4),""))</f>
        <v/>
      </c>
      <c r="P285" s="18" t="str">
        <f aca="false">IF($B285="","",IFERROR(SUMIFS(Datos_items!$Z:$Z,Datos_items!$B:$B,$B285,Datos_items!$O:$O,P$4,Datos_items!$E:$E,Analisis_grupo!$C$4)/COUNTIFS(Datos_items!$B:$B,$B285,Datos_items!$O:$O,P$4,Datos_items!$E:$E,Analisis_grupo!$C$4),""))</f>
        <v/>
      </c>
      <c r="Q285" s="18" t="str">
        <f aca="false">IF($B285="","",IFERROR(SUMIFS(Datos_items!$Z:$Z,Datos_items!$B:$B,$B285,Datos_items!$O:$O,Q$4,Datos_items!$E:$E,Analisis_grupo!$C$4)/COUNTIFS(Datos_items!$B:$B,$B285,Datos_items!$O:$O,Q$4,Datos_items!$E:$E,Analisis_grupo!$C$4),""))</f>
        <v/>
      </c>
      <c r="R285" s="2" t="str">
        <f aca="false">IF(COUNT(J285:Q285)=0,"",IF(MIN(J285:Q285)&gt;=Analisis_grupo!$B$7,"(ninguna)",INDEX($J$4:$Q$4,MATCH(MIN(J285:Q285),J285:Q285,0))))</f>
        <v/>
      </c>
      <c r="S285" s="2" t="str">
        <f aca="false">IF($B285="","",COUNTIF(J285:Q285,"&lt;"&amp;Analisis_grupo!$B$7))</f>
        <v/>
      </c>
      <c r="T285" s="2" t="str">
        <f aca="false">IF($B285="","",COUNTIFS(Datos_items!$B:$B,$B285,Datos_items!$AA:$AA,T$4,Datos_items!$E:$E,Analisis_grupo!$C$4))</f>
        <v/>
      </c>
      <c r="U285" s="2" t="str">
        <f aca="false">IF($B285="","",COUNTIFS(Datos_items!$B:$B,$B285,Datos_items!$AA:$AA,U$4,Datos_items!$E:$E,Analisis_grupo!$C$4))</f>
        <v/>
      </c>
      <c r="V285" s="2" t="str">
        <f aca="false">IF($B285="","",COUNTIFS(Datos_items!$B:$B,$B285,Datos_items!$AA:$AA,V$4,Datos_items!$E:$E,Analisis_grupo!$C$4))</f>
        <v/>
      </c>
      <c r="W285" s="2" t="str">
        <f aca="false">IF($B285="","",COUNTIFS(Datos_items!$B:$B,$B285,Datos_items!$AA:$AA,W$4,Datos_items!$E:$E,Analisis_grupo!$C$4))</f>
        <v/>
      </c>
      <c r="X285" s="2" t="str">
        <f aca="false">IF($B285="","",COUNTIFS(Datos_items!$B:$B,$B285,Datos_items!$AA:$AA,X$4,Datos_items!$E:$E,Analisis_grupo!$C$4))</f>
        <v/>
      </c>
      <c r="Y285" s="2" t="str">
        <f aca="false">IF($B285="","",COUNTIFS(Datos_items!$B:$B,$B285,Datos_items!$AA:$AA,Y$4,Datos_items!$E:$E,Analisis_grupo!$C$4))</f>
        <v/>
      </c>
      <c r="Z285" s="2" t="str">
        <f aca="false">IF($B285="","",COUNTIFS(Datos_items!$B:$B,$B285,Datos_items!$AA:$AA,Z$4,Datos_items!$E:$E,Analisis_grupo!$C$4))</f>
        <v/>
      </c>
      <c r="AA285" s="2" t="str">
        <f aca="false">IF($B285="","",COUNTIFS(Datos_items!$B:$B,$B285,Datos_items!$AA:$AA,AA$4,Datos_items!$E:$E,Analisis_grupo!$C$4))</f>
        <v/>
      </c>
      <c r="AB285" s="2" t="str">
        <f aca="false">IF($B285="","",COUNTIFS(Datos_items!$B:$B,$B285,Datos_items!$AA:$AA,AB$4,Datos_items!$E:$E,Analisis_grupo!$C$4))</f>
        <v/>
      </c>
      <c r="AC285" s="2" t="str">
        <f aca="false">IF($B285="","",COUNTIFS(Datos_items!$B:$B,$B285,Datos_items!$AA:$AA,AC$4,Datos_items!$E:$E,Analisis_grupo!$C$4))</f>
        <v/>
      </c>
      <c r="AD285" s="2" t="str">
        <f aca="false">IF($B285="","",COUNTIFS(Datos_items!$B:$B,$B285,Datos_items!$AA:$AA,AD$4,Datos_items!$E:$E,Analisis_grupo!$C$4))</f>
        <v/>
      </c>
      <c r="AE285" s="2" t="str">
        <f aca="false">IF($B285="","",COUNTIFS(Datos_items!$B:$B,$B285,Datos_items!$AA:$AA,AE$4,Datos_items!$E:$E,Analisis_grupo!$C$4))</f>
        <v/>
      </c>
      <c r="AF285" s="2" t="str">
        <f aca="false">IF($B285="","",COUNTIFS(Datos_items!$B:$B,$B285,Datos_items!$AA:$AA,AF$4,Datos_items!$E:$E,Analisis_grupo!$C$4))</f>
        <v/>
      </c>
      <c r="AG285" s="2" t="str">
        <f aca="false">IF($B285="","",COUNTIFS(Datos_items!$B:$B,$B285,Datos_items!$AA:$AA,AG$4,Datos_items!$E:$E,Analisis_grupo!$C$4))</f>
        <v/>
      </c>
      <c r="AH285" s="2" t="str">
        <f aca="false">IF($B285="","",COUNTIFS(Datos_items!$B:$B,$B285,Datos_items!$AA:$AA,AH$4,Datos_items!$E:$E,Analisis_grupo!$C$4))</f>
        <v/>
      </c>
      <c r="AI285" s="2" t="str">
        <f aca="false">IF($B285="","",COUNTIFS(Datos_items!$B:$B,$B285,Datos_items!$AA:$AA,AI$4,Datos_items!$E:$E,Analisis_grupo!$C$4))</f>
        <v/>
      </c>
      <c r="AJ285" s="2" t="str">
        <f aca="false">IF($B285="","",COUNTIFS(Datos_items!$B:$B,$B285,Datos_items!$AA:$AA,AJ$4,Datos_items!$E:$E,Analisis_grupo!$C$4))</f>
        <v/>
      </c>
      <c r="AK285" s="2" t="str">
        <f aca="false">IF($B285="","",COUNTIFS(Datos_items!$B:$B,$B285,Datos_items!$AA:$AA,AK$4,Datos_items!$E:$E,Analisis_grupo!$C$4))</f>
        <v/>
      </c>
      <c r="AL285" s="2" t="str">
        <f aca="false">IF($B285="","",COUNTIFS(Datos_items!$B:$B,$B285,Datos_items!$AA:$AA,AL$4,Datos_items!$E:$E,Analisis_grupo!$C$4))</f>
        <v/>
      </c>
      <c r="AM285" s="2" t="str">
        <f aca="false">IF($B285="","",IF(MAX(Y285:AL285)=0,"",INDEX($Y$4:$AL$4,MATCH(MAX(Y285:AL285),Y285:AL285,0))))</f>
        <v/>
      </c>
      <c r="AN285" s="2" t="str">
        <f aca="false">IF($B285="","",COUNTIFS(Datos_problemas!$B:$B,$B285,Datos_problemas!$F:$F,"Práctica"))</f>
        <v/>
      </c>
      <c r="AO285" s="2" t="str">
        <f aca="false">IF($B285="","",SUMIFS(Datos_problemas!$AQ:$AQ,Datos_problemas!$B:$B,$B285,Datos_problemas!$F:$F,"Práctica"))</f>
        <v/>
      </c>
      <c r="AP285" s="2" t="str">
        <f aca="false">IF($B285="","",COUNTIFS(Datos_problemas!$B:$B,$B285,Datos_problemas!$F:$F,"Práctica",Datos_problemas!$AS:$AS,"Sí"))</f>
        <v/>
      </c>
    </row>
    <row r="286" customFormat="false" ht="15" hidden="false" customHeight="false" outlineLevel="0" collapsed="false">
      <c r="A286" s="2" t="n">
        <v>282</v>
      </c>
      <c r="B286" s="2" t="str">
        <f aca="false">IFERROR(INDEX(Datos_problemas!$B:$B,MATCH($A286,Datos_problemas!$AV:$AV,0)),"")</f>
        <v/>
      </c>
      <c r="C286" s="2" t="str">
        <f aca="false">IF($B286="","",INDEX(Datos_problemas!$C:$C,MATCH($A286,Datos_problemas!$AV:$AV,0)))</f>
        <v/>
      </c>
      <c r="D286" s="2" t="str">
        <f aca="false">IF($B286="","",INDEX(Datos_problemas!$D:$D,MATCH($A286,Datos_problemas!$AV:$AV,0)))</f>
        <v/>
      </c>
      <c r="E286" s="2" t="str">
        <f aca="false">IF($B286="","",COUNTIFS(Datos_problemas!$B:$B,$B286,Datos_problemas!$F:$F,"Evaluación"))</f>
        <v/>
      </c>
      <c r="F286" s="20" t="str">
        <f aca="false">IF($B286="","",IFERROR(AVERAGEIFS(Datos_problemas!$AE:$AE,Datos_problemas!$B:$B,$B286,Datos_problemas!$F:$F,"Evaluación"),""))</f>
        <v/>
      </c>
      <c r="G286" s="20" t="str">
        <f aca="false">IF($B286="","",IFERROR(AVERAGEIFS(Datos_problemas!$AE:$AE,Datos_problemas!$B:$B,$B286,Datos_problemas!$F:$F,"Evaluación",Datos_problemas!$E:$E,"Diagnóstico"),""))</f>
        <v/>
      </c>
      <c r="H286" s="20" t="str">
        <f aca="false">IF($B286="","",IFERROR(AVERAGEIFS(Datos_problemas!$AE:$AE,Datos_problemas!$B:$B,$B286,Datos_problemas!$F:$F,"Evaluación",Datos_problemas!$E:$E,"Final"),""))</f>
        <v/>
      </c>
      <c r="I286" s="21" t="str">
        <f aca="false">IF(OR(G286="",H286=""),"",IF(G286&gt;=10,"",(H286-G286)/(10-G286)))</f>
        <v/>
      </c>
      <c r="J286" s="18" t="str">
        <f aca="false">IF($B286="","",IFERROR(SUMIFS(Datos_items!$Z:$Z,Datos_items!$B:$B,$B286,Datos_items!$O:$O,J$4,Datos_items!$E:$E,Analisis_grupo!$C$4)/COUNTIFS(Datos_items!$B:$B,$B286,Datos_items!$O:$O,J$4,Datos_items!$E:$E,Analisis_grupo!$C$4),""))</f>
        <v/>
      </c>
      <c r="K286" s="18" t="str">
        <f aca="false">IF($B286="","",IFERROR(SUMIFS(Datos_items!$Z:$Z,Datos_items!$B:$B,$B286,Datos_items!$O:$O,K$4,Datos_items!$E:$E,Analisis_grupo!$C$4)/COUNTIFS(Datos_items!$B:$B,$B286,Datos_items!$O:$O,K$4,Datos_items!$E:$E,Analisis_grupo!$C$4),""))</f>
        <v/>
      </c>
      <c r="L286" s="18" t="str">
        <f aca="false">IF($B286="","",IFERROR(SUMIFS(Datos_items!$Z:$Z,Datos_items!$B:$B,$B286,Datos_items!$O:$O,L$4,Datos_items!$E:$E,Analisis_grupo!$C$4)/COUNTIFS(Datos_items!$B:$B,$B286,Datos_items!$O:$O,L$4,Datos_items!$E:$E,Analisis_grupo!$C$4),""))</f>
        <v/>
      </c>
      <c r="M286" s="18" t="str">
        <f aca="false">IF($B286="","",IFERROR(SUMIFS(Datos_items!$Z:$Z,Datos_items!$B:$B,$B286,Datos_items!$O:$O,M$4,Datos_items!$E:$E,Analisis_grupo!$C$4)/COUNTIFS(Datos_items!$B:$B,$B286,Datos_items!$O:$O,M$4,Datos_items!$E:$E,Analisis_grupo!$C$4),""))</f>
        <v/>
      </c>
      <c r="N286" s="18" t="str">
        <f aca="false">IF($B286="","",IFERROR(SUMIFS(Datos_items!$Z:$Z,Datos_items!$B:$B,$B286,Datos_items!$O:$O,N$4,Datos_items!$E:$E,Analisis_grupo!$C$4)/COUNTIFS(Datos_items!$B:$B,$B286,Datos_items!$O:$O,N$4,Datos_items!$E:$E,Analisis_grupo!$C$4),""))</f>
        <v/>
      </c>
      <c r="O286" s="18" t="str">
        <f aca="false">IF($B286="","",IFERROR(SUMIFS(Datos_items!$Z:$Z,Datos_items!$B:$B,$B286,Datos_items!$O:$O,O$4,Datos_items!$E:$E,Analisis_grupo!$C$4)/COUNTIFS(Datos_items!$B:$B,$B286,Datos_items!$O:$O,O$4,Datos_items!$E:$E,Analisis_grupo!$C$4),""))</f>
        <v/>
      </c>
      <c r="P286" s="18" t="str">
        <f aca="false">IF($B286="","",IFERROR(SUMIFS(Datos_items!$Z:$Z,Datos_items!$B:$B,$B286,Datos_items!$O:$O,P$4,Datos_items!$E:$E,Analisis_grupo!$C$4)/COUNTIFS(Datos_items!$B:$B,$B286,Datos_items!$O:$O,P$4,Datos_items!$E:$E,Analisis_grupo!$C$4),""))</f>
        <v/>
      </c>
      <c r="Q286" s="18" t="str">
        <f aca="false">IF($B286="","",IFERROR(SUMIFS(Datos_items!$Z:$Z,Datos_items!$B:$B,$B286,Datos_items!$O:$O,Q$4,Datos_items!$E:$E,Analisis_grupo!$C$4)/COUNTIFS(Datos_items!$B:$B,$B286,Datos_items!$O:$O,Q$4,Datos_items!$E:$E,Analisis_grupo!$C$4),""))</f>
        <v/>
      </c>
      <c r="R286" s="2" t="str">
        <f aca="false">IF(COUNT(J286:Q286)=0,"",IF(MIN(J286:Q286)&gt;=Analisis_grupo!$B$7,"(ninguna)",INDEX($J$4:$Q$4,MATCH(MIN(J286:Q286),J286:Q286,0))))</f>
        <v/>
      </c>
      <c r="S286" s="2" t="str">
        <f aca="false">IF($B286="","",COUNTIF(J286:Q286,"&lt;"&amp;Analisis_grupo!$B$7))</f>
        <v/>
      </c>
      <c r="T286" s="2" t="str">
        <f aca="false">IF($B286="","",COUNTIFS(Datos_items!$B:$B,$B286,Datos_items!$AA:$AA,T$4,Datos_items!$E:$E,Analisis_grupo!$C$4))</f>
        <v/>
      </c>
      <c r="U286" s="2" t="str">
        <f aca="false">IF($B286="","",COUNTIFS(Datos_items!$B:$B,$B286,Datos_items!$AA:$AA,U$4,Datos_items!$E:$E,Analisis_grupo!$C$4))</f>
        <v/>
      </c>
      <c r="V286" s="2" t="str">
        <f aca="false">IF($B286="","",COUNTIFS(Datos_items!$B:$B,$B286,Datos_items!$AA:$AA,V$4,Datos_items!$E:$E,Analisis_grupo!$C$4))</f>
        <v/>
      </c>
      <c r="W286" s="2" t="str">
        <f aca="false">IF($B286="","",COUNTIFS(Datos_items!$B:$B,$B286,Datos_items!$AA:$AA,W$4,Datos_items!$E:$E,Analisis_grupo!$C$4))</f>
        <v/>
      </c>
      <c r="X286" s="2" t="str">
        <f aca="false">IF($B286="","",COUNTIFS(Datos_items!$B:$B,$B286,Datos_items!$AA:$AA,X$4,Datos_items!$E:$E,Analisis_grupo!$C$4))</f>
        <v/>
      </c>
      <c r="Y286" s="2" t="str">
        <f aca="false">IF($B286="","",COUNTIFS(Datos_items!$B:$B,$B286,Datos_items!$AA:$AA,Y$4,Datos_items!$E:$E,Analisis_grupo!$C$4))</f>
        <v/>
      </c>
      <c r="Z286" s="2" t="str">
        <f aca="false">IF($B286="","",COUNTIFS(Datos_items!$B:$B,$B286,Datos_items!$AA:$AA,Z$4,Datos_items!$E:$E,Analisis_grupo!$C$4))</f>
        <v/>
      </c>
      <c r="AA286" s="2" t="str">
        <f aca="false">IF($B286="","",COUNTIFS(Datos_items!$B:$B,$B286,Datos_items!$AA:$AA,AA$4,Datos_items!$E:$E,Analisis_grupo!$C$4))</f>
        <v/>
      </c>
      <c r="AB286" s="2" t="str">
        <f aca="false">IF($B286="","",COUNTIFS(Datos_items!$B:$B,$B286,Datos_items!$AA:$AA,AB$4,Datos_items!$E:$E,Analisis_grupo!$C$4))</f>
        <v/>
      </c>
      <c r="AC286" s="2" t="str">
        <f aca="false">IF($B286="","",COUNTIFS(Datos_items!$B:$B,$B286,Datos_items!$AA:$AA,AC$4,Datos_items!$E:$E,Analisis_grupo!$C$4))</f>
        <v/>
      </c>
      <c r="AD286" s="2" t="str">
        <f aca="false">IF($B286="","",COUNTIFS(Datos_items!$B:$B,$B286,Datos_items!$AA:$AA,AD$4,Datos_items!$E:$E,Analisis_grupo!$C$4))</f>
        <v/>
      </c>
      <c r="AE286" s="2" t="str">
        <f aca="false">IF($B286="","",COUNTIFS(Datos_items!$B:$B,$B286,Datos_items!$AA:$AA,AE$4,Datos_items!$E:$E,Analisis_grupo!$C$4))</f>
        <v/>
      </c>
      <c r="AF286" s="2" t="str">
        <f aca="false">IF($B286="","",COUNTIFS(Datos_items!$B:$B,$B286,Datos_items!$AA:$AA,AF$4,Datos_items!$E:$E,Analisis_grupo!$C$4))</f>
        <v/>
      </c>
      <c r="AG286" s="2" t="str">
        <f aca="false">IF($B286="","",COUNTIFS(Datos_items!$B:$B,$B286,Datos_items!$AA:$AA,AG$4,Datos_items!$E:$E,Analisis_grupo!$C$4))</f>
        <v/>
      </c>
      <c r="AH286" s="2" t="str">
        <f aca="false">IF($B286="","",COUNTIFS(Datos_items!$B:$B,$B286,Datos_items!$AA:$AA,AH$4,Datos_items!$E:$E,Analisis_grupo!$C$4))</f>
        <v/>
      </c>
      <c r="AI286" s="2" t="str">
        <f aca="false">IF($B286="","",COUNTIFS(Datos_items!$B:$B,$B286,Datos_items!$AA:$AA,AI$4,Datos_items!$E:$E,Analisis_grupo!$C$4))</f>
        <v/>
      </c>
      <c r="AJ286" s="2" t="str">
        <f aca="false">IF($B286="","",COUNTIFS(Datos_items!$B:$B,$B286,Datos_items!$AA:$AA,AJ$4,Datos_items!$E:$E,Analisis_grupo!$C$4))</f>
        <v/>
      </c>
      <c r="AK286" s="2" t="str">
        <f aca="false">IF($B286="","",COUNTIFS(Datos_items!$B:$B,$B286,Datos_items!$AA:$AA,AK$4,Datos_items!$E:$E,Analisis_grupo!$C$4))</f>
        <v/>
      </c>
      <c r="AL286" s="2" t="str">
        <f aca="false">IF($B286="","",COUNTIFS(Datos_items!$B:$B,$B286,Datos_items!$AA:$AA,AL$4,Datos_items!$E:$E,Analisis_grupo!$C$4))</f>
        <v/>
      </c>
      <c r="AM286" s="2" t="str">
        <f aca="false">IF($B286="","",IF(MAX(Y286:AL286)=0,"",INDEX($Y$4:$AL$4,MATCH(MAX(Y286:AL286),Y286:AL286,0))))</f>
        <v/>
      </c>
      <c r="AN286" s="2" t="str">
        <f aca="false">IF($B286="","",COUNTIFS(Datos_problemas!$B:$B,$B286,Datos_problemas!$F:$F,"Práctica"))</f>
        <v/>
      </c>
      <c r="AO286" s="2" t="str">
        <f aca="false">IF($B286="","",SUMIFS(Datos_problemas!$AQ:$AQ,Datos_problemas!$B:$B,$B286,Datos_problemas!$F:$F,"Práctica"))</f>
        <v/>
      </c>
      <c r="AP286" s="2" t="str">
        <f aca="false">IF($B286="","",COUNTIFS(Datos_problemas!$B:$B,$B286,Datos_problemas!$F:$F,"Práctica",Datos_problemas!$AS:$AS,"Sí"))</f>
        <v/>
      </c>
    </row>
    <row r="287" customFormat="false" ht="15" hidden="false" customHeight="false" outlineLevel="0" collapsed="false">
      <c r="A287" s="2" t="n">
        <v>283</v>
      </c>
      <c r="B287" s="2" t="str">
        <f aca="false">IFERROR(INDEX(Datos_problemas!$B:$B,MATCH($A287,Datos_problemas!$AV:$AV,0)),"")</f>
        <v/>
      </c>
      <c r="C287" s="2" t="str">
        <f aca="false">IF($B287="","",INDEX(Datos_problemas!$C:$C,MATCH($A287,Datos_problemas!$AV:$AV,0)))</f>
        <v/>
      </c>
      <c r="D287" s="2" t="str">
        <f aca="false">IF($B287="","",INDEX(Datos_problemas!$D:$D,MATCH($A287,Datos_problemas!$AV:$AV,0)))</f>
        <v/>
      </c>
      <c r="E287" s="2" t="str">
        <f aca="false">IF($B287="","",COUNTIFS(Datos_problemas!$B:$B,$B287,Datos_problemas!$F:$F,"Evaluación"))</f>
        <v/>
      </c>
      <c r="F287" s="20" t="str">
        <f aca="false">IF($B287="","",IFERROR(AVERAGEIFS(Datos_problemas!$AE:$AE,Datos_problemas!$B:$B,$B287,Datos_problemas!$F:$F,"Evaluación"),""))</f>
        <v/>
      </c>
      <c r="G287" s="20" t="str">
        <f aca="false">IF($B287="","",IFERROR(AVERAGEIFS(Datos_problemas!$AE:$AE,Datos_problemas!$B:$B,$B287,Datos_problemas!$F:$F,"Evaluación",Datos_problemas!$E:$E,"Diagnóstico"),""))</f>
        <v/>
      </c>
      <c r="H287" s="20" t="str">
        <f aca="false">IF($B287="","",IFERROR(AVERAGEIFS(Datos_problemas!$AE:$AE,Datos_problemas!$B:$B,$B287,Datos_problemas!$F:$F,"Evaluación",Datos_problemas!$E:$E,"Final"),""))</f>
        <v/>
      </c>
      <c r="I287" s="21" t="str">
        <f aca="false">IF(OR(G287="",H287=""),"",IF(G287&gt;=10,"",(H287-G287)/(10-G287)))</f>
        <v/>
      </c>
      <c r="J287" s="18" t="str">
        <f aca="false">IF($B287="","",IFERROR(SUMIFS(Datos_items!$Z:$Z,Datos_items!$B:$B,$B287,Datos_items!$O:$O,J$4,Datos_items!$E:$E,Analisis_grupo!$C$4)/COUNTIFS(Datos_items!$B:$B,$B287,Datos_items!$O:$O,J$4,Datos_items!$E:$E,Analisis_grupo!$C$4),""))</f>
        <v/>
      </c>
      <c r="K287" s="18" t="str">
        <f aca="false">IF($B287="","",IFERROR(SUMIFS(Datos_items!$Z:$Z,Datos_items!$B:$B,$B287,Datos_items!$O:$O,K$4,Datos_items!$E:$E,Analisis_grupo!$C$4)/COUNTIFS(Datos_items!$B:$B,$B287,Datos_items!$O:$O,K$4,Datos_items!$E:$E,Analisis_grupo!$C$4),""))</f>
        <v/>
      </c>
      <c r="L287" s="18" t="str">
        <f aca="false">IF($B287="","",IFERROR(SUMIFS(Datos_items!$Z:$Z,Datos_items!$B:$B,$B287,Datos_items!$O:$O,L$4,Datos_items!$E:$E,Analisis_grupo!$C$4)/COUNTIFS(Datos_items!$B:$B,$B287,Datos_items!$O:$O,L$4,Datos_items!$E:$E,Analisis_grupo!$C$4),""))</f>
        <v/>
      </c>
      <c r="M287" s="18" t="str">
        <f aca="false">IF($B287="","",IFERROR(SUMIFS(Datos_items!$Z:$Z,Datos_items!$B:$B,$B287,Datos_items!$O:$O,M$4,Datos_items!$E:$E,Analisis_grupo!$C$4)/COUNTIFS(Datos_items!$B:$B,$B287,Datos_items!$O:$O,M$4,Datos_items!$E:$E,Analisis_grupo!$C$4),""))</f>
        <v/>
      </c>
      <c r="N287" s="18" t="str">
        <f aca="false">IF($B287="","",IFERROR(SUMIFS(Datos_items!$Z:$Z,Datos_items!$B:$B,$B287,Datos_items!$O:$O,N$4,Datos_items!$E:$E,Analisis_grupo!$C$4)/COUNTIFS(Datos_items!$B:$B,$B287,Datos_items!$O:$O,N$4,Datos_items!$E:$E,Analisis_grupo!$C$4),""))</f>
        <v/>
      </c>
      <c r="O287" s="18" t="str">
        <f aca="false">IF($B287="","",IFERROR(SUMIFS(Datos_items!$Z:$Z,Datos_items!$B:$B,$B287,Datos_items!$O:$O,O$4,Datos_items!$E:$E,Analisis_grupo!$C$4)/COUNTIFS(Datos_items!$B:$B,$B287,Datos_items!$O:$O,O$4,Datos_items!$E:$E,Analisis_grupo!$C$4),""))</f>
        <v/>
      </c>
      <c r="P287" s="18" t="str">
        <f aca="false">IF($B287="","",IFERROR(SUMIFS(Datos_items!$Z:$Z,Datos_items!$B:$B,$B287,Datos_items!$O:$O,P$4,Datos_items!$E:$E,Analisis_grupo!$C$4)/COUNTIFS(Datos_items!$B:$B,$B287,Datos_items!$O:$O,P$4,Datos_items!$E:$E,Analisis_grupo!$C$4),""))</f>
        <v/>
      </c>
      <c r="Q287" s="18" t="str">
        <f aca="false">IF($B287="","",IFERROR(SUMIFS(Datos_items!$Z:$Z,Datos_items!$B:$B,$B287,Datos_items!$O:$O,Q$4,Datos_items!$E:$E,Analisis_grupo!$C$4)/COUNTIFS(Datos_items!$B:$B,$B287,Datos_items!$O:$O,Q$4,Datos_items!$E:$E,Analisis_grupo!$C$4),""))</f>
        <v/>
      </c>
      <c r="R287" s="2" t="str">
        <f aca="false">IF(COUNT(J287:Q287)=0,"",IF(MIN(J287:Q287)&gt;=Analisis_grupo!$B$7,"(ninguna)",INDEX($J$4:$Q$4,MATCH(MIN(J287:Q287),J287:Q287,0))))</f>
        <v/>
      </c>
      <c r="S287" s="2" t="str">
        <f aca="false">IF($B287="","",COUNTIF(J287:Q287,"&lt;"&amp;Analisis_grupo!$B$7))</f>
        <v/>
      </c>
      <c r="T287" s="2" t="str">
        <f aca="false">IF($B287="","",COUNTIFS(Datos_items!$B:$B,$B287,Datos_items!$AA:$AA,T$4,Datos_items!$E:$E,Analisis_grupo!$C$4))</f>
        <v/>
      </c>
      <c r="U287" s="2" t="str">
        <f aca="false">IF($B287="","",COUNTIFS(Datos_items!$B:$B,$B287,Datos_items!$AA:$AA,U$4,Datos_items!$E:$E,Analisis_grupo!$C$4))</f>
        <v/>
      </c>
      <c r="V287" s="2" t="str">
        <f aca="false">IF($B287="","",COUNTIFS(Datos_items!$B:$B,$B287,Datos_items!$AA:$AA,V$4,Datos_items!$E:$E,Analisis_grupo!$C$4))</f>
        <v/>
      </c>
      <c r="W287" s="2" t="str">
        <f aca="false">IF($B287="","",COUNTIFS(Datos_items!$B:$B,$B287,Datos_items!$AA:$AA,W$4,Datos_items!$E:$E,Analisis_grupo!$C$4))</f>
        <v/>
      </c>
      <c r="X287" s="2" t="str">
        <f aca="false">IF($B287="","",COUNTIFS(Datos_items!$B:$B,$B287,Datos_items!$AA:$AA,X$4,Datos_items!$E:$E,Analisis_grupo!$C$4))</f>
        <v/>
      </c>
      <c r="Y287" s="2" t="str">
        <f aca="false">IF($B287="","",COUNTIFS(Datos_items!$B:$B,$B287,Datos_items!$AA:$AA,Y$4,Datos_items!$E:$E,Analisis_grupo!$C$4))</f>
        <v/>
      </c>
      <c r="Z287" s="2" t="str">
        <f aca="false">IF($B287="","",COUNTIFS(Datos_items!$B:$B,$B287,Datos_items!$AA:$AA,Z$4,Datos_items!$E:$E,Analisis_grupo!$C$4))</f>
        <v/>
      </c>
      <c r="AA287" s="2" t="str">
        <f aca="false">IF($B287="","",COUNTIFS(Datos_items!$B:$B,$B287,Datos_items!$AA:$AA,AA$4,Datos_items!$E:$E,Analisis_grupo!$C$4))</f>
        <v/>
      </c>
      <c r="AB287" s="2" t="str">
        <f aca="false">IF($B287="","",COUNTIFS(Datos_items!$B:$B,$B287,Datos_items!$AA:$AA,AB$4,Datos_items!$E:$E,Analisis_grupo!$C$4))</f>
        <v/>
      </c>
      <c r="AC287" s="2" t="str">
        <f aca="false">IF($B287="","",COUNTIFS(Datos_items!$B:$B,$B287,Datos_items!$AA:$AA,AC$4,Datos_items!$E:$E,Analisis_grupo!$C$4))</f>
        <v/>
      </c>
      <c r="AD287" s="2" t="str">
        <f aca="false">IF($B287="","",COUNTIFS(Datos_items!$B:$B,$B287,Datos_items!$AA:$AA,AD$4,Datos_items!$E:$E,Analisis_grupo!$C$4))</f>
        <v/>
      </c>
      <c r="AE287" s="2" t="str">
        <f aca="false">IF($B287="","",COUNTIFS(Datos_items!$B:$B,$B287,Datos_items!$AA:$AA,AE$4,Datos_items!$E:$E,Analisis_grupo!$C$4))</f>
        <v/>
      </c>
      <c r="AF287" s="2" t="str">
        <f aca="false">IF($B287="","",COUNTIFS(Datos_items!$B:$B,$B287,Datos_items!$AA:$AA,AF$4,Datos_items!$E:$E,Analisis_grupo!$C$4))</f>
        <v/>
      </c>
      <c r="AG287" s="2" t="str">
        <f aca="false">IF($B287="","",COUNTIFS(Datos_items!$B:$B,$B287,Datos_items!$AA:$AA,AG$4,Datos_items!$E:$E,Analisis_grupo!$C$4))</f>
        <v/>
      </c>
      <c r="AH287" s="2" t="str">
        <f aca="false">IF($B287="","",COUNTIFS(Datos_items!$B:$B,$B287,Datos_items!$AA:$AA,AH$4,Datos_items!$E:$E,Analisis_grupo!$C$4))</f>
        <v/>
      </c>
      <c r="AI287" s="2" t="str">
        <f aca="false">IF($B287="","",COUNTIFS(Datos_items!$B:$B,$B287,Datos_items!$AA:$AA,AI$4,Datos_items!$E:$E,Analisis_grupo!$C$4))</f>
        <v/>
      </c>
      <c r="AJ287" s="2" t="str">
        <f aca="false">IF($B287="","",COUNTIFS(Datos_items!$B:$B,$B287,Datos_items!$AA:$AA,AJ$4,Datos_items!$E:$E,Analisis_grupo!$C$4))</f>
        <v/>
      </c>
      <c r="AK287" s="2" t="str">
        <f aca="false">IF($B287="","",COUNTIFS(Datos_items!$B:$B,$B287,Datos_items!$AA:$AA,AK$4,Datos_items!$E:$E,Analisis_grupo!$C$4))</f>
        <v/>
      </c>
      <c r="AL287" s="2" t="str">
        <f aca="false">IF($B287="","",COUNTIFS(Datos_items!$B:$B,$B287,Datos_items!$AA:$AA,AL$4,Datos_items!$E:$E,Analisis_grupo!$C$4))</f>
        <v/>
      </c>
      <c r="AM287" s="2" t="str">
        <f aca="false">IF($B287="","",IF(MAX(Y287:AL287)=0,"",INDEX($Y$4:$AL$4,MATCH(MAX(Y287:AL287),Y287:AL287,0))))</f>
        <v/>
      </c>
      <c r="AN287" s="2" t="str">
        <f aca="false">IF($B287="","",COUNTIFS(Datos_problemas!$B:$B,$B287,Datos_problemas!$F:$F,"Práctica"))</f>
        <v/>
      </c>
      <c r="AO287" s="2" t="str">
        <f aca="false">IF($B287="","",SUMIFS(Datos_problemas!$AQ:$AQ,Datos_problemas!$B:$B,$B287,Datos_problemas!$F:$F,"Práctica"))</f>
        <v/>
      </c>
      <c r="AP287" s="2" t="str">
        <f aca="false">IF($B287="","",COUNTIFS(Datos_problemas!$B:$B,$B287,Datos_problemas!$F:$F,"Práctica",Datos_problemas!$AS:$AS,"Sí"))</f>
        <v/>
      </c>
    </row>
    <row r="288" customFormat="false" ht="15" hidden="false" customHeight="false" outlineLevel="0" collapsed="false">
      <c r="A288" s="2" t="n">
        <v>284</v>
      </c>
      <c r="B288" s="2" t="str">
        <f aca="false">IFERROR(INDEX(Datos_problemas!$B:$B,MATCH($A288,Datos_problemas!$AV:$AV,0)),"")</f>
        <v/>
      </c>
      <c r="C288" s="2" t="str">
        <f aca="false">IF($B288="","",INDEX(Datos_problemas!$C:$C,MATCH($A288,Datos_problemas!$AV:$AV,0)))</f>
        <v/>
      </c>
      <c r="D288" s="2" t="str">
        <f aca="false">IF($B288="","",INDEX(Datos_problemas!$D:$D,MATCH($A288,Datos_problemas!$AV:$AV,0)))</f>
        <v/>
      </c>
      <c r="E288" s="2" t="str">
        <f aca="false">IF($B288="","",COUNTIFS(Datos_problemas!$B:$B,$B288,Datos_problemas!$F:$F,"Evaluación"))</f>
        <v/>
      </c>
      <c r="F288" s="20" t="str">
        <f aca="false">IF($B288="","",IFERROR(AVERAGEIFS(Datos_problemas!$AE:$AE,Datos_problemas!$B:$B,$B288,Datos_problemas!$F:$F,"Evaluación"),""))</f>
        <v/>
      </c>
      <c r="G288" s="20" t="str">
        <f aca="false">IF($B288="","",IFERROR(AVERAGEIFS(Datos_problemas!$AE:$AE,Datos_problemas!$B:$B,$B288,Datos_problemas!$F:$F,"Evaluación",Datos_problemas!$E:$E,"Diagnóstico"),""))</f>
        <v/>
      </c>
      <c r="H288" s="20" t="str">
        <f aca="false">IF($B288="","",IFERROR(AVERAGEIFS(Datos_problemas!$AE:$AE,Datos_problemas!$B:$B,$B288,Datos_problemas!$F:$F,"Evaluación",Datos_problemas!$E:$E,"Final"),""))</f>
        <v/>
      </c>
      <c r="I288" s="21" t="str">
        <f aca="false">IF(OR(G288="",H288=""),"",IF(G288&gt;=10,"",(H288-G288)/(10-G288)))</f>
        <v/>
      </c>
      <c r="J288" s="18" t="str">
        <f aca="false">IF($B288="","",IFERROR(SUMIFS(Datos_items!$Z:$Z,Datos_items!$B:$B,$B288,Datos_items!$O:$O,J$4,Datos_items!$E:$E,Analisis_grupo!$C$4)/COUNTIFS(Datos_items!$B:$B,$B288,Datos_items!$O:$O,J$4,Datos_items!$E:$E,Analisis_grupo!$C$4),""))</f>
        <v/>
      </c>
      <c r="K288" s="18" t="str">
        <f aca="false">IF($B288="","",IFERROR(SUMIFS(Datos_items!$Z:$Z,Datos_items!$B:$B,$B288,Datos_items!$O:$O,K$4,Datos_items!$E:$E,Analisis_grupo!$C$4)/COUNTIFS(Datos_items!$B:$B,$B288,Datos_items!$O:$O,K$4,Datos_items!$E:$E,Analisis_grupo!$C$4),""))</f>
        <v/>
      </c>
      <c r="L288" s="18" t="str">
        <f aca="false">IF($B288="","",IFERROR(SUMIFS(Datos_items!$Z:$Z,Datos_items!$B:$B,$B288,Datos_items!$O:$O,L$4,Datos_items!$E:$E,Analisis_grupo!$C$4)/COUNTIFS(Datos_items!$B:$B,$B288,Datos_items!$O:$O,L$4,Datos_items!$E:$E,Analisis_grupo!$C$4),""))</f>
        <v/>
      </c>
      <c r="M288" s="18" t="str">
        <f aca="false">IF($B288="","",IFERROR(SUMIFS(Datos_items!$Z:$Z,Datos_items!$B:$B,$B288,Datos_items!$O:$O,M$4,Datos_items!$E:$E,Analisis_grupo!$C$4)/COUNTIFS(Datos_items!$B:$B,$B288,Datos_items!$O:$O,M$4,Datos_items!$E:$E,Analisis_grupo!$C$4),""))</f>
        <v/>
      </c>
      <c r="N288" s="18" t="str">
        <f aca="false">IF($B288="","",IFERROR(SUMIFS(Datos_items!$Z:$Z,Datos_items!$B:$B,$B288,Datos_items!$O:$O,N$4,Datos_items!$E:$E,Analisis_grupo!$C$4)/COUNTIFS(Datos_items!$B:$B,$B288,Datos_items!$O:$O,N$4,Datos_items!$E:$E,Analisis_grupo!$C$4),""))</f>
        <v/>
      </c>
      <c r="O288" s="18" t="str">
        <f aca="false">IF($B288="","",IFERROR(SUMIFS(Datos_items!$Z:$Z,Datos_items!$B:$B,$B288,Datos_items!$O:$O,O$4,Datos_items!$E:$E,Analisis_grupo!$C$4)/COUNTIFS(Datos_items!$B:$B,$B288,Datos_items!$O:$O,O$4,Datos_items!$E:$E,Analisis_grupo!$C$4),""))</f>
        <v/>
      </c>
      <c r="P288" s="18" t="str">
        <f aca="false">IF($B288="","",IFERROR(SUMIFS(Datos_items!$Z:$Z,Datos_items!$B:$B,$B288,Datos_items!$O:$O,P$4,Datos_items!$E:$E,Analisis_grupo!$C$4)/COUNTIFS(Datos_items!$B:$B,$B288,Datos_items!$O:$O,P$4,Datos_items!$E:$E,Analisis_grupo!$C$4),""))</f>
        <v/>
      </c>
      <c r="Q288" s="18" t="str">
        <f aca="false">IF($B288="","",IFERROR(SUMIFS(Datos_items!$Z:$Z,Datos_items!$B:$B,$B288,Datos_items!$O:$O,Q$4,Datos_items!$E:$E,Analisis_grupo!$C$4)/COUNTIFS(Datos_items!$B:$B,$B288,Datos_items!$O:$O,Q$4,Datos_items!$E:$E,Analisis_grupo!$C$4),""))</f>
        <v/>
      </c>
      <c r="R288" s="2" t="str">
        <f aca="false">IF(COUNT(J288:Q288)=0,"",IF(MIN(J288:Q288)&gt;=Analisis_grupo!$B$7,"(ninguna)",INDEX($J$4:$Q$4,MATCH(MIN(J288:Q288),J288:Q288,0))))</f>
        <v/>
      </c>
      <c r="S288" s="2" t="str">
        <f aca="false">IF($B288="","",COUNTIF(J288:Q288,"&lt;"&amp;Analisis_grupo!$B$7))</f>
        <v/>
      </c>
      <c r="T288" s="2" t="str">
        <f aca="false">IF($B288="","",COUNTIFS(Datos_items!$B:$B,$B288,Datos_items!$AA:$AA,T$4,Datos_items!$E:$E,Analisis_grupo!$C$4))</f>
        <v/>
      </c>
      <c r="U288" s="2" t="str">
        <f aca="false">IF($B288="","",COUNTIFS(Datos_items!$B:$B,$B288,Datos_items!$AA:$AA,U$4,Datos_items!$E:$E,Analisis_grupo!$C$4))</f>
        <v/>
      </c>
      <c r="V288" s="2" t="str">
        <f aca="false">IF($B288="","",COUNTIFS(Datos_items!$B:$B,$B288,Datos_items!$AA:$AA,V$4,Datos_items!$E:$E,Analisis_grupo!$C$4))</f>
        <v/>
      </c>
      <c r="W288" s="2" t="str">
        <f aca="false">IF($B288="","",COUNTIFS(Datos_items!$B:$B,$B288,Datos_items!$AA:$AA,W$4,Datos_items!$E:$E,Analisis_grupo!$C$4))</f>
        <v/>
      </c>
      <c r="X288" s="2" t="str">
        <f aca="false">IF($B288="","",COUNTIFS(Datos_items!$B:$B,$B288,Datos_items!$AA:$AA,X$4,Datos_items!$E:$E,Analisis_grupo!$C$4))</f>
        <v/>
      </c>
      <c r="Y288" s="2" t="str">
        <f aca="false">IF($B288="","",COUNTIFS(Datos_items!$B:$B,$B288,Datos_items!$AA:$AA,Y$4,Datos_items!$E:$E,Analisis_grupo!$C$4))</f>
        <v/>
      </c>
      <c r="Z288" s="2" t="str">
        <f aca="false">IF($B288="","",COUNTIFS(Datos_items!$B:$B,$B288,Datos_items!$AA:$AA,Z$4,Datos_items!$E:$E,Analisis_grupo!$C$4))</f>
        <v/>
      </c>
      <c r="AA288" s="2" t="str">
        <f aca="false">IF($B288="","",COUNTIFS(Datos_items!$B:$B,$B288,Datos_items!$AA:$AA,AA$4,Datos_items!$E:$E,Analisis_grupo!$C$4))</f>
        <v/>
      </c>
      <c r="AB288" s="2" t="str">
        <f aca="false">IF($B288="","",COUNTIFS(Datos_items!$B:$B,$B288,Datos_items!$AA:$AA,AB$4,Datos_items!$E:$E,Analisis_grupo!$C$4))</f>
        <v/>
      </c>
      <c r="AC288" s="2" t="str">
        <f aca="false">IF($B288="","",COUNTIFS(Datos_items!$B:$B,$B288,Datos_items!$AA:$AA,AC$4,Datos_items!$E:$E,Analisis_grupo!$C$4))</f>
        <v/>
      </c>
      <c r="AD288" s="2" t="str">
        <f aca="false">IF($B288="","",COUNTIFS(Datos_items!$B:$B,$B288,Datos_items!$AA:$AA,AD$4,Datos_items!$E:$E,Analisis_grupo!$C$4))</f>
        <v/>
      </c>
      <c r="AE288" s="2" t="str">
        <f aca="false">IF($B288="","",COUNTIFS(Datos_items!$B:$B,$B288,Datos_items!$AA:$AA,AE$4,Datos_items!$E:$E,Analisis_grupo!$C$4))</f>
        <v/>
      </c>
      <c r="AF288" s="2" t="str">
        <f aca="false">IF($B288="","",COUNTIFS(Datos_items!$B:$B,$B288,Datos_items!$AA:$AA,AF$4,Datos_items!$E:$E,Analisis_grupo!$C$4))</f>
        <v/>
      </c>
      <c r="AG288" s="2" t="str">
        <f aca="false">IF($B288="","",COUNTIFS(Datos_items!$B:$B,$B288,Datos_items!$AA:$AA,AG$4,Datos_items!$E:$E,Analisis_grupo!$C$4))</f>
        <v/>
      </c>
      <c r="AH288" s="2" t="str">
        <f aca="false">IF($B288="","",COUNTIFS(Datos_items!$B:$B,$B288,Datos_items!$AA:$AA,AH$4,Datos_items!$E:$E,Analisis_grupo!$C$4))</f>
        <v/>
      </c>
      <c r="AI288" s="2" t="str">
        <f aca="false">IF($B288="","",COUNTIFS(Datos_items!$B:$B,$B288,Datos_items!$AA:$AA,AI$4,Datos_items!$E:$E,Analisis_grupo!$C$4))</f>
        <v/>
      </c>
      <c r="AJ288" s="2" t="str">
        <f aca="false">IF($B288="","",COUNTIFS(Datos_items!$B:$B,$B288,Datos_items!$AA:$AA,AJ$4,Datos_items!$E:$E,Analisis_grupo!$C$4))</f>
        <v/>
      </c>
      <c r="AK288" s="2" t="str">
        <f aca="false">IF($B288="","",COUNTIFS(Datos_items!$B:$B,$B288,Datos_items!$AA:$AA,AK$4,Datos_items!$E:$E,Analisis_grupo!$C$4))</f>
        <v/>
      </c>
      <c r="AL288" s="2" t="str">
        <f aca="false">IF($B288="","",COUNTIFS(Datos_items!$B:$B,$B288,Datos_items!$AA:$AA,AL$4,Datos_items!$E:$E,Analisis_grupo!$C$4))</f>
        <v/>
      </c>
      <c r="AM288" s="2" t="str">
        <f aca="false">IF($B288="","",IF(MAX(Y288:AL288)=0,"",INDEX($Y$4:$AL$4,MATCH(MAX(Y288:AL288),Y288:AL288,0))))</f>
        <v/>
      </c>
      <c r="AN288" s="2" t="str">
        <f aca="false">IF($B288="","",COUNTIFS(Datos_problemas!$B:$B,$B288,Datos_problemas!$F:$F,"Práctica"))</f>
        <v/>
      </c>
      <c r="AO288" s="2" t="str">
        <f aca="false">IF($B288="","",SUMIFS(Datos_problemas!$AQ:$AQ,Datos_problemas!$B:$B,$B288,Datos_problemas!$F:$F,"Práctica"))</f>
        <v/>
      </c>
      <c r="AP288" s="2" t="str">
        <f aca="false">IF($B288="","",COUNTIFS(Datos_problemas!$B:$B,$B288,Datos_problemas!$F:$F,"Práctica",Datos_problemas!$AS:$AS,"Sí"))</f>
        <v/>
      </c>
    </row>
    <row r="289" customFormat="false" ht="15" hidden="false" customHeight="false" outlineLevel="0" collapsed="false">
      <c r="A289" s="2" t="n">
        <v>285</v>
      </c>
      <c r="B289" s="2" t="str">
        <f aca="false">IFERROR(INDEX(Datos_problemas!$B:$B,MATCH($A289,Datos_problemas!$AV:$AV,0)),"")</f>
        <v/>
      </c>
      <c r="C289" s="2" t="str">
        <f aca="false">IF($B289="","",INDEX(Datos_problemas!$C:$C,MATCH($A289,Datos_problemas!$AV:$AV,0)))</f>
        <v/>
      </c>
      <c r="D289" s="2" t="str">
        <f aca="false">IF($B289="","",INDEX(Datos_problemas!$D:$D,MATCH($A289,Datos_problemas!$AV:$AV,0)))</f>
        <v/>
      </c>
      <c r="E289" s="2" t="str">
        <f aca="false">IF($B289="","",COUNTIFS(Datos_problemas!$B:$B,$B289,Datos_problemas!$F:$F,"Evaluación"))</f>
        <v/>
      </c>
      <c r="F289" s="20" t="str">
        <f aca="false">IF($B289="","",IFERROR(AVERAGEIFS(Datos_problemas!$AE:$AE,Datos_problemas!$B:$B,$B289,Datos_problemas!$F:$F,"Evaluación"),""))</f>
        <v/>
      </c>
      <c r="G289" s="20" t="str">
        <f aca="false">IF($B289="","",IFERROR(AVERAGEIFS(Datos_problemas!$AE:$AE,Datos_problemas!$B:$B,$B289,Datos_problemas!$F:$F,"Evaluación",Datos_problemas!$E:$E,"Diagnóstico"),""))</f>
        <v/>
      </c>
      <c r="H289" s="20" t="str">
        <f aca="false">IF($B289="","",IFERROR(AVERAGEIFS(Datos_problemas!$AE:$AE,Datos_problemas!$B:$B,$B289,Datos_problemas!$F:$F,"Evaluación",Datos_problemas!$E:$E,"Final"),""))</f>
        <v/>
      </c>
      <c r="I289" s="21" t="str">
        <f aca="false">IF(OR(G289="",H289=""),"",IF(G289&gt;=10,"",(H289-G289)/(10-G289)))</f>
        <v/>
      </c>
      <c r="J289" s="18" t="str">
        <f aca="false">IF($B289="","",IFERROR(SUMIFS(Datos_items!$Z:$Z,Datos_items!$B:$B,$B289,Datos_items!$O:$O,J$4,Datos_items!$E:$E,Analisis_grupo!$C$4)/COUNTIFS(Datos_items!$B:$B,$B289,Datos_items!$O:$O,J$4,Datos_items!$E:$E,Analisis_grupo!$C$4),""))</f>
        <v/>
      </c>
      <c r="K289" s="18" t="str">
        <f aca="false">IF($B289="","",IFERROR(SUMIFS(Datos_items!$Z:$Z,Datos_items!$B:$B,$B289,Datos_items!$O:$O,K$4,Datos_items!$E:$E,Analisis_grupo!$C$4)/COUNTIFS(Datos_items!$B:$B,$B289,Datos_items!$O:$O,K$4,Datos_items!$E:$E,Analisis_grupo!$C$4),""))</f>
        <v/>
      </c>
      <c r="L289" s="18" t="str">
        <f aca="false">IF($B289="","",IFERROR(SUMIFS(Datos_items!$Z:$Z,Datos_items!$B:$B,$B289,Datos_items!$O:$O,L$4,Datos_items!$E:$E,Analisis_grupo!$C$4)/COUNTIFS(Datos_items!$B:$B,$B289,Datos_items!$O:$O,L$4,Datos_items!$E:$E,Analisis_grupo!$C$4),""))</f>
        <v/>
      </c>
      <c r="M289" s="18" t="str">
        <f aca="false">IF($B289="","",IFERROR(SUMIFS(Datos_items!$Z:$Z,Datos_items!$B:$B,$B289,Datos_items!$O:$O,M$4,Datos_items!$E:$E,Analisis_grupo!$C$4)/COUNTIFS(Datos_items!$B:$B,$B289,Datos_items!$O:$O,M$4,Datos_items!$E:$E,Analisis_grupo!$C$4),""))</f>
        <v/>
      </c>
      <c r="N289" s="18" t="str">
        <f aca="false">IF($B289="","",IFERROR(SUMIFS(Datos_items!$Z:$Z,Datos_items!$B:$B,$B289,Datos_items!$O:$O,N$4,Datos_items!$E:$E,Analisis_grupo!$C$4)/COUNTIFS(Datos_items!$B:$B,$B289,Datos_items!$O:$O,N$4,Datos_items!$E:$E,Analisis_grupo!$C$4),""))</f>
        <v/>
      </c>
      <c r="O289" s="18" t="str">
        <f aca="false">IF($B289="","",IFERROR(SUMIFS(Datos_items!$Z:$Z,Datos_items!$B:$B,$B289,Datos_items!$O:$O,O$4,Datos_items!$E:$E,Analisis_grupo!$C$4)/COUNTIFS(Datos_items!$B:$B,$B289,Datos_items!$O:$O,O$4,Datos_items!$E:$E,Analisis_grupo!$C$4),""))</f>
        <v/>
      </c>
      <c r="P289" s="18" t="str">
        <f aca="false">IF($B289="","",IFERROR(SUMIFS(Datos_items!$Z:$Z,Datos_items!$B:$B,$B289,Datos_items!$O:$O,P$4,Datos_items!$E:$E,Analisis_grupo!$C$4)/COUNTIFS(Datos_items!$B:$B,$B289,Datos_items!$O:$O,P$4,Datos_items!$E:$E,Analisis_grupo!$C$4),""))</f>
        <v/>
      </c>
      <c r="Q289" s="18" t="str">
        <f aca="false">IF($B289="","",IFERROR(SUMIFS(Datos_items!$Z:$Z,Datos_items!$B:$B,$B289,Datos_items!$O:$O,Q$4,Datos_items!$E:$E,Analisis_grupo!$C$4)/COUNTIFS(Datos_items!$B:$B,$B289,Datos_items!$O:$O,Q$4,Datos_items!$E:$E,Analisis_grupo!$C$4),""))</f>
        <v/>
      </c>
      <c r="R289" s="2" t="str">
        <f aca="false">IF(COUNT(J289:Q289)=0,"",IF(MIN(J289:Q289)&gt;=Analisis_grupo!$B$7,"(ninguna)",INDEX($J$4:$Q$4,MATCH(MIN(J289:Q289),J289:Q289,0))))</f>
        <v/>
      </c>
      <c r="S289" s="2" t="str">
        <f aca="false">IF($B289="","",COUNTIF(J289:Q289,"&lt;"&amp;Analisis_grupo!$B$7))</f>
        <v/>
      </c>
      <c r="T289" s="2" t="str">
        <f aca="false">IF($B289="","",COUNTIFS(Datos_items!$B:$B,$B289,Datos_items!$AA:$AA,T$4,Datos_items!$E:$E,Analisis_grupo!$C$4))</f>
        <v/>
      </c>
      <c r="U289" s="2" t="str">
        <f aca="false">IF($B289="","",COUNTIFS(Datos_items!$B:$B,$B289,Datos_items!$AA:$AA,U$4,Datos_items!$E:$E,Analisis_grupo!$C$4))</f>
        <v/>
      </c>
      <c r="V289" s="2" t="str">
        <f aca="false">IF($B289="","",COUNTIFS(Datos_items!$B:$B,$B289,Datos_items!$AA:$AA,V$4,Datos_items!$E:$E,Analisis_grupo!$C$4))</f>
        <v/>
      </c>
      <c r="W289" s="2" t="str">
        <f aca="false">IF($B289="","",COUNTIFS(Datos_items!$B:$B,$B289,Datos_items!$AA:$AA,W$4,Datos_items!$E:$E,Analisis_grupo!$C$4))</f>
        <v/>
      </c>
      <c r="X289" s="2" t="str">
        <f aca="false">IF($B289="","",COUNTIFS(Datos_items!$B:$B,$B289,Datos_items!$AA:$AA,X$4,Datos_items!$E:$E,Analisis_grupo!$C$4))</f>
        <v/>
      </c>
      <c r="Y289" s="2" t="str">
        <f aca="false">IF($B289="","",COUNTIFS(Datos_items!$B:$B,$B289,Datos_items!$AA:$AA,Y$4,Datos_items!$E:$E,Analisis_grupo!$C$4))</f>
        <v/>
      </c>
      <c r="Z289" s="2" t="str">
        <f aca="false">IF($B289="","",COUNTIFS(Datos_items!$B:$B,$B289,Datos_items!$AA:$AA,Z$4,Datos_items!$E:$E,Analisis_grupo!$C$4))</f>
        <v/>
      </c>
      <c r="AA289" s="2" t="str">
        <f aca="false">IF($B289="","",COUNTIFS(Datos_items!$B:$B,$B289,Datos_items!$AA:$AA,AA$4,Datos_items!$E:$E,Analisis_grupo!$C$4))</f>
        <v/>
      </c>
      <c r="AB289" s="2" t="str">
        <f aca="false">IF($B289="","",COUNTIFS(Datos_items!$B:$B,$B289,Datos_items!$AA:$AA,AB$4,Datos_items!$E:$E,Analisis_grupo!$C$4))</f>
        <v/>
      </c>
      <c r="AC289" s="2" t="str">
        <f aca="false">IF($B289="","",COUNTIFS(Datos_items!$B:$B,$B289,Datos_items!$AA:$AA,AC$4,Datos_items!$E:$E,Analisis_grupo!$C$4))</f>
        <v/>
      </c>
      <c r="AD289" s="2" t="str">
        <f aca="false">IF($B289="","",COUNTIFS(Datos_items!$B:$B,$B289,Datos_items!$AA:$AA,AD$4,Datos_items!$E:$E,Analisis_grupo!$C$4))</f>
        <v/>
      </c>
      <c r="AE289" s="2" t="str">
        <f aca="false">IF($B289="","",COUNTIFS(Datos_items!$B:$B,$B289,Datos_items!$AA:$AA,AE$4,Datos_items!$E:$E,Analisis_grupo!$C$4))</f>
        <v/>
      </c>
      <c r="AF289" s="2" t="str">
        <f aca="false">IF($B289="","",COUNTIFS(Datos_items!$B:$B,$B289,Datos_items!$AA:$AA,AF$4,Datos_items!$E:$E,Analisis_grupo!$C$4))</f>
        <v/>
      </c>
      <c r="AG289" s="2" t="str">
        <f aca="false">IF($B289="","",COUNTIFS(Datos_items!$B:$B,$B289,Datos_items!$AA:$AA,AG$4,Datos_items!$E:$E,Analisis_grupo!$C$4))</f>
        <v/>
      </c>
      <c r="AH289" s="2" t="str">
        <f aca="false">IF($B289="","",COUNTIFS(Datos_items!$B:$B,$B289,Datos_items!$AA:$AA,AH$4,Datos_items!$E:$E,Analisis_grupo!$C$4))</f>
        <v/>
      </c>
      <c r="AI289" s="2" t="str">
        <f aca="false">IF($B289="","",COUNTIFS(Datos_items!$B:$B,$B289,Datos_items!$AA:$AA,AI$4,Datos_items!$E:$E,Analisis_grupo!$C$4))</f>
        <v/>
      </c>
      <c r="AJ289" s="2" t="str">
        <f aca="false">IF($B289="","",COUNTIFS(Datos_items!$B:$B,$B289,Datos_items!$AA:$AA,AJ$4,Datos_items!$E:$E,Analisis_grupo!$C$4))</f>
        <v/>
      </c>
      <c r="AK289" s="2" t="str">
        <f aca="false">IF($B289="","",COUNTIFS(Datos_items!$B:$B,$B289,Datos_items!$AA:$AA,AK$4,Datos_items!$E:$E,Analisis_grupo!$C$4))</f>
        <v/>
      </c>
      <c r="AL289" s="2" t="str">
        <f aca="false">IF($B289="","",COUNTIFS(Datos_items!$B:$B,$B289,Datos_items!$AA:$AA,AL$4,Datos_items!$E:$E,Analisis_grupo!$C$4))</f>
        <v/>
      </c>
      <c r="AM289" s="2" t="str">
        <f aca="false">IF($B289="","",IF(MAX(Y289:AL289)=0,"",INDEX($Y$4:$AL$4,MATCH(MAX(Y289:AL289),Y289:AL289,0))))</f>
        <v/>
      </c>
      <c r="AN289" s="2" t="str">
        <f aca="false">IF($B289="","",COUNTIFS(Datos_problemas!$B:$B,$B289,Datos_problemas!$F:$F,"Práctica"))</f>
        <v/>
      </c>
      <c r="AO289" s="2" t="str">
        <f aca="false">IF($B289="","",SUMIFS(Datos_problemas!$AQ:$AQ,Datos_problemas!$B:$B,$B289,Datos_problemas!$F:$F,"Práctica"))</f>
        <v/>
      </c>
      <c r="AP289" s="2" t="str">
        <f aca="false">IF($B289="","",COUNTIFS(Datos_problemas!$B:$B,$B289,Datos_problemas!$F:$F,"Práctica",Datos_problemas!$AS:$AS,"Sí"))</f>
        <v/>
      </c>
    </row>
    <row r="290" customFormat="false" ht="15" hidden="false" customHeight="false" outlineLevel="0" collapsed="false">
      <c r="A290" s="2" t="n">
        <v>286</v>
      </c>
      <c r="B290" s="2" t="str">
        <f aca="false">IFERROR(INDEX(Datos_problemas!$B:$B,MATCH($A290,Datos_problemas!$AV:$AV,0)),"")</f>
        <v/>
      </c>
      <c r="C290" s="2" t="str">
        <f aca="false">IF($B290="","",INDEX(Datos_problemas!$C:$C,MATCH($A290,Datos_problemas!$AV:$AV,0)))</f>
        <v/>
      </c>
      <c r="D290" s="2" t="str">
        <f aca="false">IF($B290="","",INDEX(Datos_problemas!$D:$D,MATCH($A290,Datos_problemas!$AV:$AV,0)))</f>
        <v/>
      </c>
      <c r="E290" s="2" t="str">
        <f aca="false">IF($B290="","",COUNTIFS(Datos_problemas!$B:$B,$B290,Datos_problemas!$F:$F,"Evaluación"))</f>
        <v/>
      </c>
      <c r="F290" s="20" t="str">
        <f aca="false">IF($B290="","",IFERROR(AVERAGEIFS(Datos_problemas!$AE:$AE,Datos_problemas!$B:$B,$B290,Datos_problemas!$F:$F,"Evaluación"),""))</f>
        <v/>
      </c>
      <c r="G290" s="20" t="str">
        <f aca="false">IF($B290="","",IFERROR(AVERAGEIFS(Datos_problemas!$AE:$AE,Datos_problemas!$B:$B,$B290,Datos_problemas!$F:$F,"Evaluación",Datos_problemas!$E:$E,"Diagnóstico"),""))</f>
        <v/>
      </c>
      <c r="H290" s="20" t="str">
        <f aca="false">IF($B290="","",IFERROR(AVERAGEIFS(Datos_problemas!$AE:$AE,Datos_problemas!$B:$B,$B290,Datos_problemas!$F:$F,"Evaluación",Datos_problemas!$E:$E,"Final"),""))</f>
        <v/>
      </c>
      <c r="I290" s="21" t="str">
        <f aca="false">IF(OR(G290="",H290=""),"",IF(G290&gt;=10,"",(H290-G290)/(10-G290)))</f>
        <v/>
      </c>
      <c r="J290" s="18" t="str">
        <f aca="false">IF($B290="","",IFERROR(SUMIFS(Datos_items!$Z:$Z,Datos_items!$B:$B,$B290,Datos_items!$O:$O,J$4,Datos_items!$E:$E,Analisis_grupo!$C$4)/COUNTIFS(Datos_items!$B:$B,$B290,Datos_items!$O:$O,J$4,Datos_items!$E:$E,Analisis_grupo!$C$4),""))</f>
        <v/>
      </c>
      <c r="K290" s="18" t="str">
        <f aca="false">IF($B290="","",IFERROR(SUMIFS(Datos_items!$Z:$Z,Datos_items!$B:$B,$B290,Datos_items!$O:$O,K$4,Datos_items!$E:$E,Analisis_grupo!$C$4)/COUNTIFS(Datos_items!$B:$B,$B290,Datos_items!$O:$O,K$4,Datos_items!$E:$E,Analisis_grupo!$C$4),""))</f>
        <v/>
      </c>
      <c r="L290" s="18" t="str">
        <f aca="false">IF($B290="","",IFERROR(SUMIFS(Datos_items!$Z:$Z,Datos_items!$B:$B,$B290,Datos_items!$O:$O,L$4,Datos_items!$E:$E,Analisis_grupo!$C$4)/COUNTIFS(Datos_items!$B:$B,$B290,Datos_items!$O:$O,L$4,Datos_items!$E:$E,Analisis_grupo!$C$4),""))</f>
        <v/>
      </c>
      <c r="M290" s="18" t="str">
        <f aca="false">IF($B290="","",IFERROR(SUMIFS(Datos_items!$Z:$Z,Datos_items!$B:$B,$B290,Datos_items!$O:$O,M$4,Datos_items!$E:$E,Analisis_grupo!$C$4)/COUNTIFS(Datos_items!$B:$B,$B290,Datos_items!$O:$O,M$4,Datos_items!$E:$E,Analisis_grupo!$C$4),""))</f>
        <v/>
      </c>
      <c r="N290" s="18" t="str">
        <f aca="false">IF($B290="","",IFERROR(SUMIFS(Datos_items!$Z:$Z,Datos_items!$B:$B,$B290,Datos_items!$O:$O,N$4,Datos_items!$E:$E,Analisis_grupo!$C$4)/COUNTIFS(Datos_items!$B:$B,$B290,Datos_items!$O:$O,N$4,Datos_items!$E:$E,Analisis_grupo!$C$4),""))</f>
        <v/>
      </c>
      <c r="O290" s="18" t="str">
        <f aca="false">IF($B290="","",IFERROR(SUMIFS(Datos_items!$Z:$Z,Datos_items!$B:$B,$B290,Datos_items!$O:$O,O$4,Datos_items!$E:$E,Analisis_grupo!$C$4)/COUNTIFS(Datos_items!$B:$B,$B290,Datos_items!$O:$O,O$4,Datos_items!$E:$E,Analisis_grupo!$C$4),""))</f>
        <v/>
      </c>
      <c r="P290" s="18" t="str">
        <f aca="false">IF($B290="","",IFERROR(SUMIFS(Datos_items!$Z:$Z,Datos_items!$B:$B,$B290,Datos_items!$O:$O,P$4,Datos_items!$E:$E,Analisis_grupo!$C$4)/COUNTIFS(Datos_items!$B:$B,$B290,Datos_items!$O:$O,P$4,Datos_items!$E:$E,Analisis_grupo!$C$4),""))</f>
        <v/>
      </c>
      <c r="Q290" s="18" t="str">
        <f aca="false">IF($B290="","",IFERROR(SUMIFS(Datos_items!$Z:$Z,Datos_items!$B:$B,$B290,Datos_items!$O:$O,Q$4,Datos_items!$E:$E,Analisis_grupo!$C$4)/COUNTIFS(Datos_items!$B:$B,$B290,Datos_items!$O:$O,Q$4,Datos_items!$E:$E,Analisis_grupo!$C$4),""))</f>
        <v/>
      </c>
      <c r="R290" s="2" t="str">
        <f aca="false">IF(COUNT(J290:Q290)=0,"",IF(MIN(J290:Q290)&gt;=Analisis_grupo!$B$7,"(ninguna)",INDEX($J$4:$Q$4,MATCH(MIN(J290:Q290),J290:Q290,0))))</f>
        <v/>
      </c>
      <c r="S290" s="2" t="str">
        <f aca="false">IF($B290="","",COUNTIF(J290:Q290,"&lt;"&amp;Analisis_grupo!$B$7))</f>
        <v/>
      </c>
      <c r="T290" s="2" t="str">
        <f aca="false">IF($B290="","",COUNTIFS(Datos_items!$B:$B,$B290,Datos_items!$AA:$AA,T$4,Datos_items!$E:$E,Analisis_grupo!$C$4))</f>
        <v/>
      </c>
      <c r="U290" s="2" t="str">
        <f aca="false">IF($B290="","",COUNTIFS(Datos_items!$B:$B,$B290,Datos_items!$AA:$AA,U$4,Datos_items!$E:$E,Analisis_grupo!$C$4))</f>
        <v/>
      </c>
      <c r="V290" s="2" t="str">
        <f aca="false">IF($B290="","",COUNTIFS(Datos_items!$B:$B,$B290,Datos_items!$AA:$AA,V$4,Datos_items!$E:$E,Analisis_grupo!$C$4))</f>
        <v/>
      </c>
      <c r="W290" s="2" t="str">
        <f aca="false">IF($B290="","",COUNTIFS(Datos_items!$B:$B,$B290,Datos_items!$AA:$AA,W$4,Datos_items!$E:$E,Analisis_grupo!$C$4))</f>
        <v/>
      </c>
      <c r="X290" s="2" t="str">
        <f aca="false">IF($B290="","",COUNTIFS(Datos_items!$B:$B,$B290,Datos_items!$AA:$AA,X$4,Datos_items!$E:$E,Analisis_grupo!$C$4))</f>
        <v/>
      </c>
      <c r="Y290" s="2" t="str">
        <f aca="false">IF($B290="","",COUNTIFS(Datos_items!$B:$B,$B290,Datos_items!$AA:$AA,Y$4,Datos_items!$E:$E,Analisis_grupo!$C$4))</f>
        <v/>
      </c>
      <c r="Z290" s="2" t="str">
        <f aca="false">IF($B290="","",COUNTIFS(Datos_items!$B:$B,$B290,Datos_items!$AA:$AA,Z$4,Datos_items!$E:$E,Analisis_grupo!$C$4))</f>
        <v/>
      </c>
      <c r="AA290" s="2" t="str">
        <f aca="false">IF($B290="","",COUNTIFS(Datos_items!$B:$B,$B290,Datos_items!$AA:$AA,AA$4,Datos_items!$E:$E,Analisis_grupo!$C$4))</f>
        <v/>
      </c>
      <c r="AB290" s="2" t="str">
        <f aca="false">IF($B290="","",COUNTIFS(Datos_items!$B:$B,$B290,Datos_items!$AA:$AA,AB$4,Datos_items!$E:$E,Analisis_grupo!$C$4))</f>
        <v/>
      </c>
      <c r="AC290" s="2" t="str">
        <f aca="false">IF($B290="","",COUNTIFS(Datos_items!$B:$B,$B290,Datos_items!$AA:$AA,AC$4,Datos_items!$E:$E,Analisis_grupo!$C$4))</f>
        <v/>
      </c>
      <c r="AD290" s="2" t="str">
        <f aca="false">IF($B290="","",COUNTIFS(Datos_items!$B:$B,$B290,Datos_items!$AA:$AA,AD$4,Datos_items!$E:$E,Analisis_grupo!$C$4))</f>
        <v/>
      </c>
      <c r="AE290" s="2" t="str">
        <f aca="false">IF($B290="","",COUNTIFS(Datos_items!$B:$B,$B290,Datos_items!$AA:$AA,AE$4,Datos_items!$E:$E,Analisis_grupo!$C$4))</f>
        <v/>
      </c>
      <c r="AF290" s="2" t="str">
        <f aca="false">IF($B290="","",COUNTIFS(Datos_items!$B:$B,$B290,Datos_items!$AA:$AA,AF$4,Datos_items!$E:$E,Analisis_grupo!$C$4))</f>
        <v/>
      </c>
      <c r="AG290" s="2" t="str">
        <f aca="false">IF($B290="","",COUNTIFS(Datos_items!$B:$B,$B290,Datos_items!$AA:$AA,AG$4,Datos_items!$E:$E,Analisis_grupo!$C$4))</f>
        <v/>
      </c>
      <c r="AH290" s="2" t="str">
        <f aca="false">IF($B290="","",COUNTIFS(Datos_items!$B:$B,$B290,Datos_items!$AA:$AA,AH$4,Datos_items!$E:$E,Analisis_grupo!$C$4))</f>
        <v/>
      </c>
      <c r="AI290" s="2" t="str">
        <f aca="false">IF($B290="","",COUNTIFS(Datos_items!$B:$B,$B290,Datos_items!$AA:$AA,AI$4,Datos_items!$E:$E,Analisis_grupo!$C$4))</f>
        <v/>
      </c>
      <c r="AJ290" s="2" t="str">
        <f aca="false">IF($B290="","",COUNTIFS(Datos_items!$B:$B,$B290,Datos_items!$AA:$AA,AJ$4,Datos_items!$E:$E,Analisis_grupo!$C$4))</f>
        <v/>
      </c>
      <c r="AK290" s="2" t="str">
        <f aca="false">IF($B290="","",COUNTIFS(Datos_items!$B:$B,$B290,Datos_items!$AA:$AA,AK$4,Datos_items!$E:$E,Analisis_grupo!$C$4))</f>
        <v/>
      </c>
      <c r="AL290" s="2" t="str">
        <f aca="false">IF($B290="","",COUNTIFS(Datos_items!$B:$B,$B290,Datos_items!$AA:$AA,AL$4,Datos_items!$E:$E,Analisis_grupo!$C$4))</f>
        <v/>
      </c>
      <c r="AM290" s="2" t="str">
        <f aca="false">IF($B290="","",IF(MAX(Y290:AL290)=0,"",INDEX($Y$4:$AL$4,MATCH(MAX(Y290:AL290),Y290:AL290,0))))</f>
        <v/>
      </c>
      <c r="AN290" s="2" t="str">
        <f aca="false">IF($B290="","",COUNTIFS(Datos_problemas!$B:$B,$B290,Datos_problemas!$F:$F,"Práctica"))</f>
        <v/>
      </c>
      <c r="AO290" s="2" t="str">
        <f aca="false">IF($B290="","",SUMIFS(Datos_problemas!$AQ:$AQ,Datos_problemas!$B:$B,$B290,Datos_problemas!$F:$F,"Práctica"))</f>
        <v/>
      </c>
      <c r="AP290" s="2" t="str">
        <f aca="false">IF($B290="","",COUNTIFS(Datos_problemas!$B:$B,$B290,Datos_problemas!$F:$F,"Práctica",Datos_problemas!$AS:$AS,"Sí"))</f>
        <v/>
      </c>
    </row>
    <row r="291" customFormat="false" ht="15" hidden="false" customHeight="false" outlineLevel="0" collapsed="false">
      <c r="A291" s="2" t="n">
        <v>287</v>
      </c>
      <c r="B291" s="2" t="str">
        <f aca="false">IFERROR(INDEX(Datos_problemas!$B:$B,MATCH($A291,Datos_problemas!$AV:$AV,0)),"")</f>
        <v/>
      </c>
      <c r="C291" s="2" t="str">
        <f aca="false">IF($B291="","",INDEX(Datos_problemas!$C:$C,MATCH($A291,Datos_problemas!$AV:$AV,0)))</f>
        <v/>
      </c>
      <c r="D291" s="2" t="str">
        <f aca="false">IF($B291="","",INDEX(Datos_problemas!$D:$D,MATCH($A291,Datos_problemas!$AV:$AV,0)))</f>
        <v/>
      </c>
      <c r="E291" s="2" t="str">
        <f aca="false">IF($B291="","",COUNTIFS(Datos_problemas!$B:$B,$B291,Datos_problemas!$F:$F,"Evaluación"))</f>
        <v/>
      </c>
      <c r="F291" s="20" t="str">
        <f aca="false">IF($B291="","",IFERROR(AVERAGEIFS(Datos_problemas!$AE:$AE,Datos_problemas!$B:$B,$B291,Datos_problemas!$F:$F,"Evaluación"),""))</f>
        <v/>
      </c>
      <c r="G291" s="20" t="str">
        <f aca="false">IF($B291="","",IFERROR(AVERAGEIFS(Datos_problemas!$AE:$AE,Datos_problemas!$B:$B,$B291,Datos_problemas!$F:$F,"Evaluación",Datos_problemas!$E:$E,"Diagnóstico"),""))</f>
        <v/>
      </c>
      <c r="H291" s="20" t="str">
        <f aca="false">IF($B291="","",IFERROR(AVERAGEIFS(Datos_problemas!$AE:$AE,Datos_problemas!$B:$B,$B291,Datos_problemas!$F:$F,"Evaluación",Datos_problemas!$E:$E,"Final"),""))</f>
        <v/>
      </c>
      <c r="I291" s="21" t="str">
        <f aca="false">IF(OR(G291="",H291=""),"",IF(G291&gt;=10,"",(H291-G291)/(10-G291)))</f>
        <v/>
      </c>
      <c r="J291" s="18" t="str">
        <f aca="false">IF($B291="","",IFERROR(SUMIFS(Datos_items!$Z:$Z,Datos_items!$B:$B,$B291,Datos_items!$O:$O,J$4,Datos_items!$E:$E,Analisis_grupo!$C$4)/COUNTIFS(Datos_items!$B:$B,$B291,Datos_items!$O:$O,J$4,Datos_items!$E:$E,Analisis_grupo!$C$4),""))</f>
        <v/>
      </c>
      <c r="K291" s="18" t="str">
        <f aca="false">IF($B291="","",IFERROR(SUMIFS(Datos_items!$Z:$Z,Datos_items!$B:$B,$B291,Datos_items!$O:$O,K$4,Datos_items!$E:$E,Analisis_grupo!$C$4)/COUNTIFS(Datos_items!$B:$B,$B291,Datos_items!$O:$O,K$4,Datos_items!$E:$E,Analisis_grupo!$C$4),""))</f>
        <v/>
      </c>
      <c r="L291" s="18" t="str">
        <f aca="false">IF($B291="","",IFERROR(SUMIFS(Datos_items!$Z:$Z,Datos_items!$B:$B,$B291,Datos_items!$O:$O,L$4,Datos_items!$E:$E,Analisis_grupo!$C$4)/COUNTIFS(Datos_items!$B:$B,$B291,Datos_items!$O:$O,L$4,Datos_items!$E:$E,Analisis_grupo!$C$4),""))</f>
        <v/>
      </c>
      <c r="M291" s="18" t="str">
        <f aca="false">IF($B291="","",IFERROR(SUMIFS(Datos_items!$Z:$Z,Datos_items!$B:$B,$B291,Datos_items!$O:$O,M$4,Datos_items!$E:$E,Analisis_grupo!$C$4)/COUNTIFS(Datos_items!$B:$B,$B291,Datos_items!$O:$O,M$4,Datos_items!$E:$E,Analisis_grupo!$C$4),""))</f>
        <v/>
      </c>
      <c r="N291" s="18" t="str">
        <f aca="false">IF($B291="","",IFERROR(SUMIFS(Datos_items!$Z:$Z,Datos_items!$B:$B,$B291,Datos_items!$O:$O,N$4,Datos_items!$E:$E,Analisis_grupo!$C$4)/COUNTIFS(Datos_items!$B:$B,$B291,Datos_items!$O:$O,N$4,Datos_items!$E:$E,Analisis_grupo!$C$4),""))</f>
        <v/>
      </c>
      <c r="O291" s="18" t="str">
        <f aca="false">IF($B291="","",IFERROR(SUMIFS(Datos_items!$Z:$Z,Datos_items!$B:$B,$B291,Datos_items!$O:$O,O$4,Datos_items!$E:$E,Analisis_grupo!$C$4)/COUNTIFS(Datos_items!$B:$B,$B291,Datos_items!$O:$O,O$4,Datos_items!$E:$E,Analisis_grupo!$C$4),""))</f>
        <v/>
      </c>
      <c r="P291" s="18" t="str">
        <f aca="false">IF($B291="","",IFERROR(SUMIFS(Datos_items!$Z:$Z,Datos_items!$B:$B,$B291,Datos_items!$O:$O,P$4,Datos_items!$E:$E,Analisis_grupo!$C$4)/COUNTIFS(Datos_items!$B:$B,$B291,Datos_items!$O:$O,P$4,Datos_items!$E:$E,Analisis_grupo!$C$4),""))</f>
        <v/>
      </c>
      <c r="Q291" s="18" t="str">
        <f aca="false">IF($B291="","",IFERROR(SUMIFS(Datos_items!$Z:$Z,Datos_items!$B:$B,$B291,Datos_items!$O:$O,Q$4,Datos_items!$E:$E,Analisis_grupo!$C$4)/COUNTIFS(Datos_items!$B:$B,$B291,Datos_items!$O:$O,Q$4,Datos_items!$E:$E,Analisis_grupo!$C$4),""))</f>
        <v/>
      </c>
      <c r="R291" s="2" t="str">
        <f aca="false">IF(COUNT(J291:Q291)=0,"",IF(MIN(J291:Q291)&gt;=Analisis_grupo!$B$7,"(ninguna)",INDEX($J$4:$Q$4,MATCH(MIN(J291:Q291),J291:Q291,0))))</f>
        <v/>
      </c>
      <c r="S291" s="2" t="str">
        <f aca="false">IF($B291="","",COUNTIF(J291:Q291,"&lt;"&amp;Analisis_grupo!$B$7))</f>
        <v/>
      </c>
      <c r="T291" s="2" t="str">
        <f aca="false">IF($B291="","",COUNTIFS(Datos_items!$B:$B,$B291,Datos_items!$AA:$AA,T$4,Datos_items!$E:$E,Analisis_grupo!$C$4))</f>
        <v/>
      </c>
      <c r="U291" s="2" t="str">
        <f aca="false">IF($B291="","",COUNTIFS(Datos_items!$B:$B,$B291,Datos_items!$AA:$AA,U$4,Datos_items!$E:$E,Analisis_grupo!$C$4))</f>
        <v/>
      </c>
      <c r="V291" s="2" t="str">
        <f aca="false">IF($B291="","",COUNTIFS(Datos_items!$B:$B,$B291,Datos_items!$AA:$AA,V$4,Datos_items!$E:$E,Analisis_grupo!$C$4))</f>
        <v/>
      </c>
      <c r="W291" s="2" t="str">
        <f aca="false">IF($B291="","",COUNTIFS(Datos_items!$B:$B,$B291,Datos_items!$AA:$AA,W$4,Datos_items!$E:$E,Analisis_grupo!$C$4))</f>
        <v/>
      </c>
      <c r="X291" s="2" t="str">
        <f aca="false">IF($B291="","",COUNTIFS(Datos_items!$B:$B,$B291,Datos_items!$AA:$AA,X$4,Datos_items!$E:$E,Analisis_grupo!$C$4))</f>
        <v/>
      </c>
      <c r="Y291" s="2" t="str">
        <f aca="false">IF($B291="","",COUNTIFS(Datos_items!$B:$B,$B291,Datos_items!$AA:$AA,Y$4,Datos_items!$E:$E,Analisis_grupo!$C$4))</f>
        <v/>
      </c>
      <c r="Z291" s="2" t="str">
        <f aca="false">IF($B291="","",COUNTIFS(Datos_items!$B:$B,$B291,Datos_items!$AA:$AA,Z$4,Datos_items!$E:$E,Analisis_grupo!$C$4))</f>
        <v/>
      </c>
      <c r="AA291" s="2" t="str">
        <f aca="false">IF($B291="","",COUNTIFS(Datos_items!$B:$B,$B291,Datos_items!$AA:$AA,AA$4,Datos_items!$E:$E,Analisis_grupo!$C$4))</f>
        <v/>
      </c>
      <c r="AB291" s="2" t="str">
        <f aca="false">IF($B291="","",COUNTIFS(Datos_items!$B:$B,$B291,Datos_items!$AA:$AA,AB$4,Datos_items!$E:$E,Analisis_grupo!$C$4))</f>
        <v/>
      </c>
      <c r="AC291" s="2" t="str">
        <f aca="false">IF($B291="","",COUNTIFS(Datos_items!$B:$B,$B291,Datos_items!$AA:$AA,AC$4,Datos_items!$E:$E,Analisis_grupo!$C$4))</f>
        <v/>
      </c>
      <c r="AD291" s="2" t="str">
        <f aca="false">IF($B291="","",COUNTIFS(Datos_items!$B:$B,$B291,Datos_items!$AA:$AA,AD$4,Datos_items!$E:$E,Analisis_grupo!$C$4))</f>
        <v/>
      </c>
      <c r="AE291" s="2" t="str">
        <f aca="false">IF($B291="","",COUNTIFS(Datos_items!$B:$B,$B291,Datos_items!$AA:$AA,AE$4,Datos_items!$E:$E,Analisis_grupo!$C$4))</f>
        <v/>
      </c>
      <c r="AF291" s="2" t="str">
        <f aca="false">IF($B291="","",COUNTIFS(Datos_items!$B:$B,$B291,Datos_items!$AA:$AA,AF$4,Datos_items!$E:$E,Analisis_grupo!$C$4))</f>
        <v/>
      </c>
      <c r="AG291" s="2" t="str">
        <f aca="false">IF($B291="","",COUNTIFS(Datos_items!$B:$B,$B291,Datos_items!$AA:$AA,AG$4,Datos_items!$E:$E,Analisis_grupo!$C$4))</f>
        <v/>
      </c>
      <c r="AH291" s="2" t="str">
        <f aca="false">IF($B291="","",COUNTIFS(Datos_items!$B:$B,$B291,Datos_items!$AA:$AA,AH$4,Datos_items!$E:$E,Analisis_grupo!$C$4))</f>
        <v/>
      </c>
      <c r="AI291" s="2" t="str">
        <f aca="false">IF($B291="","",COUNTIFS(Datos_items!$B:$B,$B291,Datos_items!$AA:$AA,AI$4,Datos_items!$E:$E,Analisis_grupo!$C$4))</f>
        <v/>
      </c>
      <c r="AJ291" s="2" t="str">
        <f aca="false">IF($B291="","",COUNTIFS(Datos_items!$B:$B,$B291,Datos_items!$AA:$AA,AJ$4,Datos_items!$E:$E,Analisis_grupo!$C$4))</f>
        <v/>
      </c>
      <c r="AK291" s="2" t="str">
        <f aca="false">IF($B291="","",COUNTIFS(Datos_items!$B:$B,$B291,Datos_items!$AA:$AA,AK$4,Datos_items!$E:$E,Analisis_grupo!$C$4))</f>
        <v/>
      </c>
      <c r="AL291" s="2" t="str">
        <f aca="false">IF($B291="","",COUNTIFS(Datos_items!$B:$B,$B291,Datos_items!$AA:$AA,AL$4,Datos_items!$E:$E,Analisis_grupo!$C$4))</f>
        <v/>
      </c>
      <c r="AM291" s="2" t="str">
        <f aca="false">IF($B291="","",IF(MAX(Y291:AL291)=0,"",INDEX($Y$4:$AL$4,MATCH(MAX(Y291:AL291),Y291:AL291,0))))</f>
        <v/>
      </c>
      <c r="AN291" s="2" t="str">
        <f aca="false">IF($B291="","",COUNTIFS(Datos_problemas!$B:$B,$B291,Datos_problemas!$F:$F,"Práctica"))</f>
        <v/>
      </c>
      <c r="AO291" s="2" t="str">
        <f aca="false">IF($B291="","",SUMIFS(Datos_problemas!$AQ:$AQ,Datos_problemas!$B:$B,$B291,Datos_problemas!$F:$F,"Práctica"))</f>
        <v/>
      </c>
      <c r="AP291" s="2" t="str">
        <f aca="false">IF($B291="","",COUNTIFS(Datos_problemas!$B:$B,$B291,Datos_problemas!$F:$F,"Práctica",Datos_problemas!$AS:$AS,"Sí"))</f>
        <v/>
      </c>
    </row>
    <row r="292" customFormat="false" ht="15" hidden="false" customHeight="false" outlineLevel="0" collapsed="false">
      <c r="A292" s="2" t="n">
        <v>288</v>
      </c>
      <c r="B292" s="2" t="str">
        <f aca="false">IFERROR(INDEX(Datos_problemas!$B:$B,MATCH($A292,Datos_problemas!$AV:$AV,0)),"")</f>
        <v/>
      </c>
      <c r="C292" s="2" t="str">
        <f aca="false">IF($B292="","",INDEX(Datos_problemas!$C:$C,MATCH($A292,Datos_problemas!$AV:$AV,0)))</f>
        <v/>
      </c>
      <c r="D292" s="2" t="str">
        <f aca="false">IF($B292="","",INDEX(Datos_problemas!$D:$D,MATCH($A292,Datos_problemas!$AV:$AV,0)))</f>
        <v/>
      </c>
      <c r="E292" s="2" t="str">
        <f aca="false">IF($B292="","",COUNTIFS(Datos_problemas!$B:$B,$B292,Datos_problemas!$F:$F,"Evaluación"))</f>
        <v/>
      </c>
      <c r="F292" s="20" t="str">
        <f aca="false">IF($B292="","",IFERROR(AVERAGEIFS(Datos_problemas!$AE:$AE,Datos_problemas!$B:$B,$B292,Datos_problemas!$F:$F,"Evaluación"),""))</f>
        <v/>
      </c>
      <c r="G292" s="20" t="str">
        <f aca="false">IF($B292="","",IFERROR(AVERAGEIFS(Datos_problemas!$AE:$AE,Datos_problemas!$B:$B,$B292,Datos_problemas!$F:$F,"Evaluación",Datos_problemas!$E:$E,"Diagnóstico"),""))</f>
        <v/>
      </c>
      <c r="H292" s="20" t="str">
        <f aca="false">IF($B292="","",IFERROR(AVERAGEIFS(Datos_problemas!$AE:$AE,Datos_problemas!$B:$B,$B292,Datos_problemas!$F:$F,"Evaluación",Datos_problemas!$E:$E,"Final"),""))</f>
        <v/>
      </c>
      <c r="I292" s="21" t="str">
        <f aca="false">IF(OR(G292="",H292=""),"",IF(G292&gt;=10,"",(H292-G292)/(10-G292)))</f>
        <v/>
      </c>
      <c r="J292" s="18" t="str">
        <f aca="false">IF($B292="","",IFERROR(SUMIFS(Datos_items!$Z:$Z,Datos_items!$B:$B,$B292,Datos_items!$O:$O,J$4,Datos_items!$E:$E,Analisis_grupo!$C$4)/COUNTIFS(Datos_items!$B:$B,$B292,Datos_items!$O:$O,J$4,Datos_items!$E:$E,Analisis_grupo!$C$4),""))</f>
        <v/>
      </c>
      <c r="K292" s="18" t="str">
        <f aca="false">IF($B292="","",IFERROR(SUMIFS(Datos_items!$Z:$Z,Datos_items!$B:$B,$B292,Datos_items!$O:$O,K$4,Datos_items!$E:$E,Analisis_grupo!$C$4)/COUNTIFS(Datos_items!$B:$B,$B292,Datos_items!$O:$O,K$4,Datos_items!$E:$E,Analisis_grupo!$C$4),""))</f>
        <v/>
      </c>
      <c r="L292" s="18" t="str">
        <f aca="false">IF($B292="","",IFERROR(SUMIFS(Datos_items!$Z:$Z,Datos_items!$B:$B,$B292,Datos_items!$O:$O,L$4,Datos_items!$E:$E,Analisis_grupo!$C$4)/COUNTIFS(Datos_items!$B:$B,$B292,Datos_items!$O:$O,L$4,Datos_items!$E:$E,Analisis_grupo!$C$4),""))</f>
        <v/>
      </c>
      <c r="M292" s="18" t="str">
        <f aca="false">IF($B292="","",IFERROR(SUMIFS(Datos_items!$Z:$Z,Datos_items!$B:$B,$B292,Datos_items!$O:$O,M$4,Datos_items!$E:$E,Analisis_grupo!$C$4)/COUNTIFS(Datos_items!$B:$B,$B292,Datos_items!$O:$O,M$4,Datos_items!$E:$E,Analisis_grupo!$C$4),""))</f>
        <v/>
      </c>
      <c r="N292" s="18" t="str">
        <f aca="false">IF($B292="","",IFERROR(SUMIFS(Datos_items!$Z:$Z,Datos_items!$B:$B,$B292,Datos_items!$O:$O,N$4,Datos_items!$E:$E,Analisis_grupo!$C$4)/COUNTIFS(Datos_items!$B:$B,$B292,Datos_items!$O:$O,N$4,Datos_items!$E:$E,Analisis_grupo!$C$4),""))</f>
        <v/>
      </c>
      <c r="O292" s="18" t="str">
        <f aca="false">IF($B292="","",IFERROR(SUMIFS(Datos_items!$Z:$Z,Datos_items!$B:$B,$B292,Datos_items!$O:$O,O$4,Datos_items!$E:$E,Analisis_grupo!$C$4)/COUNTIFS(Datos_items!$B:$B,$B292,Datos_items!$O:$O,O$4,Datos_items!$E:$E,Analisis_grupo!$C$4),""))</f>
        <v/>
      </c>
      <c r="P292" s="18" t="str">
        <f aca="false">IF($B292="","",IFERROR(SUMIFS(Datos_items!$Z:$Z,Datos_items!$B:$B,$B292,Datos_items!$O:$O,P$4,Datos_items!$E:$E,Analisis_grupo!$C$4)/COUNTIFS(Datos_items!$B:$B,$B292,Datos_items!$O:$O,P$4,Datos_items!$E:$E,Analisis_grupo!$C$4),""))</f>
        <v/>
      </c>
      <c r="Q292" s="18" t="str">
        <f aca="false">IF($B292="","",IFERROR(SUMIFS(Datos_items!$Z:$Z,Datos_items!$B:$B,$B292,Datos_items!$O:$O,Q$4,Datos_items!$E:$E,Analisis_grupo!$C$4)/COUNTIFS(Datos_items!$B:$B,$B292,Datos_items!$O:$O,Q$4,Datos_items!$E:$E,Analisis_grupo!$C$4),""))</f>
        <v/>
      </c>
      <c r="R292" s="2" t="str">
        <f aca="false">IF(COUNT(J292:Q292)=0,"",IF(MIN(J292:Q292)&gt;=Analisis_grupo!$B$7,"(ninguna)",INDEX($J$4:$Q$4,MATCH(MIN(J292:Q292),J292:Q292,0))))</f>
        <v/>
      </c>
      <c r="S292" s="2" t="str">
        <f aca="false">IF($B292="","",COUNTIF(J292:Q292,"&lt;"&amp;Analisis_grupo!$B$7))</f>
        <v/>
      </c>
      <c r="T292" s="2" t="str">
        <f aca="false">IF($B292="","",COUNTIFS(Datos_items!$B:$B,$B292,Datos_items!$AA:$AA,T$4,Datos_items!$E:$E,Analisis_grupo!$C$4))</f>
        <v/>
      </c>
      <c r="U292" s="2" t="str">
        <f aca="false">IF($B292="","",COUNTIFS(Datos_items!$B:$B,$B292,Datos_items!$AA:$AA,U$4,Datos_items!$E:$E,Analisis_grupo!$C$4))</f>
        <v/>
      </c>
      <c r="V292" s="2" t="str">
        <f aca="false">IF($B292="","",COUNTIFS(Datos_items!$B:$B,$B292,Datos_items!$AA:$AA,V$4,Datos_items!$E:$E,Analisis_grupo!$C$4))</f>
        <v/>
      </c>
      <c r="W292" s="2" t="str">
        <f aca="false">IF($B292="","",COUNTIFS(Datos_items!$B:$B,$B292,Datos_items!$AA:$AA,W$4,Datos_items!$E:$E,Analisis_grupo!$C$4))</f>
        <v/>
      </c>
      <c r="X292" s="2" t="str">
        <f aca="false">IF($B292="","",COUNTIFS(Datos_items!$B:$B,$B292,Datos_items!$AA:$AA,X$4,Datos_items!$E:$E,Analisis_grupo!$C$4))</f>
        <v/>
      </c>
      <c r="Y292" s="2" t="str">
        <f aca="false">IF($B292="","",COUNTIFS(Datos_items!$B:$B,$B292,Datos_items!$AA:$AA,Y$4,Datos_items!$E:$E,Analisis_grupo!$C$4))</f>
        <v/>
      </c>
      <c r="Z292" s="2" t="str">
        <f aca="false">IF($B292="","",COUNTIFS(Datos_items!$B:$B,$B292,Datos_items!$AA:$AA,Z$4,Datos_items!$E:$E,Analisis_grupo!$C$4))</f>
        <v/>
      </c>
      <c r="AA292" s="2" t="str">
        <f aca="false">IF($B292="","",COUNTIFS(Datos_items!$B:$B,$B292,Datos_items!$AA:$AA,AA$4,Datos_items!$E:$E,Analisis_grupo!$C$4))</f>
        <v/>
      </c>
      <c r="AB292" s="2" t="str">
        <f aca="false">IF($B292="","",COUNTIFS(Datos_items!$B:$B,$B292,Datos_items!$AA:$AA,AB$4,Datos_items!$E:$E,Analisis_grupo!$C$4))</f>
        <v/>
      </c>
      <c r="AC292" s="2" t="str">
        <f aca="false">IF($B292="","",COUNTIFS(Datos_items!$B:$B,$B292,Datos_items!$AA:$AA,AC$4,Datos_items!$E:$E,Analisis_grupo!$C$4))</f>
        <v/>
      </c>
      <c r="AD292" s="2" t="str">
        <f aca="false">IF($B292="","",COUNTIFS(Datos_items!$B:$B,$B292,Datos_items!$AA:$AA,AD$4,Datos_items!$E:$E,Analisis_grupo!$C$4))</f>
        <v/>
      </c>
      <c r="AE292" s="2" t="str">
        <f aca="false">IF($B292="","",COUNTIFS(Datos_items!$B:$B,$B292,Datos_items!$AA:$AA,AE$4,Datos_items!$E:$E,Analisis_grupo!$C$4))</f>
        <v/>
      </c>
      <c r="AF292" s="2" t="str">
        <f aca="false">IF($B292="","",COUNTIFS(Datos_items!$B:$B,$B292,Datos_items!$AA:$AA,AF$4,Datos_items!$E:$E,Analisis_grupo!$C$4))</f>
        <v/>
      </c>
      <c r="AG292" s="2" t="str">
        <f aca="false">IF($B292="","",COUNTIFS(Datos_items!$B:$B,$B292,Datos_items!$AA:$AA,AG$4,Datos_items!$E:$E,Analisis_grupo!$C$4))</f>
        <v/>
      </c>
      <c r="AH292" s="2" t="str">
        <f aca="false">IF($B292="","",COUNTIFS(Datos_items!$B:$B,$B292,Datos_items!$AA:$AA,AH$4,Datos_items!$E:$E,Analisis_grupo!$C$4))</f>
        <v/>
      </c>
      <c r="AI292" s="2" t="str">
        <f aca="false">IF($B292="","",COUNTIFS(Datos_items!$B:$B,$B292,Datos_items!$AA:$AA,AI$4,Datos_items!$E:$E,Analisis_grupo!$C$4))</f>
        <v/>
      </c>
      <c r="AJ292" s="2" t="str">
        <f aca="false">IF($B292="","",COUNTIFS(Datos_items!$B:$B,$B292,Datos_items!$AA:$AA,AJ$4,Datos_items!$E:$E,Analisis_grupo!$C$4))</f>
        <v/>
      </c>
      <c r="AK292" s="2" t="str">
        <f aca="false">IF($B292="","",COUNTIFS(Datos_items!$B:$B,$B292,Datos_items!$AA:$AA,AK$4,Datos_items!$E:$E,Analisis_grupo!$C$4))</f>
        <v/>
      </c>
      <c r="AL292" s="2" t="str">
        <f aca="false">IF($B292="","",COUNTIFS(Datos_items!$B:$B,$B292,Datos_items!$AA:$AA,AL$4,Datos_items!$E:$E,Analisis_grupo!$C$4))</f>
        <v/>
      </c>
      <c r="AM292" s="2" t="str">
        <f aca="false">IF($B292="","",IF(MAX(Y292:AL292)=0,"",INDEX($Y$4:$AL$4,MATCH(MAX(Y292:AL292),Y292:AL292,0))))</f>
        <v/>
      </c>
      <c r="AN292" s="2" t="str">
        <f aca="false">IF($B292="","",COUNTIFS(Datos_problemas!$B:$B,$B292,Datos_problemas!$F:$F,"Práctica"))</f>
        <v/>
      </c>
      <c r="AO292" s="2" t="str">
        <f aca="false">IF($B292="","",SUMIFS(Datos_problemas!$AQ:$AQ,Datos_problemas!$B:$B,$B292,Datos_problemas!$F:$F,"Práctica"))</f>
        <v/>
      </c>
      <c r="AP292" s="2" t="str">
        <f aca="false">IF($B292="","",COUNTIFS(Datos_problemas!$B:$B,$B292,Datos_problemas!$F:$F,"Práctica",Datos_problemas!$AS:$AS,"Sí"))</f>
        <v/>
      </c>
    </row>
    <row r="293" customFormat="false" ht="15" hidden="false" customHeight="false" outlineLevel="0" collapsed="false">
      <c r="A293" s="2" t="n">
        <v>289</v>
      </c>
      <c r="B293" s="2" t="str">
        <f aca="false">IFERROR(INDEX(Datos_problemas!$B:$B,MATCH($A293,Datos_problemas!$AV:$AV,0)),"")</f>
        <v/>
      </c>
      <c r="C293" s="2" t="str">
        <f aca="false">IF($B293="","",INDEX(Datos_problemas!$C:$C,MATCH($A293,Datos_problemas!$AV:$AV,0)))</f>
        <v/>
      </c>
      <c r="D293" s="2" t="str">
        <f aca="false">IF($B293="","",INDEX(Datos_problemas!$D:$D,MATCH($A293,Datos_problemas!$AV:$AV,0)))</f>
        <v/>
      </c>
      <c r="E293" s="2" t="str">
        <f aca="false">IF($B293="","",COUNTIFS(Datos_problemas!$B:$B,$B293,Datos_problemas!$F:$F,"Evaluación"))</f>
        <v/>
      </c>
      <c r="F293" s="20" t="str">
        <f aca="false">IF($B293="","",IFERROR(AVERAGEIFS(Datos_problemas!$AE:$AE,Datos_problemas!$B:$B,$B293,Datos_problemas!$F:$F,"Evaluación"),""))</f>
        <v/>
      </c>
      <c r="G293" s="20" t="str">
        <f aca="false">IF($B293="","",IFERROR(AVERAGEIFS(Datos_problemas!$AE:$AE,Datos_problemas!$B:$B,$B293,Datos_problemas!$F:$F,"Evaluación",Datos_problemas!$E:$E,"Diagnóstico"),""))</f>
        <v/>
      </c>
      <c r="H293" s="20" t="str">
        <f aca="false">IF($B293="","",IFERROR(AVERAGEIFS(Datos_problemas!$AE:$AE,Datos_problemas!$B:$B,$B293,Datos_problemas!$F:$F,"Evaluación",Datos_problemas!$E:$E,"Final"),""))</f>
        <v/>
      </c>
      <c r="I293" s="21" t="str">
        <f aca="false">IF(OR(G293="",H293=""),"",IF(G293&gt;=10,"",(H293-G293)/(10-G293)))</f>
        <v/>
      </c>
      <c r="J293" s="18" t="str">
        <f aca="false">IF($B293="","",IFERROR(SUMIFS(Datos_items!$Z:$Z,Datos_items!$B:$B,$B293,Datos_items!$O:$O,J$4,Datos_items!$E:$E,Analisis_grupo!$C$4)/COUNTIFS(Datos_items!$B:$B,$B293,Datos_items!$O:$O,J$4,Datos_items!$E:$E,Analisis_grupo!$C$4),""))</f>
        <v/>
      </c>
      <c r="K293" s="18" t="str">
        <f aca="false">IF($B293="","",IFERROR(SUMIFS(Datos_items!$Z:$Z,Datos_items!$B:$B,$B293,Datos_items!$O:$O,K$4,Datos_items!$E:$E,Analisis_grupo!$C$4)/COUNTIFS(Datos_items!$B:$B,$B293,Datos_items!$O:$O,K$4,Datos_items!$E:$E,Analisis_grupo!$C$4),""))</f>
        <v/>
      </c>
      <c r="L293" s="18" t="str">
        <f aca="false">IF($B293="","",IFERROR(SUMIFS(Datos_items!$Z:$Z,Datos_items!$B:$B,$B293,Datos_items!$O:$O,L$4,Datos_items!$E:$E,Analisis_grupo!$C$4)/COUNTIFS(Datos_items!$B:$B,$B293,Datos_items!$O:$O,L$4,Datos_items!$E:$E,Analisis_grupo!$C$4),""))</f>
        <v/>
      </c>
      <c r="M293" s="18" t="str">
        <f aca="false">IF($B293="","",IFERROR(SUMIFS(Datos_items!$Z:$Z,Datos_items!$B:$B,$B293,Datos_items!$O:$O,M$4,Datos_items!$E:$E,Analisis_grupo!$C$4)/COUNTIFS(Datos_items!$B:$B,$B293,Datos_items!$O:$O,M$4,Datos_items!$E:$E,Analisis_grupo!$C$4),""))</f>
        <v/>
      </c>
      <c r="N293" s="18" t="str">
        <f aca="false">IF($B293="","",IFERROR(SUMIFS(Datos_items!$Z:$Z,Datos_items!$B:$B,$B293,Datos_items!$O:$O,N$4,Datos_items!$E:$E,Analisis_grupo!$C$4)/COUNTIFS(Datos_items!$B:$B,$B293,Datos_items!$O:$O,N$4,Datos_items!$E:$E,Analisis_grupo!$C$4),""))</f>
        <v/>
      </c>
      <c r="O293" s="18" t="str">
        <f aca="false">IF($B293="","",IFERROR(SUMIFS(Datos_items!$Z:$Z,Datos_items!$B:$B,$B293,Datos_items!$O:$O,O$4,Datos_items!$E:$E,Analisis_grupo!$C$4)/COUNTIFS(Datos_items!$B:$B,$B293,Datos_items!$O:$O,O$4,Datos_items!$E:$E,Analisis_grupo!$C$4),""))</f>
        <v/>
      </c>
      <c r="P293" s="18" t="str">
        <f aca="false">IF($B293="","",IFERROR(SUMIFS(Datos_items!$Z:$Z,Datos_items!$B:$B,$B293,Datos_items!$O:$O,P$4,Datos_items!$E:$E,Analisis_grupo!$C$4)/COUNTIFS(Datos_items!$B:$B,$B293,Datos_items!$O:$O,P$4,Datos_items!$E:$E,Analisis_grupo!$C$4),""))</f>
        <v/>
      </c>
      <c r="Q293" s="18" t="str">
        <f aca="false">IF($B293="","",IFERROR(SUMIFS(Datos_items!$Z:$Z,Datos_items!$B:$B,$B293,Datos_items!$O:$O,Q$4,Datos_items!$E:$E,Analisis_grupo!$C$4)/COUNTIFS(Datos_items!$B:$B,$B293,Datos_items!$O:$O,Q$4,Datos_items!$E:$E,Analisis_grupo!$C$4),""))</f>
        <v/>
      </c>
      <c r="R293" s="2" t="str">
        <f aca="false">IF(COUNT(J293:Q293)=0,"",IF(MIN(J293:Q293)&gt;=Analisis_grupo!$B$7,"(ninguna)",INDEX($J$4:$Q$4,MATCH(MIN(J293:Q293),J293:Q293,0))))</f>
        <v/>
      </c>
      <c r="S293" s="2" t="str">
        <f aca="false">IF($B293="","",COUNTIF(J293:Q293,"&lt;"&amp;Analisis_grupo!$B$7))</f>
        <v/>
      </c>
      <c r="T293" s="2" t="str">
        <f aca="false">IF($B293="","",COUNTIFS(Datos_items!$B:$B,$B293,Datos_items!$AA:$AA,T$4,Datos_items!$E:$E,Analisis_grupo!$C$4))</f>
        <v/>
      </c>
      <c r="U293" s="2" t="str">
        <f aca="false">IF($B293="","",COUNTIFS(Datos_items!$B:$B,$B293,Datos_items!$AA:$AA,U$4,Datos_items!$E:$E,Analisis_grupo!$C$4))</f>
        <v/>
      </c>
      <c r="V293" s="2" t="str">
        <f aca="false">IF($B293="","",COUNTIFS(Datos_items!$B:$B,$B293,Datos_items!$AA:$AA,V$4,Datos_items!$E:$E,Analisis_grupo!$C$4))</f>
        <v/>
      </c>
      <c r="W293" s="2" t="str">
        <f aca="false">IF($B293="","",COUNTIFS(Datos_items!$B:$B,$B293,Datos_items!$AA:$AA,W$4,Datos_items!$E:$E,Analisis_grupo!$C$4))</f>
        <v/>
      </c>
      <c r="X293" s="2" t="str">
        <f aca="false">IF($B293="","",COUNTIFS(Datos_items!$B:$B,$B293,Datos_items!$AA:$AA,X$4,Datos_items!$E:$E,Analisis_grupo!$C$4))</f>
        <v/>
      </c>
      <c r="Y293" s="2" t="str">
        <f aca="false">IF($B293="","",COUNTIFS(Datos_items!$B:$B,$B293,Datos_items!$AA:$AA,Y$4,Datos_items!$E:$E,Analisis_grupo!$C$4))</f>
        <v/>
      </c>
      <c r="Z293" s="2" t="str">
        <f aca="false">IF($B293="","",COUNTIFS(Datos_items!$B:$B,$B293,Datos_items!$AA:$AA,Z$4,Datos_items!$E:$E,Analisis_grupo!$C$4))</f>
        <v/>
      </c>
      <c r="AA293" s="2" t="str">
        <f aca="false">IF($B293="","",COUNTIFS(Datos_items!$B:$B,$B293,Datos_items!$AA:$AA,AA$4,Datos_items!$E:$E,Analisis_grupo!$C$4))</f>
        <v/>
      </c>
      <c r="AB293" s="2" t="str">
        <f aca="false">IF($B293="","",COUNTIFS(Datos_items!$B:$B,$B293,Datos_items!$AA:$AA,AB$4,Datos_items!$E:$E,Analisis_grupo!$C$4))</f>
        <v/>
      </c>
      <c r="AC293" s="2" t="str">
        <f aca="false">IF($B293="","",COUNTIFS(Datos_items!$B:$B,$B293,Datos_items!$AA:$AA,AC$4,Datos_items!$E:$E,Analisis_grupo!$C$4))</f>
        <v/>
      </c>
      <c r="AD293" s="2" t="str">
        <f aca="false">IF($B293="","",COUNTIFS(Datos_items!$B:$B,$B293,Datos_items!$AA:$AA,AD$4,Datos_items!$E:$E,Analisis_grupo!$C$4))</f>
        <v/>
      </c>
      <c r="AE293" s="2" t="str">
        <f aca="false">IF($B293="","",COUNTIFS(Datos_items!$B:$B,$B293,Datos_items!$AA:$AA,AE$4,Datos_items!$E:$E,Analisis_grupo!$C$4))</f>
        <v/>
      </c>
      <c r="AF293" s="2" t="str">
        <f aca="false">IF($B293="","",COUNTIFS(Datos_items!$B:$B,$B293,Datos_items!$AA:$AA,AF$4,Datos_items!$E:$E,Analisis_grupo!$C$4))</f>
        <v/>
      </c>
      <c r="AG293" s="2" t="str">
        <f aca="false">IF($B293="","",COUNTIFS(Datos_items!$B:$B,$B293,Datos_items!$AA:$AA,AG$4,Datos_items!$E:$E,Analisis_grupo!$C$4))</f>
        <v/>
      </c>
      <c r="AH293" s="2" t="str">
        <f aca="false">IF($B293="","",COUNTIFS(Datos_items!$B:$B,$B293,Datos_items!$AA:$AA,AH$4,Datos_items!$E:$E,Analisis_grupo!$C$4))</f>
        <v/>
      </c>
      <c r="AI293" s="2" t="str">
        <f aca="false">IF($B293="","",COUNTIFS(Datos_items!$B:$B,$B293,Datos_items!$AA:$AA,AI$4,Datos_items!$E:$E,Analisis_grupo!$C$4))</f>
        <v/>
      </c>
      <c r="AJ293" s="2" t="str">
        <f aca="false">IF($B293="","",COUNTIFS(Datos_items!$B:$B,$B293,Datos_items!$AA:$AA,AJ$4,Datos_items!$E:$E,Analisis_grupo!$C$4))</f>
        <v/>
      </c>
      <c r="AK293" s="2" t="str">
        <f aca="false">IF($B293="","",COUNTIFS(Datos_items!$B:$B,$B293,Datos_items!$AA:$AA,AK$4,Datos_items!$E:$E,Analisis_grupo!$C$4))</f>
        <v/>
      </c>
      <c r="AL293" s="2" t="str">
        <f aca="false">IF($B293="","",COUNTIFS(Datos_items!$B:$B,$B293,Datos_items!$AA:$AA,AL$4,Datos_items!$E:$E,Analisis_grupo!$C$4))</f>
        <v/>
      </c>
      <c r="AM293" s="2" t="str">
        <f aca="false">IF($B293="","",IF(MAX(Y293:AL293)=0,"",INDEX($Y$4:$AL$4,MATCH(MAX(Y293:AL293),Y293:AL293,0))))</f>
        <v/>
      </c>
      <c r="AN293" s="2" t="str">
        <f aca="false">IF($B293="","",COUNTIFS(Datos_problemas!$B:$B,$B293,Datos_problemas!$F:$F,"Práctica"))</f>
        <v/>
      </c>
      <c r="AO293" s="2" t="str">
        <f aca="false">IF($B293="","",SUMIFS(Datos_problemas!$AQ:$AQ,Datos_problemas!$B:$B,$B293,Datos_problemas!$F:$F,"Práctica"))</f>
        <v/>
      </c>
      <c r="AP293" s="2" t="str">
        <f aca="false">IF($B293="","",COUNTIFS(Datos_problemas!$B:$B,$B293,Datos_problemas!$F:$F,"Práctica",Datos_problemas!$AS:$AS,"Sí"))</f>
        <v/>
      </c>
    </row>
    <row r="294" customFormat="false" ht="15" hidden="false" customHeight="false" outlineLevel="0" collapsed="false">
      <c r="A294" s="2" t="n">
        <v>290</v>
      </c>
      <c r="B294" s="2" t="str">
        <f aca="false">IFERROR(INDEX(Datos_problemas!$B:$B,MATCH($A294,Datos_problemas!$AV:$AV,0)),"")</f>
        <v/>
      </c>
      <c r="C294" s="2" t="str">
        <f aca="false">IF($B294="","",INDEX(Datos_problemas!$C:$C,MATCH($A294,Datos_problemas!$AV:$AV,0)))</f>
        <v/>
      </c>
      <c r="D294" s="2" t="str">
        <f aca="false">IF($B294="","",INDEX(Datos_problemas!$D:$D,MATCH($A294,Datos_problemas!$AV:$AV,0)))</f>
        <v/>
      </c>
      <c r="E294" s="2" t="str">
        <f aca="false">IF($B294="","",COUNTIFS(Datos_problemas!$B:$B,$B294,Datos_problemas!$F:$F,"Evaluación"))</f>
        <v/>
      </c>
      <c r="F294" s="20" t="str">
        <f aca="false">IF($B294="","",IFERROR(AVERAGEIFS(Datos_problemas!$AE:$AE,Datos_problemas!$B:$B,$B294,Datos_problemas!$F:$F,"Evaluación"),""))</f>
        <v/>
      </c>
      <c r="G294" s="20" t="str">
        <f aca="false">IF($B294="","",IFERROR(AVERAGEIFS(Datos_problemas!$AE:$AE,Datos_problemas!$B:$B,$B294,Datos_problemas!$F:$F,"Evaluación",Datos_problemas!$E:$E,"Diagnóstico"),""))</f>
        <v/>
      </c>
      <c r="H294" s="20" t="str">
        <f aca="false">IF($B294="","",IFERROR(AVERAGEIFS(Datos_problemas!$AE:$AE,Datos_problemas!$B:$B,$B294,Datos_problemas!$F:$F,"Evaluación",Datos_problemas!$E:$E,"Final"),""))</f>
        <v/>
      </c>
      <c r="I294" s="21" t="str">
        <f aca="false">IF(OR(G294="",H294=""),"",IF(G294&gt;=10,"",(H294-G294)/(10-G294)))</f>
        <v/>
      </c>
      <c r="J294" s="18" t="str">
        <f aca="false">IF($B294="","",IFERROR(SUMIFS(Datos_items!$Z:$Z,Datos_items!$B:$B,$B294,Datos_items!$O:$O,J$4,Datos_items!$E:$E,Analisis_grupo!$C$4)/COUNTIFS(Datos_items!$B:$B,$B294,Datos_items!$O:$O,J$4,Datos_items!$E:$E,Analisis_grupo!$C$4),""))</f>
        <v/>
      </c>
      <c r="K294" s="18" t="str">
        <f aca="false">IF($B294="","",IFERROR(SUMIFS(Datos_items!$Z:$Z,Datos_items!$B:$B,$B294,Datos_items!$O:$O,K$4,Datos_items!$E:$E,Analisis_grupo!$C$4)/COUNTIFS(Datos_items!$B:$B,$B294,Datos_items!$O:$O,K$4,Datos_items!$E:$E,Analisis_grupo!$C$4),""))</f>
        <v/>
      </c>
      <c r="L294" s="18" t="str">
        <f aca="false">IF($B294="","",IFERROR(SUMIFS(Datos_items!$Z:$Z,Datos_items!$B:$B,$B294,Datos_items!$O:$O,L$4,Datos_items!$E:$E,Analisis_grupo!$C$4)/COUNTIFS(Datos_items!$B:$B,$B294,Datos_items!$O:$O,L$4,Datos_items!$E:$E,Analisis_grupo!$C$4),""))</f>
        <v/>
      </c>
      <c r="M294" s="18" t="str">
        <f aca="false">IF($B294="","",IFERROR(SUMIFS(Datos_items!$Z:$Z,Datos_items!$B:$B,$B294,Datos_items!$O:$O,M$4,Datos_items!$E:$E,Analisis_grupo!$C$4)/COUNTIFS(Datos_items!$B:$B,$B294,Datos_items!$O:$O,M$4,Datos_items!$E:$E,Analisis_grupo!$C$4),""))</f>
        <v/>
      </c>
      <c r="N294" s="18" t="str">
        <f aca="false">IF($B294="","",IFERROR(SUMIFS(Datos_items!$Z:$Z,Datos_items!$B:$B,$B294,Datos_items!$O:$O,N$4,Datos_items!$E:$E,Analisis_grupo!$C$4)/COUNTIFS(Datos_items!$B:$B,$B294,Datos_items!$O:$O,N$4,Datos_items!$E:$E,Analisis_grupo!$C$4),""))</f>
        <v/>
      </c>
      <c r="O294" s="18" t="str">
        <f aca="false">IF($B294="","",IFERROR(SUMIFS(Datos_items!$Z:$Z,Datos_items!$B:$B,$B294,Datos_items!$O:$O,O$4,Datos_items!$E:$E,Analisis_grupo!$C$4)/COUNTIFS(Datos_items!$B:$B,$B294,Datos_items!$O:$O,O$4,Datos_items!$E:$E,Analisis_grupo!$C$4),""))</f>
        <v/>
      </c>
      <c r="P294" s="18" t="str">
        <f aca="false">IF($B294="","",IFERROR(SUMIFS(Datos_items!$Z:$Z,Datos_items!$B:$B,$B294,Datos_items!$O:$O,P$4,Datos_items!$E:$E,Analisis_grupo!$C$4)/COUNTIFS(Datos_items!$B:$B,$B294,Datos_items!$O:$O,P$4,Datos_items!$E:$E,Analisis_grupo!$C$4),""))</f>
        <v/>
      </c>
      <c r="Q294" s="18" t="str">
        <f aca="false">IF($B294="","",IFERROR(SUMIFS(Datos_items!$Z:$Z,Datos_items!$B:$B,$B294,Datos_items!$O:$O,Q$4,Datos_items!$E:$E,Analisis_grupo!$C$4)/COUNTIFS(Datos_items!$B:$B,$B294,Datos_items!$O:$O,Q$4,Datos_items!$E:$E,Analisis_grupo!$C$4),""))</f>
        <v/>
      </c>
      <c r="R294" s="2" t="str">
        <f aca="false">IF(COUNT(J294:Q294)=0,"",IF(MIN(J294:Q294)&gt;=Analisis_grupo!$B$7,"(ninguna)",INDEX($J$4:$Q$4,MATCH(MIN(J294:Q294),J294:Q294,0))))</f>
        <v/>
      </c>
      <c r="S294" s="2" t="str">
        <f aca="false">IF($B294="","",COUNTIF(J294:Q294,"&lt;"&amp;Analisis_grupo!$B$7))</f>
        <v/>
      </c>
      <c r="T294" s="2" t="str">
        <f aca="false">IF($B294="","",COUNTIFS(Datos_items!$B:$B,$B294,Datos_items!$AA:$AA,T$4,Datos_items!$E:$E,Analisis_grupo!$C$4))</f>
        <v/>
      </c>
      <c r="U294" s="2" t="str">
        <f aca="false">IF($B294="","",COUNTIFS(Datos_items!$B:$B,$B294,Datos_items!$AA:$AA,U$4,Datos_items!$E:$E,Analisis_grupo!$C$4))</f>
        <v/>
      </c>
      <c r="V294" s="2" t="str">
        <f aca="false">IF($B294="","",COUNTIFS(Datos_items!$B:$B,$B294,Datos_items!$AA:$AA,V$4,Datos_items!$E:$E,Analisis_grupo!$C$4))</f>
        <v/>
      </c>
      <c r="W294" s="2" t="str">
        <f aca="false">IF($B294="","",COUNTIFS(Datos_items!$B:$B,$B294,Datos_items!$AA:$AA,W$4,Datos_items!$E:$E,Analisis_grupo!$C$4))</f>
        <v/>
      </c>
      <c r="X294" s="2" t="str">
        <f aca="false">IF($B294="","",COUNTIFS(Datos_items!$B:$B,$B294,Datos_items!$AA:$AA,X$4,Datos_items!$E:$E,Analisis_grupo!$C$4))</f>
        <v/>
      </c>
      <c r="Y294" s="2" t="str">
        <f aca="false">IF($B294="","",COUNTIFS(Datos_items!$B:$B,$B294,Datos_items!$AA:$AA,Y$4,Datos_items!$E:$E,Analisis_grupo!$C$4))</f>
        <v/>
      </c>
      <c r="Z294" s="2" t="str">
        <f aca="false">IF($B294="","",COUNTIFS(Datos_items!$B:$B,$B294,Datos_items!$AA:$AA,Z$4,Datos_items!$E:$E,Analisis_grupo!$C$4))</f>
        <v/>
      </c>
      <c r="AA294" s="2" t="str">
        <f aca="false">IF($B294="","",COUNTIFS(Datos_items!$B:$B,$B294,Datos_items!$AA:$AA,AA$4,Datos_items!$E:$E,Analisis_grupo!$C$4))</f>
        <v/>
      </c>
      <c r="AB294" s="2" t="str">
        <f aca="false">IF($B294="","",COUNTIFS(Datos_items!$B:$B,$B294,Datos_items!$AA:$AA,AB$4,Datos_items!$E:$E,Analisis_grupo!$C$4))</f>
        <v/>
      </c>
      <c r="AC294" s="2" t="str">
        <f aca="false">IF($B294="","",COUNTIFS(Datos_items!$B:$B,$B294,Datos_items!$AA:$AA,AC$4,Datos_items!$E:$E,Analisis_grupo!$C$4))</f>
        <v/>
      </c>
      <c r="AD294" s="2" t="str">
        <f aca="false">IF($B294="","",COUNTIFS(Datos_items!$B:$B,$B294,Datos_items!$AA:$AA,AD$4,Datos_items!$E:$E,Analisis_grupo!$C$4))</f>
        <v/>
      </c>
      <c r="AE294" s="2" t="str">
        <f aca="false">IF($B294="","",COUNTIFS(Datos_items!$B:$B,$B294,Datos_items!$AA:$AA,AE$4,Datos_items!$E:$E,Analisis_grupo!$C$4))</f>
        <v/>
      </c>
      <c r="AF294" s="2" t="str">
        <f aca="false">IF($B294="","",COUNTIFS(Datos_items!$B:$B,$B294,Datos_items!$AA:$AA,AF$4,Datos_items!$E:$E,Analisis_grupo!$C$4))</f>
        <v/>
      </c>
      <c r="AG294" s="2" t="str">
        <f aca="false">IF($B294="","",COUNTIFS(Datos_items!$B:$B,$B294,Datos_items!$AA:$AA,AG$4,Datos_items!$E:$E,Analisis_grupo!$C$4))</f>
        <v/>
      </c>
      <c r="AH294" s="2" t="str">
        <f aca="false">IF($B294="","",COUNTIFS(Datos_items!$B:$B,$B294,Datos_items!$AA:$AA,AH$4,Datos_items!$E:$E,Analisis_grupo!$C$4))</f>
        <v/>
      </c>
      <c r="AI294" s="2" t="str">
        <f aca="false">IF($B294="","",COUNTIFS(Datos_items!$B:$B,$B294,Datos_items!$AA:$AA,AI$4,Datos_items!$E:$E,Analisis_grupo!$C$4))</f>
        <v/>
      </c>
      <c r="AJ294" s="2" t="str">
        <f aca="false">IF($B294="","",COUNTIFS(Datos_items!$B:$B,$B294,Datos_items!$AA:$AA,AJ$4,Datos_items!$E:$E,Analisis_grupo!$C$4))</f>
        <v/>
      </c>
      <c r="AK294" s="2" t="str">
        <f aca="false">IF($B294="","",COUNTIFS(Datos_items!$B:$B,$B294,Datos_items!$AA:$AA,AK$4,Datos_items!$E:$E,Analisis_grupo!$C$4))</f>
        <v/>
      </c>
      <c r="AL294" s="2" t="str">
        <f aca="false">IF($B294="","",COUNTIFS(Datos_items!$B:$B,$B294,Datos_items!$AA:$AA,AL$4,Datos_items!$E:$E,Analisis_grupo!$C$4))</f>
        <v/>
      </c>
      <c r="AM294" s="2" t="str">
        <f aca="false">IF($B294="","",IF(MAX(Y294:AL294)=0,"",INDEX($Y$4:$AL$4,MATCH(MAX(Y294:AL294),Y294:AL294,0))))</f>
        <v/>
      </c>
      <c r="AN294" s="2" t="str">
        <f aca="false">IF($B294="","",COUNTIFS(Datos_problemas!$B:$B,$B294,Datos_problemas!$F:$F,"Práctica"))</f>
        <v/>
      </c>
      <c r="AO294" s="2" t="str">
        <f aca="false">IF($B294="","",SUMIFS(Datos_problemas!$AQ:$AQ,Datos_problemas!$B:$B,$B294,Datos_problemas!$F:$F,"Práctica"))</f>
        <v/>
      </c>
      <c r="AP294" s="2" t="str">
        <f aca="false">IF($B294="","",COUNTIFS(Datos_problemas!$B:$B,$B294,Datos_problemas!$F:$F,"Práctica",Datos_problemas!$AS:$AS,"Sí"))</f>
        <v/>
      </c>
    </row>
    <row r="295" customFormat="false" ht="15" hidden="false" customHeight="false" outlineLevel="0" collapsed="false">
      <c r="A295" s="2" t="n">
        <v>291</v>
      </c>
      <c r="B295" s="2" t="str">
        <f aca="false">IFERROR(INDEX(Datos_problemas!$B:$B,MATCH($A295,Datos_problemas!$AV:$AV,0)),"")</f>
        <v/>
      </c>
      <c r="C295" s="2" t="str">
        <f aca="false">IF($B295="","",INDEX(Datos_problemas!$C:$C,MATCH($A295,Datos_problemas!$AV:$AV,0)))</f>
        <v/>
      </c>
      <c r="D295" s="2" t="str">
        <f aca="false">IF($B295="","",INDEX(Datos_problemas!$D:$D,MATCH($A295,Datos_problemas!$AV:$AV,0)))</f>
        <v/>
      </c>
      <c r="E295" s="2" t="str">
        <f aca="false">IF($B295="","",COUNTIFS(Datos_problemas!$B:$B,$B295,Datos_problemas!$F:$F,"Evaluación"))</f>
        <v/>
      </c>
      <c r="F295" s="20" t="str">
        <f aca="false">IF($B295="","",IFERROR(AVERAGEIFS(Datos_problemas!$AE:$AE,Datos_problemas!$B:$B,$B295,Datos_problemas!$F:$F,"Evaluación"),""))</f>
        <v/>
      </c>
      <c r="G295" s="20" t="str">
        <f aca="false">IF($B295="","",IFERROR(AVERAGEIFS(Datos_problemas!$AE:$AE,Datos_problemas!$B:$B,$B295,Datos_problemas!$F:$F,"Evaluación",Datos_problemas!$E:$E,"Diagnóstico"),""))</f>
        <v/>
      </c>
      <c r="H295" s="20" t="str">
        <f aca="false">IF($B295="","",IFERROR(AVERAGEIFS(Datos_problemas!$AE:$AE,Datos_problemas!$B:$B,$B295,Datos_problemas!$F:$F,"Evaluación",Datos_problemas!$E:$E,"Final"),""))</f>
        <v/>
      </c>
      <c r="I295" s="21" t="str">
        <f aca="false">IF(OR(G295="",H295=""),"",IF(G295&gt;=10,"",(H295-G295)/(10-G295)))</f>
        <v/>
      </c>
      <c r="J295" s="18" t="str">
        <f aca="false">IF($B295="","",IFERROR(SUMIFS(Datos_items!$Z:$Z,Datos_items!$B:$B,$B295,Datos_items!$O:$O,J$4,Datos_items!$E:$E,Analisis_grupo!$C$4)/COUNTIFS(Datos_items!$B:$B,$B295,Datos_items!$O:$O,J$4,Datos_items!$E:$E,Analisis_grupo!$C$4),""))</f>
        <v/>
      </c>
      <c r="K295" s="18" t="str">
        <f aca="false">IF($B295="","",IFERROR(SUMIFS(Datos_items!$Z:$Z,Datos_items!$B:$B,$B295,Datos_items!$O:$O,K$4,Datos_items!$E:$E,Analisis_grupo!$C$4)/COUNTIFS(Datos_items!$B:$B,$B295,Datos_items!$O:$O,K$4,Datos_items!$E:$E,Analisis_grupo!$C$4),""))</f>
        <v/>
      </c>
      <c r="L295" s="18" t="str">
        <f aca="false">IF($B295="","",IFERROR(SUMIFS(Datos_items!$Z:$Z,Datos_items!$B:$B,$B295,Datos_items!$O:$O,L$4,Datos_items!$E:$E,Analisis_grupo!$C$4)/COUNTIFS(Datos_items!$B:$B,$B295,Datos_items!$O:$O,L$4,Datos_items!$E:$E,Analisis_grupo!$C$4),""))</f>
        <v/>
      </c>
      <c r="M295" s="18" t="str">
        <f aca="false">IF($B295="","",IFERROR(SUMIFS(Datos_items!$Z:$Z,Datos_items!$B:$B,$B295,Datos_items!$O:$O,M$4,Datos_items!$E:$E,Analisis_grupo!$C$4)/COUNTIFS(Datos_items!$B:$B,$B295,Datos_items!$O:$O,M$4,Datos_items!$E:$E,Analisis_grupo!$C$4),""))</f>
        <v/>
      </c>
      <c r="N295" s="18" t="str">
        <f aca="false">IF($B295="","",IFERROR(SUMIFS(Datos_items!$Z:$Z,Datos_items!$B:$B,$B295,Datos_items!$O:$O,N$4,Datos_items!$E:$E,Analisis_grupo!$C$4)/COUNTIFS(Datos_items!$B:$B,$B295,Datos_items!$O:$O,N$4,Datos_items!$E:$E,Analisis_grupo!$C$4),""))</f>
        <v/>
      </c>
      <c r="O295" s="18" t="str">
        <f aca="false">IF($B295="","",IFERROR(SUMIFS(Datos_items!$Z:$Z,Datos_items!$B:$B,$B295,Datos_items!$O:$O,O$4,Datos_items!$E:$E,Analisis_grupo!$C$4)/COUNTIFS(Datos_items!$B:$B,$B295,Datos_items!$O:$O,O$4,Datos_items!$E:$E,Analisis_grupo!$C$4),""))</f>
        <v/>
      </c>
      <c r="P295" s="18" t="str">
        <f aca="false">IF($B295="","",IFERROR(SUMIFS(Datos_items!$Z:$Z,Datos_items!$B:$B,$B295,Datos_items!$O:$O,P$4,Datos_items!$E:$E,Analisis_grupo!$C$4)/COUNTIFS(Datos_items!$B:$B,$B295,Datos_items!$O:$O,P$4,Datos_items!$E:$E,Analisis_grupo!$C$4),""))</f>
        <v/>
      </c>
      <c r="Q295" s="18" t="str">
        <f aca="false">IF($B295="","",IFERROR(SUMIFS(Datos_items!$Z:$Z,Datos_items!$B:$B,$B295,Datos_items!$O:$O,Q$4,Datos_items!$E:$E,Analisis_grupo!$C$4)/COUNTIFS(Datos_items!$B:$B,$B295,Datos_items!$O:$O,Q$4,Datos_items!$E:$E,Analisis_grupo!$C$4),""))</f>
        <v/>
      </c>
      <c r="R295" s="2" t="str">
        <f aca="false">IF(COUNT(J295:Q295)=0,"",IF(MIN(J295:Q295)&gt;=Analisis_grupo!$B$7,"(ninguna)",INDEX($J$4:$Q$4,MATCH(MIN(J295:Q295),J295:Q295,0))))</f>
        <v/>
      </c>
      <c r="S295" s="2" t="str">
        <f aca="false">IF($B295="","",COUNTIF(J295:Q295,"&lt;"&amp;Analisis_grupo!$B$7))</f>
        <v/>
      </c>
      <c r="T295" s="2" t="str">
        <f aca="false">IF($B295="","",COUNTIFS(Datos_items!$B:$B,$B295,Datos_items!$AA:$AA,T$4,Datos_items!$E:$E,Analisis_grupo!$C$4))</f>
        <v/>
      </c>
      <c r="U295" s="2" t="str">
        <f aca="false">IF($B295="","",COUNTIFS(Datos_items!$B:$B,$B295,Datos_items!$AA:$AA,U$4,Datos_items!$E:$E,Analisis_grupo!$C$4))</f>
        <v/>
      </c>
      <c r="V295" s="2" t="str">
        <f aca="false">IF($B295="","",COUNTIFS(Datos_items!$B:$B,$B295,Datos_items!$AA:$AA,V$4,Datos_items!$E:$E,Analisis_grupo!$C$4))</f>
        <v/>
      </c>
      <c r="W295" s="2" t="str">
        <f aca="false">IF($B295="","",COUNTIFS(Datos_items!$B:$B,$B295,Datos_items!$AA:$AA,W$4,Datos_items!$E:$E,Analisis_grupo!$C$4))</f>
        <v/>
      </c>
      <c r="X295" s="2" t="str">
        <f aca="false">IF($B295="","",COUNTIFS(Datos_items!$B:$B,$B295,Datos_items!$AA:$AA,X$4,Datos_items!$E:$E,Analisis_grupo!$C$4))</f>
        <v/>
      </c>
      <c r="Y295" s="2" t="str">
        <f aca="false">IF($B295="","",COUNTIFS(Datos_items!$B:$B,$B295,Datos_items!$AA:$AA,Y$4,Datos_items!$E:$E,Analisis_grupo!$C$4))</f>
        <v/>
      </c>
      <c r="Z295" s="2" t="str">
        <f aca="false">IF($B295="","",COUNTIFS(Datos_items!$B:$B,$B295,Datos_items!$AA:$AA,Z$4,Datos_items!$E:$E,Analisis_grupo!$C$4))</f>
        <v/>
      </c>
      <c r="AA295" s="2" t="str">
        <f aca="false">IF($B295="","",COUNTIFS(Datos_items!$B:$B,$B295,Datos_items!$AA:$AA,AA$4,Datos_items!$E:$E,Analisis_grupo!$C$4))</f>
        <v/>
      </c>
      <c r="AB295" s="2" t="str">
        <f aca="false">IF($B295="","",COUNTIFS(Datos_items!$B:$B,$B295,Datos_items!$AA:$AA,AB$4,Datos_items!$E:$E,Analisis_grupo!$C$4))</f>
        <v/>
      </c>
      <c r="AC295" s="2" t="str">
        <f aca="false">IF($B295="","",COUNTIFS(Datos_items!$B:$B,$B295,Datos_items!$AA:$AA,AC$4,Datos_items!$E:$E,Analisis_grupo!$C$4))</f>
        <v/>
      </c>
      <c r="AD295" s="2" t="str">
        <f aca="false">IF($B295="","",COUNTIFS(Datos_items!$B:$B,$B295,Datos_items!$AA:$AA,AD$4,Datos_items!$E:$E,Analisis_grupo!$C$4))</f>
        <v/>
      </c>
      <c r="AE295" s="2" t="str">
        <f aca="false">IF($B295="","",COUNTIFS(Datos_items!$B:$B,$B295,Datos_items!$AA:$AA,AE$4,Datos_items!$E:$E,Analisis_grupo!$C$4))</f>
        <v/>
      </c>
      <c r="AF295" s="2" t="str">
        <f aca="false">IF($B295="","",COUNTIFS(Datos_items!$B:$B,$B295,Datos_items!$AA:$AA,AF$4,Datos_items!$E:$E,Analisis_grupo!$C$4))</f>
        <v/>
      </c>
      <c r="AG295" s="2" t="str">
        <f aca="false">IF($B295="","",COUNTIFS(Datos_items!$B:$B,$B295,Datos_items!$AA:$AA,AG$4,Datos_items!$E:$E,Analisis_grupo!$C$4))</f>
        <v/>
      </c>
      <c r="AH295" s="2" t="str">
        <f aca="false">IF($B295="","",COUNTIFS(Datos_items!$B:$B,$B295,Datos_items!$AA:$AA,AH$4,Datos_items!$E:$E,Analisis_grupo!$C$4))</f>
        <v/>
      </c>
      <c r="AI295" s="2" t="str">
        <f aca="false">IF($B295="","",COUNTIFS(Datos_items!$B:$B,$B295,Datos_items!$AA:$AA,AI$4,Datos_items!$E:$E,Analisis_grupo!$C$4))</f>
        <v/>
      </c>
      <c r="AJ295" s="2" t="str">
        <f aca="false">IF($B295="","",COUNTIFS(Datos_items!$B:$B,$B295,Datos_items!$AA:$AA,AJ$4,Datos_items!$E:$E,Analisis_grupo!$C$4))</f>
        <v/>
      </c>
      <c r="AK295" s="2" t="str">
        <f aca="false">IF($B295="","",COUNTIFS(Datos_items!$B:$B,$B295,Datos_items!$AA:$AA,AK$4,Datos_items!$E:$E,Analisis_grupo!$C$4))</f>
        <v/>
      </c>
      <c r="AL295" s="2" t="str">
        <f aca="false">IF($B295="","",COUNTIFS(Datos_items!$B:$B,$B295,Datos_items!$AA:$AA,AL$4,Datos_items!$E:$E,Analisis_grupo!$C$4))</f>
        <v/>
      </c>
      <c r="AM295" s="2" t="str">
        <f aca="false">IF($B295="","",IF(MAX(Y295:AL295)=0,"",INDEX($Y$4:$AL$4,MATCH(MAX(Y295:AL295),Y295:AL295,0))))</f>
        <v/>
      </c>
      <c r="AN295" s="2" t="str">
        <f aca="false">IF($B295="","",COUNTIFS(Datos_problemas!$B:$B,$B295,Datos_problemas!$F:$F,"Práctica"))</f>
        <v/>
      </c>
      <c r="AO295" s="2" t="str">
        <f aca="false">IF($B295="","",SUMIFS(Datos_problemas!$AQ:$AQ,Datos_problemas!$B:$B,$B295,Datos_problemas!$F:$F,"Práctica"))</f>
        <v/>
      </c>
      <c r="AP295" s="2" t="str">
        <f aca="false">IF($B295="","",COUNTIFS(Datos_problemas!$B:$B,$B295,Datos_problemas!$F:$F,"Práctica",Datos_problemas!$AS:$AS,"Sí"))</f>
        <v/>
      </c>
    </row>
    <row r="296" customFormat="false" ht="15" hidden="false" customHeight="false" outlineLevel="0" collapsed="false">
      <c r="A296" s="2" t="n">
        <v>292</v>
      </c>
      <c r="B296" s="2" t="str">
        <f aca="false">IFERROR(INDEX(Datos_problemas!$B:$B,MATCH($A296,Datos_problemas!$AV:$AV,0)),"")</f>
        <v/>
      </c>
      <c r="C296" s="2" t="str">
        <f aca="false">IF($B296="","",INDEX(Datos_problemas!$C:$C,MATCH($A296,Datos_problemas!$AV:$AV,0)))</f>
        <v/>
      </c>
      <c r="D296" s="2" t="str">
        <f aca="false">IF($B296="","",INDEX(Datos_problemas!$D:$D,MATCH($A296,Datos_problemas!$AV:$AV,0)))</f>
        <v/>
      </c>
      <c r="E296" s="2" t="str">
        <f aca="false">IF($B296="","",COUNTIFS(Datos_problemas!$B:$B,$B296,Datos_problemas!$F:$F,"Evaluación"))</f>
        <v/>
      </c>
      <c r="F296" s="20" t="str">
        <f aca="false">IF($B296="","",IFERROR(AVERAGEIFS(Datos_problemas!$AE:$AE,Datos_problemas!$B:$B,$B296,Datos_problemas!$F:$F,"Evaluación"),""))</f>
        <v/>
      </c>
      <c r="G296" s="20" t="str">
        <f aca="false">IF($B296="","",IFERROR(AVERAGEIFS(Datos_problemas!$AE:$AE,Datos_problemas!$B:$B,$B296,Datos_problemas!$F:$F,"Evaluación",Datos_problemas!$E:$E,"Diagnóstico"),""))</f>
        <v/>
      </c>
      <c r="H296" s="20" t="str">
        <f aca="false">IF($B296="","",IFERROR(AVERAGEIFS(Datos_problemas!$AE:$AE,Datos_problemas!$B:$B,$B296,Datos_problemas!$F:$F,"Evaluación",Datos_problemas!$E:$E,"Final"),""))</f>
        <v/>
      </c>
      <c r="I296" s="21" t="str">
        <f aca="false">IF(OR(G296="",H296=""),"",IF(G296&gt;=10,"",(H296-G296)/(10-G296)))</f>
        <v/>
      </c>
      <c r="J296" s="18" t="str">
        <f aca="false">IF($B296="","",IFERROR(SUMIFS(Datos_items!$Z:$Z,Datos_items!$B:$B,$B296,Datos_items!$O:$O,J$4,Datos_items!$E:$E,Analisis_grupo!$C$4)/COUNTIFS(Datos_items!$B:$B,$B296,Datos_items!$O:$O,J$4,Datos_items!$E:$E,Analisis_grupo!$C$4),""))</f>
        <v/>
      </c>
      <c r="K296" s="18" t="str">
        <f aca="false">IF($B296="","",IFERROR(SUMIFS(Datos_items!$Z:$Z,Datos_items!$B:$B,$B296,Datos_items!$O:$O,K$4,Datos_items!$E:$E,Analisis_grupo!$C$4)/COUNTIFS(Datos_items!$B:$B,$B296,Datos_items!$O:$O,K$4,Datos_items!$E:$E,Analisis_grupo!$C$4),""))</f>
        <v/>
      </c>
      <c r="L296" s="18" t="str">
        <f aca="false">IF($B296="","",IFERROR(SUMIFS(Datos_items!$Z:$Z,Datos_items!$B:$B,$B296,Datos_items!$O:$O,L$4,Datos_items!$E:$E,Analisis_grupo!$C$4)/COUNTIFS(Datos_items!$B:$B,$B296,Datos_items!$O:$O,L$4,Datos_items!$E:$E,Analisis_grupo!$C$4),""))</f>
        <v/>
      </c>
      <c r="M296" s="18" t="str">
        <f aca="false">IF($B296="","",IFERROR(SUMIFS(Datos_items!$Z:$Z,Datos_items!$B:$B,$B296,Datos_items!$O:$O,M$4,Datos_items!$E:$E,Analisis_grupo!$C$4)/COUNTIFS(Datos_items!$B:$B,$B296,Datos_items!$O:$O,M$4,Datos_items!$E:$E,Analisis_grupo!$C$4),""))</f>
        <v/>
      </c>
      <c r="N296" s="18" t="str">
        <f aca="false">IF($B296="","",IFERROR(SUMIFS(Datos_items!$Z:$Z,Datos_items!$B:$B,$B296,Datos_items!$O:$O,N$4,Datos_items!$E:$E,Analisis_grupo!$C$4)/COUNTIFS(Datos_items!$B:$B,$B296,Datos_items!$O:$O,N$4,Datos_items!$E:$E,Analisis_grupo!$C$4),""))</f>
        <v/>
      </c>
      <c r="O296" s="18" t="str">
        <f aca="false">IF($B296="","",IFERROR(SUMIFS(Datos_items!$Z:$Z,Datos_items!$B:$B,$B296,Datos_items!$O:$O,O$4,Datos_items!$E:$E,Analisis_grupo!$C$4)/COUNTIFS(Datos_items!$B:$B,$B296,Datos_items!$O:$O,O$4,Datos_items!$E:$E,Analisis_grupo!$C$4),""))</f>
        <v/>
      </c>
      <c r="P296" s="18" t="str">
        <f aca="false">IF($B296="","",IFERROR(SUMIFS(Datos_items!$Z:$Z,Datos_items!$B:$B,$B296,Datos_items!$O:$O,P$4,Datos_items!$E:$E,Analisis_grupo!$C$4)/COUNTIFS(Datos_items!$B:$B,$B296,Datos_items!$O:$O,P$4,Datos_items!$E:$E,Analisis_grupo!$C$4),""))</f>
        <v/>
      </c>
      <c r="Q296" s="18" t="str">
        <f aca="false">IF($B296="","",IFERROR(SUMIFS(Datos_items!$Z:$Z,Datos_items!$B:$B,$B296,Datos_items!$O:$O,Q$4,Datos_items!$E:$E,Analisis_grupo!$C$4)/COUNTIFS(Datos_items!$B:$B,$B296,Datos_items!$O:$O,Q$4,Datos_items!$E:$E,Analisis_grupo!$C$4),""))</f>
        <v/>
      </c>
      <c r="R296" s="2" t="str">
        <f aca="false">IF(COUNT(J296:Q296)=0,"",IF(MIN(J296:Q296)&gt;=Analisis_grupo!$B$7,"(ninguna)",INDEX($J$4:$Q$4,MATCH(MIN(J296:Q296),J296:Q296,0))))</f>
        <v/>
      </c>
      <c r="S296" s="2" t="str">
        <f aca="false">IF($B296="","",COUNTIF(J296:Q296,"&lt;"&amp;Analisis_grupo!$B$7))</f>
        <v/>
      </c>
      <c r="T296" s="2" t="str">
        <f aca="false">IF($B296="","",COUNTIFS(Datos_items!$B:$B,$B296,Datos_items!$AA:$AA,T$4,Datos_items!$E:$E,Analisis_grupo!$C$4))</f>
        <v/>
      </c>
      <c r="U296" s="2" t="str">
        <f aca="false">IF($B296="","",COUNTIFS(Datos_items!$B:$B,$B296,Datos_items!$AA:$AA,U$4,Datos_items!$E:$E,Analisis_grupo!$C$4))</f>
        <v/>
      </c>
      <c r="V296" s="2" t="str">
        <f aca="false">IF($B296="","",COUNTIFS(Datos_items!$B:$B,$B296,Datos_items!$AA:$AA,V$4,Datos_items!$E:$E,Analisis_grupo!$C$4))</f>
        <v/>
      </c>
      <c r="W296" s="2" t="str">
        <f aca="false">IF($B296="","",COUNTIFS(Datos_items!$B:$B,$B296,Datos_items!$AA:$AA,W$4,Datos_items!$E:$E,Analisis_grupo!$C$4))</f>
        <v/>
      </c>
      <c r="X296" s="2" t="str">
        <f aca="false">IF($B296="","",COUNTIFS(Datos_items!$B:$B,$B296,Datos_items!$AA:$AA,X$4,Datos_items!$E:$E,Analisis_grupo!$C$4))</f>
        <v/>
      </c>
      <c r="Y296" s="2" t="str">
        <f aca="false">IF($B296="","",COUNTIFS(Datos_items!$B:$B,$B296,Datos_items!$AA:$AA,Y$4,Datos_items!$E:$E,Analisis_grupo!$C$4))</f>
        <v/>
      </c>
      <c r="Z296" s="2" t="str">
        <f aca="false">IF($B296="","",COUNTIFS(Datos_items!$B:$B,$B296,Datos_items!$AA:$AA,Z$4,Datos_items!$E:$E,Analisis_grupo!$C$4))</f>
        <v/>
      </c>
      <c r="AA296" s="2" t="str">
        <f aca="false">IF($B296="","",COUNTIFS(Datos_items!$B:$B,$B296,Datos_items!$AA:$AA,AA$4,Datos_items!$E:$E,Analisis_grupo!$C$4))</f>
        <v/>
      </c>
      <c r="AB296" s="2" t="str">
        <f aca="false">IF($B296="","",COUNTIFS(Datos_items!$B:$B,$B296,Datos_items!$AA:$AA,AB$4,Datos_items!$E:$E,Analisis_grupo!$C$4))</f>
        <v/>
      </c>
      <c r="AC296" s="2" t="str">
        <f aca="false">IF($B296="","",COUNTIFS(Datos_items!$B:$B,$B296,Datos_items!$AA:$AA,AC$4,Datos_items!$E:$E,Analisis_grupo!$C$4))</f>
        <v/>
      </c>
      <c r="AD296" s="2" t="str">
        <f aca="false">IF($B296="","",COUNTIFS(Datos_items!$B:$B,$B296,Datos_items!$AA:$AA,AD$4,Datos_items!$E:$E,Analisis_grupo!$C$4))</f>
        <v/>
      </c>
      <c r="AE296" s="2" t="str">
        <f aca="false">IF($B296="","",COUNTIFS(Datos_items!$B:$B,$B296,Datos_items!$AA:$AA,AE$4,Datos_items!$E:$E,Analisis_grupo!$C$4))</f>
        <v/>
      </c>
      <c r="AF296" s="2" t="str">
        <f aca="false">IF($B296="","",COUNTIFS(Datos_items!$B:$B,$B296,Datos_items!$AA:$AA,AF$4,Datos_items!$E:$E,Analisis_grupo!$C$4))</f>
        <v/>
      </c>
      <c r="AG296" s="2" t="str">
        <f aca="false">IF($B296="","",COUNTIFS(Datos_items!$B:$B,$B296,Datos_items!$AA:$AA,AG$4,Datos_items!$E:$E,Analisis_grupo!$C$4))</f>
        <v/>
      </c>
      <c r="AH296" s="2" t="str">
        <f aca="false">IF($B296="","",COUNTIFS(Datos_items!$B:$B,$B296,Datos_items!$AA:$AA,AH$4,Datos_items!$E:$E,Analisis_grupo!$C$4))</f>
        <v/>
      </c>
      <c r="AI296" s="2" t="str">
        <f aca="false">IF($B296="","",COUNTIFS(Datos_items!$B:$B,$B296,Datos_items!$AA:$AA,AI$4,Datos_items!$E:$E,Analisis_grupo!$C$4))</f>
        <v/>
      </c>
      <c r="AJ296" s="2" t="str">
        <f aca="false">IF($B296="","",COUNTIFS(Datos_items!$B:$B,$B296,Datos_items!$AA:$AA,AJ$4,Datos_items!$E:$E,Analisis_grupo!$C$4))</f>
        <v/>
      </c>
      <c r="AK296" s="2" t="str">
        <f aca="false">IF($B296="","",COUNTIFS(Datos_items!$B:$B,$B296,Datos_items!$AA:$AA,AK$4,Datos_items!$E:$E,Analisis_grupo!$C$4))</f>
        <v/>
      </c>
      <c r="AL296" s="2" t="str">
        <f aca="false">IF($B296="","",COUNTIFS(Datos_items!$B:$B,$B296,Datos_items!$AA:$AA,AL$4,Datos_items!$E:$E,Analisis_grupo!$C$4))</f>
        <v/>
      </c>
      <c r="AM296" s="2" t="str">
        <f aca="false">IF($B296="","",IF(MAX(Y296:AL296)=0,"",INDEX($Y$4:$AL$4,MATCH(MAX(Y296:AL296),Y296:AL296,0))))</f>
        <v/>
      </c>
      <c r="AN296" s="2" t="str">
        <f aca="false">IF($B296="","",COUNTIFS(Datos_problemas!$B:$B,$B296,Datos_problemas!$F:$F,"Práctica"))</f>
        <v/>
      </c>
      <c r="AO296" s="2" t="str">
        <f aca="false">IF($B296="","",SUMIFS(Datos_problemas!$AQ:$AQ,Datos_problemas!$B:$B,$B296,Datos_problemas!$F:$F,"Práctica"))</f>
        <v/>
      </c>
      <c r="AP296" s="2" t="str">
        <f aca="false">IF($B296="","",COUNTIFS(Datos_problemas!$B:$B,$B296,Datos_problemas!$F:$F,"Práctica",Datos_problemas!$AS:$AS,"Sí"))</f>
        <v/>
      </c>
    </row>
    <row r="297" customFormat="false" ht="15" hidden="false" customHeight="false" outlineLevel="0" collapsed="false">
      <c r="A297" s="2" t="n">
        <v>293</v>
      </c>
      <c r="B297" s="2" t="str">
        <f aca="false">IFERROR(INDEX(Datos_problemas!$B:$B,MATCH($A297,Datos_problemas!$AV:$AV,0)),"")</f>
        <v/>
      </c>
      <c r="C297" s="2" t="str">
        <f aca="false">IF($B297="","",INDEX(Datos_problemas!$C:$C,MATCH($A297,Datos_problemas!$AV:$AV,0)))</f>
        <v/>
      </c>
      <c r="D297" s="2" t="str">
        <f aca="false">IF($B297="","",INDEX(Datos_problemas!$D:$D,MATCH($A297,Datos_problemas!$AV:$AV,0)))</f>
        <v/>
      </c>
      <c r="E297" s="2" t="str">
        <f aca="false">IF($B297="","",COUNTIFS(Datos_problemas!$B:$B,$B297,Datos_problemas!$F:$F,"Evaluación"))</f>
        <v/>
      </c>
      <c r="F297" s="20" t="str">
        <f aca="false">IF($B297="","",IFERROR(AVERAGEIFS(Datos_problemas!$AE:$AE,Datos_problemas!$B:$B,$B297,Datos_problemas!$F:$F,"Evaluación"),""))</f>
        <v/>
      </c>
      <c r="G297" s="20" t="str">
        <f aca="false">IF($B297="","",IFERROR(AVERAGEIFS(Datos_problemas!$AE:$AE,Datos_problemas!$B:$B,$B297,Datos_problemas!$F:$F,"Evaluación",Datos_problemas!$E:$E,"Diagnóstico"),""))</f>
        <v/>
      </c>
      <c r="H297" s="20" t="str">
        <f aca="false">IF($B297="","",IFERROR(AVERAGEIFS(Datos_problemas!$AE:$AE,Datos_problemas!$B:$B,$B297,Datos_problemas!$F:$F,"Evaluación",Datos_problemas!$E:$E,"Final"),""))</f>
        <v/>
      </c>
      <c r="I297" s="21" t="str">
        <f aca="false">IF(OR(G297="",H297=""),"",IF(G297&gt;=10,"",(H297-G297)/(10-G297)))</f>
        <v/>
      </c>
      <c r="J297" s="18" t="str">
        <f aca="false">IF($B297="","",IFERROR(SUMIFS(Datos_items!$Z:$Z,Datos_items!$B:$B,$B297,Datos_items!$O:$O,J$4,Datos_items!$E:$E,Analisis_grupo!$C$4)/COUNTIFS(Datos_items!$B:$B,$B297,Datos_items!$O:$O,J$4,Datos_items!$E:$E,Analisis_grupo!$C$4),""))</f>
        <v/>
      </c>
      <c r="K297" s="18" t="str">
        <f aca="false">IF($B297="","",IFERROR(SUMIFS(Datos_items!$Z:$Z,Datos_items!$B:$B,$B297,Datos_items!$O:$O,K$4,Datos_items!$E:$E,Analisis_grupo!$C$4)/COUNTIFS(Datos_items!$B:$B,$B297,Datos_items!$O:$O,K$4,Datos_items!$E:$E,Analisis_grupo!$C$4),""))</f>
        <v/>
      </c>
      <c r="L297" s="18" t="str">
        <f aca="false">IF($B297="","",IFERROR(SUMIFS(Datos_items!$Z:$Z,Datos_items!$B:$B,$B297,Datos_items!$O:$O,L$4,Datos_items!$E:$E,Analisis_grupo!$C$4)/COUNTIFS(Datos_items!$B:$B,$B297,Datos_items!$O:$O,L$4,Datos_items!$E:$E,Analisis_grupo!$C$4),""))</f>
        <v/>
      </c>
      <c r="M297" s="18" t="str">
        <f aca="false">IF($B297="","",IFERROR(SUMIFS(Datos_items!$Z:$Z,Datos_items!$B:$B,$B297,Datos_items!$O:$O,M$4,Datos_items!$E:$E,Analisis_grupo!$C$4)/COUNTIFS(Datos_items!$B:$B,$B297,Datos_items!$O:$O,M$4,Datos_items!$E:$E,Analisis_grupo!$C$4),""))</f>
        <v/>
      </c>
      <c r="N297" s="18" t="str">
        <f aca="false">IF($B297="","",IFERROR(SUMIFS(Datos_items!$Z:$Z,Datos_items!$B:$B,$B297,Datos_items!$O:$O,N$4,Datos_items!$E:$E,Analisis_grupo!$C$4)/COUNTIFS(Datos_items!$B:$B,$B297,Datos_items!$O:$O,N$4,Datos_items!$E:$E,Analisis_grupo!$C$4),""))</f>
        <v/>
      </c>
      <c r="O297" s="18" t="str">
        <f aca="false">IF($B297="","",IFERROR(SUMIFS(Datos_items!$Z:$Z,Datos_items!$B:$B,$B297,Datos_items!$O:$O,O$4,Datos_items!$E:$E,Analisis_grupo!$C$4)/COUNTIFS(Datos_items!$B:$B,$B297,Datos_items!$O:$O,O$4,Datos_items!$E:$E,Analisis_grupo!$C$4),""))</f>
        <v/>
      </c>
      <c r="P297" s="18" t="str">
        <f aca="false">IF($B297="","",IFERROR(SUMIFS(Datos_items!$Z:$Z,Datos_items!$B:$B,$B297,Datos_items!$O:$O,P$4,Datos_items!$E:$E,Analisis_grupo!$C$4)/COUNTIFS(Datos_items!$B:$B,$B297,Datos_items!$O:$O,P$4,Datos_items!$E:$E,Analisis_grupo!$C$4),""))</f>
        <v/>
      </c>
      <c r="Q297" s="18" t="str">
        <f aca="false">IF($B297="","",IFERROR(SUMIFS(Datos_items!$Z:$Z,Datos_items!$B:$B,$B297,Datos_items!$O:$O,Q$4,Datos_items!$E:$E,Analisis_grupo!$C$4)/COUNTIFS(Datos_items!$B:$B,$B297,Datos_items!$O:$O,Q$4,Datos_items!$E:$E,Analisis_grupo!$C$4),""))</f>
        <v/>
      </c>
      <c r="R297" s="2" t="str">
        <f aca="false">IF(COUNT(J297:Q297)=0,"",IF(MIN(J297:Q297)&gt;=Analisis_grupo!$B$7,"(ninguna)",INDEX($J$4:$Q$4,MATCH(MIN(J297:Q297),J297:Q297,0))))</f>
        <v/>
      </c>
      <c r="S297" s="2" t="str">
        <f aca="false">IF($B297="","",COUNTIF(J297:Q297,"&lt;"&amp;Analisis_grupo!$B$7))</f>
        <v/>
      </c>
      <c r="T297" s="2" t="str">
        <f aca="false">IF($B297="","",COUNTIFS(Datos_items!$B:$B,$B297,Datos_items!$AA:$AA,T$4,Datos_items!$E:$E,Analisis_grupo!$C$4))</f>
        <v/>
      </c>
      <c r="U297" s="2" t="str">
        <f aca="false">IF($B297="","",COUNTIFS(Datos_items!$B:$B,$B297,Datos_items!$AA:$AA,U$4,Datos_items!$E:$E,Analisis_grupo!$C$4))</f>
        <v/>
      </c>
      <c r="V297" s="2" t="str">
        <f aca="false">IF($B297="","",COUNTIFS(Datos_items!$B:$B,$B297,Datos_items!$AA:$AA,V$4,Datos_items!$E:$E,Analisis_grupo!$C$4))</f>
        <v/>
      </c>
      <c r="W297" s="2" t="str">
        <f aca="false">IF($B297="","",COUNTIFS(Datos_items!$B:$B,$B297,Datos_items!$AA:$AA,W$4,Datos_items!$E:$E,Analisis_grupo!$C$4))</f>
        <v/>
      </c>
      <c r="X297" s="2" t="str">
        <f aca="false">IF($B297="","",COUNTIFS(Datos_items!$B:$B,$B297,Datos_items!$AA:$AA,X$4,Datos_items!$E:$E,Analisis_grupo!$C$4))</f>
        <v/>
      </c>
      <c r="Y297" s="2" t="str">
        <f aca="false">IF($B297="","",COUNTIFS(Datos_items!$B:$B,$B297,Datos_items!$AA:$AA,Y$4,Datos_items!$E:$E,Analisis_grupo!$C$4))</f>
        <v/>
      </c>
      <c r="Z297" s="2" t="str">
        <f aca="false">IF($B297="","",COUNTIFS(Datos_items!$B:$B,$B297,Datos_items!$AA:$AA,Z$4,Datos_items!$E:$E,Analisis_grupo!$C$4))</f>
        <v/>
      </c>
      <c r="AA297" s="2" t="str">
        <f aca="false">IF($B297="","",COUNTIFS(Datos_items!$B:$B,$B297,Datos_items!$AA:$AA,AA$4,Datos_items!$E:$E,Analisis_grupo!$C$4))</f>
        <v/>
      </c>
      <c r="AB297" s="2" t="str">
        <f aca="false">IF($B297="","",COUNTIFS(Datos_items!$B:$B,$B297,Datos_items!$AA:$AA,AB$4,Datos_items!$E:$E,Analisis_grupo!$C$4))</f>
        <v/>
      </c>
      <c r="AC297" s="2" t="str">
        <f aca="false">IF($B297="","",COUNTIFS(Datos_items!$B:$B,$B297,Datos_items!$AA:$AA,AC$4,Datos_items!$E:$E,Analisis_grupo!$C$4))</f>
        <v/>
      </c>
      <c r="AD297" s="2" t="str">
        <f aca="false">IF($B297="","",COUNTIFS(Datos_items!$B:$B,$B297,Datos_items!$AA:$AA,AD$4,Datos_items!$E:$E,Analisis_grupo!$C$4))</f>
        <v/>
      </c>
      <c r="AE297" s="2" t="str">
        <f aca="false">IF($B297="","",COUNTIFS(Datos_items!$B:$B,$B297,Datos_items!$AA:$AA,AE$4,Datos_items!$E:$E,Analisis_grupo!$C$4))</f>
        <v/>
      </c>
      <c r="AF297" s="2" t="str">
        <f aca="false">IF($B297="","",COUNTIFS(Datos_items!$B:$B,$B297,Datos_items!$AA:$AA,AF$4,Datos_items!$E:$E,Analisis_grupo!$C$4))</f>
        <v/>
      </c>
      <c r="AG297" s="2" t="str">
        <f aca="false">IF($B297="","",COUNTIFS(Datos_items!$B:$B,$B297,Datos_items!$AA:$AA,AG$4,Datos_items!$E:$E,Analisis_grupo!$C$4))</f>
        <v/>
      </c>
      <c r="AH297" s="2" t="str">
        <f aca="false">IF($B297="","",COUNTIFS(Datos_items!$B:$B,$B297,Datos_items!$AA:$AA,AH$4,Datos_items!$E:$E,Analisis_grupo!$C$4))</f>
        <v/>
      </c>
      <c r="AI297" s="2" t="str">
        <f aca="false">IF($B297="","",COUNTIFS(Datos_items!$B:$B,$B297,Datos_items!$AA:$AA,AI$4,Datos_items!$E:$E,Analisis_grupo!$C$4))</f>
        <v/>
      </c>
      <c r="AJ297" s="2" t="str">
        <f aca="false">IF($B297="","",COUNTIFS(Datos_items!$B:$B,$B297,Datos_items!$AA:$AA,AJ$4,Datos_items!$E:$E,Analisis_grupo!$C$4))</f>
        <v/>
      </c>
      <c r="AK297" s="2" t="str">
        <f aca="false">IF($B297="","",COUNTIFS(Datos_items!$B:$B,$B297,Datos_items!$AA:$AA,AK$4,Datos_items!$E:$E,Analisis_grupo!$C$4))</f>
        <v/>
      </c>
      <c r="AL297" s="2" t="str">
        <f aca="false">IF($B297="","",COUNTIFS(Datos_items!$B:$B,$B297,Datos_items!$AA:$AA,AL$4,Datos_items!$E:$E,Analisis_grupo!$C$4))</f>
        <v/>
      </c>
      <c r="AM297" s="2" t="str">
        <f aca="false">IF($B297="","",IF(MAX(Y297:AL297)=0,"",INDEX($Y$4:$AL$4,MATCH(MAX(Y297:AL297),Y297:AL297,0))))</f>
        <v/>
      </c>
      <c r="AN297" s="2" t="str">
        <f aca="false">IF($B297="","",COUNTIFS(Datos_problemas!$B:$B,$B297,Datos_problemas!$F:$F,"Práctica"))</f>
        <v/>
      </c>
      <c r="AO297" s="2" t="str">
        <f aca="false">IF($B297="","",SUMIFS(Datos_problemas!$AQ:$AQ,Datos_problemas!$B:$B,$B297,Datos_problemas!$F:$F,"Práctica"))</f>
        <v/>
      </c>
      <c r="AP297" s="2" t="str">
        <f aca="false">IF($B297="","",COUNTIFS(Datos_problemas!$B:$B,$B297,Datos_problemas!$F:$F,"Práctica",Datos_problemas!$AS:$AS,"Sí"))</f>
        <v/>
      </c>
    </row>
    <row r="298" customFormat="false" ht="15" hidden="false" customHeight="false" outlineLevel="0" collapsed="false">
      <c r="A298" s="2" t="n">
        <v>294</v>
      </c>
      <c r="B298" s="2" t="str">
        <f aca="false">IFERROR(INDEX(Datos_problemas!$B:$B,MATCH($A298,Datos_problemas!$AV:$AV,0)),"")</f>
        <v/>
      </c>
      <c r="C298" s="2" t="str">
        <f aca="false">IF($B298="","",INDEX(Datos_problemas!$C:$C,MATCH($A298,Datos_problemas!$AV:$AV,0)))</f>
        <v/>
      </c>
      <c r="D298" s="2" t="str">
        <f aca="false">IF($B298="","",INDEX(Datos_problemas!$D:$D,MATCH($A298,Datos_problemas!$AV:$AV,0)))</f>
        <v/>
      </c>
      <c r="E298" s="2" t="str">
        <f aca="false">IF($B298="","",COUNTIFS(Datos_problemas!$B:$B,$B298,Datos_problemas!$F:$F,"Evaluación"))</f>
        <v/>
      </c>
      <c r="F298" s="20" t="str">
        <f aca="false">IF($B298="","",IFERROR(AVERAGEIFS(Datos_problemas!$AE:$AE,Datos_problemas!$B:$B,$B298,Datos_problemas!$F:$F,"Evaluación"),""))</f>
        <v/>
      </c>
      <c r="G298" s="20" t="str">
        <f aca="false">IF($B298="","",IFERROR(AVERAGEIFS(Datos_problemas!$AE:$AE,Datos_problemas!$B:$B,$B298,Datos_problemas!$F:$F,"Evaluación",Datos_problemas!$E:$E,"Diagnóstico"),""))</f>
        <v/>
      </c>
      <c r="H298" s="20" t="str">
        <f aca="false">IF($B298="","",IFERROR(AVERAGEIFS(Datos_problemas!$AE:$AE,Datos_problemas!$B:$B,$B298,Datos_problemas!$F:$F,"Evaluación",Datos_problemas!$E:$E,"Final"),""))</f>
        <v/>
      </c>
      <c r="I298" s="21" t="str">
        <f aca="false">IF(OR(G298="",H298=""),"",IF(G298&gt;=10,"",(H298-G298)/(10-G298)))</f>
        <v/>
      </c>
      <c r="J298" s="18" t="str">
        <f aca="false">IF($B298="","",IFERROR(SUMIFS(Datos_items!$Z:$Z,Datos_items!$B:$B,$B298,Datos_items!$O:$O,J$4,Datos_items!$E:$E,Analisis_grupo!$C$4)/COUNTIFS(Datos_items!$B:$B,$B298,Datos_items!$O:$O,J$4,Datos_items!$E:$E,Analisis_grupo!$C$4),""))</f>
        <v/>
      </c>
      <c r="K298" s="18" t="str">
        <f aca="false">IF($B298="","",IFERROR(SUMIFS(Datos_items!$Z:$Z,Datos_items!$B:$B,$B298,Datos_items!$O:$O,K$4,Datos_items!$E:$E,Analisis_grupo!$C$4)/COUNTIFS(Datos_items!$B:$B,$B298,Datos_items!$O:$O,K$4,Datos_items!$E:$E,Analisis_grupo!$C$4),""))</f>
        <v/>
      </c>
      <c r="L298" s="18" t="str">
        <f aca="false">IF($B298="","",IFERROR(SUMIFS(Datos_items!$Z:$Z,Datos_items!$B:$B,$B298,Datos_items!$O:$O,L$4,Datos_items!$E:$E,Analisis_grupo!$C$4)/COUNTIFS(Datos_items!$B:$B,$B298,Datos_items!$O:$O,L$4,Datos_items!$E:$E,Analisis_grupo!$C$4),""))</f>
        <v/>
      </c>
      <c r="M298" s="18" t="str">
        <f aca="false">IF($B298="","",IFERROR(SUMIFS(Datos_items!$Z:$Z,Datos_items!$B:$B,$B298,Datos_items!$O:$O,M$4,Datos_items!$E:$E,Analisis_grupo!$C$4)/COUNTIFS(Datos_items!$B:$B,$B298,Datos_items!$O:$O,M$4,Datos_items!$E:$E,Analisis_grupo!$C$4),""))</f>
        <v/>
      </c>
      <c r="N298" s="18" t="str">
        <f aca="false">IF($B298="","",IFERROR(SUMIFS(Datos_items!$Z:$Z,Datos_items!$B:$B,$B298,Datos_items!$O:$O,N$4,Datos_items!$E:$E,Analisis_grupo!$C$4)/COUNTIFS(Datos_items!$B:$B,$B298,Datos_items!$O:$O,N$4,Datos_items!$E:$E,Analisis_grupo!$C$4),""))</f>
        <v/>
      </c>
      <c r="O298" s="18" t="str">
        <f aca="false">IF($B298="","",IFERROR(SUMIFS(Datos_items!$Z:$Z,Datos_items!$B:$B,$B298,Datos_items!$O:$O,O$4,Datos_items!$E:$E,Analisis_grupo!$C$4)/COUNTIFS(Datos_items!$B:$B,$B298,Datos_items!$O:$O,O$4,Datos_items!$E:$E,Analisis_grupo!$C$4),""))</f>
        <v/>
      </c>
      <c r="P298" s="18" t="str">
        <f aca="false">IF($B298="","",IFERROR(SUMIFS(Datos_items!$Z:$Z,Datos_items!$B:$B,$B298,Datos_items!$O:$O,P$4,Datos_items!$E:$E,Analisis_grupo!$C$4)/COUNTIFS(Datos_items!$B:$B,$B298,Datos_items!$O:$O,P$4,Datos_items!$E:$E,Analisis_grupo!$C$4),""))</f>
        <v/>
      </c>
      <c r="Q298" s="18" t="str">
        <f aca="false">IF($B298="","",IFERROR(SUMIFS(Datos_items!$Z:$Z,Datos_items!$B:$B,$B298,Datos_items!$O:$O,Q$4,Datos_items!$E:$E,Analisis_grupo!$C$4)/COUNTIFS(Datos_items!$B:$B,$B298,Datos_items!$O:$O,Q$4,Datos_items!$E:$E,Analisis_grupo!$C$4),""))</f>
        <v/>
      </c>
      <c r="R298" s="2" t="str">
        <f aca="false">IF(COUNT(J298:Q298)=0,"",IF(MIN(J298:Q298)&gt;=Analisis_grupo!$B$7,"(ninguna)",INDEX($J$4:$Q$4,MATCH(MIN(J298:Q298),J298:Q298,0))))</f>
        <v/>
      </c>
      <c r="S298" s="2" t="str">
        <f aca="false">IF($B298="","",COUNTIF(J298:Q298,"&lt;"&amp;Analisis_grupo!$B$7))</f>
        <v/>
      </c>
      <c r="T298" s="2" t="str">
        <f aca="false">IF($B298="","",COUNTIFS(Datos_items!$B:$B,$B298,Datos_items!$AA:$AA,T$4,Datos_items!$E:$E,Analisis_grupo!$C$4))</f>
        <v/>
      </c>
      <c r="U298" s="2" t="str">
        <f aca="false">IF($B298="","",COUNTIFS(Datos_items!$B:$B,$B298,Datos_items!$AA:$AA,U$4,Datos_items!$E:$E,Analisis_grupo!$C$4))</f>
        <v/>
      </c>
      <c r="V298" s="2" t="str">
        <f aca="false">IF($B298="","",COUNTIFS(Datos_items!$B:$B,$B298,Datos_items!$AA:$AA,V$4,Datos_items!$E:$E,Analisis_grupo!$C$4))</f>
        <v/>
      </c>
      <c r="W298" s="2" t="str">
        <f aca="false">IF($B298="","",COUNTIFS(Datos_items!$B:$B,$B298,Datos_items!$AA:$AA,W$4,Datos_items!$E:$E,Analisis_grupo!$C$4))</f>
        <v/>
      </c>
      <c r="X298" s="2" t="str">
        <f aca="false">IF($B298="","",COUNTIFS(Datos_items!$B:$B,$B298,Datos_items!$AA:$AA,X$4,Datos_items!$E:$E,Analisis_grupo!$C$4))</f>
        <v/>
      </c>
      <c r="Y298" s="2" t="str">
        <f aca="false">IF($B298="","",COUNTIFS(Datos_items!$B:$B,$B298,Datos_items!$AA:$AA,Y$4,Datos_items!$E:$E,Analisis_grupo!$C$4))</f>
        <v/>
      </c>
      <c r="Z298" s="2" t="str">
        <f aca="false">IF($B298="","",COUNTIFS(Datos_items!$B:$B,$B298,Datos_items!$AA:$AA,Z$4,Datos_items!$E:$E,Analisis_grupo!$C$4))</f>
        <v/>
      </c>
      <c r="AA298" s="2" t="str">
        <f aca="false">IF($B298="","",COUNTIFS(Datos_items!$B:$B,$B298,Datos_items!$AA:$AA,AA$4,Datos_items!$E:$E,Analisis_grupo!$C$4))</f>
        <v/>
      </c>
      <c r="AB298" s="2" t="str">
        <f aca="false">IF($B298="","",COUNTIFS(Datos_items!$B:$B,$B298,Datos_items!$AA:$AA,AB$4,Datos_items!$E:$E,Analisis_grupo!$C$4))</f>
        <v/>
      </c>
      <c r="AC298" s="2" t="str">
        <f aca="false">IF($B298="","",COUNTIFS(Datos_items!$B:$B,$B298,Datos_items!$AA:$AA,AC$4,Datos_items!$E:$E,Analisis_grupo!$C$4))</f>
        <v/>
      </c>
      <c r="AD298" s="2" t="str">
        <f aca="false">IF($B298="","",COUNTIFS(Datos_items!$B:$B,$B298,Datos_items!$AA:$AA,AD$4,Datos_items!$E:$E,Analisis_grupo!$C$4))</f>
        <v/>
      </c>
      <c r="AE298" s="2" t="str">
        <f aca="false">IF($B298="","",COUNTIFS(Datos_items!$B:$B,$B298,Datos_items!$AA:$AA,AE$4,Datos_items!$E:$E,Analisis_grupo!$C$4))</f>
        <v/>
      </c>
      <c r="AF298" s="2" t="str">
        <f aca="false">IF($B298="","",COUNTIFS(Datos_items!$B:$B,$B298,Datos_items!$AA:$AA,AF$4,Datos_items!$E:$E,Analisis_grupo!$C$4))</f>
        <v/>
      </c>
      <c r="AG298" s="2" t="str">
        <f aca="false">IF($B298="","",COUNTIFS(Datos_items!$B:$B,$B298,Datos_items!$AA:$AA,AG$4,Datos_items!$E:$E,Analisis_grupo!$C$4))</f>
        <v/>
      </c>
      <c r="AH298" s="2" t="str">
        <f aca="false">IF($B298="","",COUNTIFS(Datos_items!$B:$B,$B298,Datos_items!$AA:$AA,AH$4,Datos_items!$E:$E,Analisis_grupo!$C$4))</f>
        <v/>
      </c>
      <c r="AI298" s="2" t="str">
        <f aca="false">IF($B298="","",COUNTIFS(Datos_items!$B:$B,$B298,Datos_items!$AA:$AA,AI$4,Datos_items!$E:$E,Analisis_grupo!$C$4))</f>
        <v/>
      </c>
      <c r="AJ298" s="2" t="str">
        <f aca="false">IF($B298="","",COUNTIFS(Datos_items!$B:$B,$B298,Datos_items!$AA:$AA,AJ$4,Datos_items!$E:$E,Analisis_grupo!$C$4))</f>
        <v/>
      </c>
      <c r="AK298" s="2" t="str">
        <f aca="false">IF($B298="","",COUNTIFS(Datos_items!$B:$B,$B298,Datos_items!$AA:$AA,AK$4,Datos_items!$E:$E,Analisis_grupo!$C$4))</f>
        <v/>
      </c>
      <c r="AL298" s="2" t="str">
        <f aca="false">IF($B298="","",COUNTIFS(Datos_items!$B:$B,$B298,Datos_items!$AA:$AA,AL$4,Datos_items!$E:$E,Analisis_grupo!$C$4))</f>
        <v/>
      </c>
      <c r="AM298" s="2" t="str">
        <f aca="false">IF($B298="","",IF(MAX(Y298:AL298)=0,"",INDEX($Y$4:$AL$4,MATCH(MAX(Y298:AL298),Y298:AL298,0))))</f>
        <v/>
      </c>
      <c r="AN298" s="2" t="str">
        <f aca="false">IF($B298="","",COUNTIFS(Datos_problemas!$B:$B,$B298,Datos_problemas!$F:$F,"Práctica"))</f>
        <v/>
      </c>
      <c r="AO298" s="2" t="str">
        <f aca="false">IF($B298="","",SUMIFS(Datos_problemas!$AQ:$AQ,Datos_problemas!$B:$B,$B298,Datos_problemas!$F:$F,"Práctica"))</f>
        <v/>
      </c>
      <c r="AP298" s="2" t="str">
        <f aca="false">IF($B298="","",COUNTIFS(Datos_problemas!$B:$B,$B298,Datos_problemas!$F:$F,"Práctica",Datos_problemas!$AS:$AS,"Sí"))</f>
        <v/>
      </c>
    </row>
    <row r="299" customFormat="false" ht="15" hidden="false" customHeight="false" outlineLevel="0" collapsed="false">
      <c r="A299" s="2" t="n">
        <v>295</v>
      </c>
      <c r="B299" s="2" t="str">
        <f aca="false">IFERROR(INDEX(Datos_problemas!$B:$B,MATCH($A299,Datos_problemas!$AV:$AV,0)),"")</f>
        <v/>
      </c>
      <c r="C299" s="2" t="str">
        <f aca="false">IF($B299="","",INDEX(Datos_problemas!$C:$C,MATCH($A299,Datos_problemas!$AV:$AV,0)))</f>
        <v/>
      </c>
      <c r="D299" s="2" t="str">
        <f aca="false">IF($B299="","",INDEX(Datos_problemas!$D:$D,MATCH($A299,Datos_problemas!$AV:$AV,0)))</f>
        <v/>
      </c>
      <c r="E299" s="2" t="str">
        <f aca="false">IF($B299="","",COUNTIFS(Datos_problemas!$B:$B,$B299,Datos_problemas!$F:$F,"Evaluación"))</f>
        <v/>
      </c>
      <c r="F299" s="20" t="str">
        <f aca="false">IF($B299="","",IFERROR(AVERAGEIFS(Datos_problemas!$AE:$AE,Datos_problemas!$B:$B,$B299,Datos_problemas!$F:$F,"Evaluación"),""))</f>
        <v/>
      </c>
      <c r="G299" s="20" t="str">
        <f aca="false">IF($B299="","",IFERROR(AVERAGEIFS(Datos_problemas!$AE:$AE,Datos_problemas!$B:$B,$B299,Datos_problemas!$F:$F,"Evaluación",Datos_problemas!$E:$E,"Diagnóstico"),""))</f>
        <v/>
      </c>
      <c r="H299" s="20" t="str">
        <f aca="false">IF($B299="","",IFERROR(AVERAGEIFS(Datos_problemas!$AE:$AE,Datos_problemas!$B:$B,$B299,Datos_problemas!$F:$F,"Evaluación",Datos_problemas!$E:$E,"Final"),""))</f>
        <v/>
      </c>
      <c r="I299" s="21" t="str">
        <f aca="false">IF(OR(G299="",H299=""),"",IF(G299&gt;=10,"",(H299-G299)/(10-G299)))</f>
        <v/>
      </c>
      <c r="J299" s="18" t="str">
        <f aca="false">IF($B299="","",IFERROR(SUMIFS(Datos_items!$Z:$Z,Datos_items!$B:$B,$B299,Datos_items!$O:$O,J$4,Datos_items!$E:$E,Analisis_grupo!$C$4)/COUNTIFS(Datos_items!$B:$B,$B299,Datos_items!$O:$O,J$4,Datos_items!$E:$E,Analisis_grupo!$C$4),""))</f>
        <v/>
      </c>
      <c r="K299" s="18" t="str">
        <f aca="false">IF($B299="","",IFERROR(SUMIFS(Datos_items!$Z:$Z,Datos_items!$B:$B,$B299,Datos_items!$O:$O,K$4,Datos_items!$E:$E,Analisis_grupo!$C$4)/COUNTIFS(Datos_items!$B:$B,$B299,Datos_items!$O:$O,K$4,Datos_items!$E:$E,Analisis_grupo!$C$4),""))</f>
        <v/>
      </c>
      <c r="L299" s="18" t="str">
        <f aca="false">IF($B299="","",IFERROR(SUMIFS(Datos_items!$Z:$Z,Datos_items!$B:$B,$B299,Datos_items!$O:$O,L$4,Datos_items!$E:$E,Analisis_grupo!$C$4)/COUNTIFS(Datos_items!$B:$B,$B299,Datos_items!$O:$O,L$4,Datos_items!$E:$E,Analisis_grupo!$C$4),""))</f>
        <v/>
      </c>
      <c r="M299" s="18" t="str">
        <f aca="false">IF($B299="","",IFERROR(SUMIFS(Datos_items!$Z:$Z,Datos_items!$B:$B,$B299,Datos_items!$O:$O,M$4,Datos_items!$E:$E,Analisis_grupo!$C$4)/COUNTIFS(Datos_items!$B:$B,$B299,Datos_items!$O:$O,M$4,Datos_items!$E:$E,Analisis_grupo!$C$4),""))</f>
        <v/>
      </c>
      <c r="N299" s="18" t="str">
        <f aca="false">IF($B299="","",IFERROR(SUMIFS(Datos_items!$Z:$Z,Datos_items!$B:$B,$B299,Datos_items!$O:$O,N$4,Datos_items!$E:$E,Analisis_grupo!$C$4)/COUNTIFS(Datos_items!$B:$B,$B299,Datos_items!$O:$O,N$4,Datos_items!$E:$E,Analisis_grupo!$C$4),""))</f>
        <v/>
      </c>
      <c r="O299" s="18" t="str">
        <f aca="false">IF($B299="","",IFERROR(SUMIFS(Datos_items!$Z:$Z,Datos_items!$B:$B,$B299,Datos_items!$O:$O,O$4,Datos_items!$E:$E,Analisis_grupo!$C$4)/COUNTIFS(Datos_items!$B:$B,$B299,Datos_items!$O:$O,O$4,Datos_items!$E:$E,Analisis_grupo!$C$4),""))</f>
        <v/>
      </c>
      <c r="P299" s="18" t="str">
        <f aca="false">IF($B299="","",IFERROR(SUMIFS(Datos_items!$Z:$Z,Datos_items!$B:$B,$B299,Datos_items!$O:$O,P$4,Datos_items!$E:$E,Analisis_grupo!$C$4)/COUNTIFS(Datos_items!$B:$B,$B299,Datos_items!$O:$O,P$4,Datos_items!$E:$E,Analisis_grupo!$C$4),""))</f>
        <v/>
      </c>
      <c r="Q299" s="18" t="str">
        <f aca="false">IF($B299="","",IFERROR(SUMIFS(Datos_items!$Z:$Z,Datos_items!$B:$B,$B299,Datos_items!$O:$O,Q$4,Datos_items!$E:$E,Analisis_grupo!$C$4)/COUNTIFS(Datos_items!$B:$B,$B299,Datos_items!$O:$O,Q$4,Datos_items!$E:$E,Analisis_grupo!$C$4),""))</f>
        <v/>
      </c>
      <c r="R299" s="2" t="str">
        <f aca="false">IF(COUNT(J299:Q299)=0,"",IF(MIN(J299:Q299)&gt;=Analisis_grupo!$B$7,"(ninguna)",INDEX($J$4:$Q$4,MATCH(MIN(J299:Q299),J299:Q299,0))))</f>
        <v/>
      </c>
      <c r="S299" s="2" t="str">
        <f aca="false">IF($B299="","",COUNTIF(J299:Q299,"&lt;"&amp;Analisis_grupo!$B$7))</f>
        <v/>
      </c>
      <c r="T299" s="2" t="str">
        <f aca="false">IF($B299="","",COUNTIFS(Datos_items!$B:$B,$B299,Datos_items!$AA:$AA,T$4,Datos_items!$E:$E,Analisis_grupo!$C$4))</f>
        <v/>
      </c>
      <c r="U299" s="2" t="str">
        <f aca="false">IF($B299="","",COUNTIFS(Datos_items!$B:$B,$B299,Datos_items!$AA:$AA,U$4,Datos_items!$E:$E,Analisis_grupo!$C$4))</f>
        <v/>
      </c>
      <c r="V299" s="2" t="str">
        <f aca="false">IF($B299="","",COUNTIFS(Datos_items!$B:$B,$B299,Datos_items!$AA:$AA,V$4,Datos_items!$E:$E,Analisis_grupo!$C$4))</f>
        <v/>
      </c>
      <c r="W299" s="2" t="str">
        <f aca="false">IF($B299="","",COUNTIFS(Datos_items!$B:$B,$B299,Datos_items!$AA:$AA,W$4,Datos_items!$E:$E,Analisis_grupo!$C$4))</f>
        <v/>
      </c>
      <c r="X299" s="2" t="str">
        <f aca="false">IF($B299="","",COUNTIFS(Datos_items!$B:$B,$B299,Datos_items!$AA:$AA,X$4,Datos_items!$E:$E,Analisis_grupo!$C$4))</f>
        <v/>
      </c>
      <c r="Y299" s="2" t="str">
        <f aca="false">IF($B299="","",COUNTIFS(Datos_items!$B:$B,$B299,Datos_items!$AA:$AA,Y$4,Datos_items!$E:$E,Analisis_grupo!$C$4))</f>
        <v/>
      </c>
      <c r="Z299" s="2" t="str">
        <f aca="false">IF($B299="","",COUNTIFS(Datos_items!$B:$B,$B299,Datos_items!$AA:$AA,Z$4,Datos_items!$E:$E,Analisis_grupo!$C$4))</f>
        <v/>
      </c>
      <c r="AA299" s="2" t="str">
        <f aca="false">IF($B299="","",COUNTIFS(Datos_items!$B:$B,$B299,Datos_items!$AA:$AA,AA$4,Datos_items!$E:$E,Analisis_grupo!$C$4))</f>
        <v/>
      </c>
      <c r="AB299" s="2" t="str">
        <f aca="false">IF($B299="","",COUNTIFS(Datos_items!$B:$B,$B299,Datos_items!$AA:$AA,AB$4,Datos_items!$E:$E,Analisis_grupo!$C$4))</f>
        <v/>
      </c>
      <c r="AC299" s="2" t="str">
        <f aca="false">IF($B299="","",COUNTIFS(Datos_items!$B:$B,$B299,Datos_items!$AA:$AA,AC$4,Datos_items!$E:$E,Analisis_grupo!$C$4))</f>
        <v/>
      </c>
      <c r="AD299" s="2" t="str">
        <f aca="false">IF($B299="","",COUNTIFS(Datos_items!$B:$B,$B299,Datos_items!$AA:$AA,AD$4,Datos_items!$E:$E,Analisis_grupo!$C$4))</f>
        <v/>
      </c>
      <c r="AE299" s="2" t="str">
        <f aca="false">IF($B299="","",COUNTIFS(Datos_items!$B:$B,$B299,Datos_items!$AA:$AA,AE$4,Datos_items!$E:$E,Analisis_grupo!$C$4))</f>
        <v/>
      </c>
      <c r="AF299" s="2" t="str">
        <f aca="false">IF($B299="","",COUNTIFS(Datos_items!$B:$B,$B299,Datos_items!$AA:$AA,AF$4,Datos_items!$E:$E,Analisis_grupo!$C$4))</f>
        <v/>
      </c>
      <c r="AG299" s="2" t="str">
        <f aca="false">IF($B299="","",COUNTIFS(Datos_items!$B:$B,$B299,Datos_items!$AA:$AA,AG$4,Datos_items!$E:$E,Analisis_grupo!$C$4))</f>
        <v/>
      </c>
      <c r="AH299" s="2" t="str">
        <f aca="false">IF($B299="","",COUNTIFS(Datos_items!$B:$B,$B299,Datos_items!$AA:$AA,AH$4,Datos_items!$E:$E,Analisis_grupo!$C$4))</f>
        <v/>
      </c>
      <c r="AI299" s="2" t="str">
        <f aca="false">IF($B299="","",COUNTIFS(Datos_items!$B:$B,$B299,Datos_items!$AA:$AA,AI$4,Datos_items!$E:$E,Analisis_grupo!$C$4))</f>
        <v/>
      </c>
      <c r="AJ299" s="2" t="str">
        <f aca="false">IF($B299="","",COUNTIFS(Datos_items!$B:$B,$B299,Datos_items!$AA:$AA,AJ$4,Datos_items!$E:$E,Analisis_grupo!$C$4))</f>
        <v/>
      </c>
      <c r="AK299" s="2" t="str">
        <f aca="false">IF($B299="","",COUNTIFS(Datos_items!$B:$B,$B299,Datos_items!$AA:$AA,AK$4,Datos_items!$E:$E,Analisis_grupo!$C$4))</f>
        <v/>
      </c>
      <c r="AL299" s="2" t="str">
        <f aca="false">IF($B299="","",COUNTIFS(Datos_items!$B:$B,$B299,Datos_items!$AA:$AA,AL$4,Datos_items!$E:$E,Analisis_grupo!$C$4))</f>
        <v/>
      </c>
      <c r="AM299" s="2" t="str">
        <f aca="false">IF($B299="","",IF(MAX(Y299:AL299)=0,"",INDEX($Y$4:$AL$4,MATCH(MAX(Y299:AL299),Y299:AL299,0))))</f>
        <v/>
      </c>
      <c r="AN299" s="2" t="str">
        <f aca="false">IF($B299="","",COUNTIFS(Datos_problemas!$B:$B,$B299,Datos_problemas!$F:$F,"Práctica"))</f>
        <v/>
      </c>
      <c r="AO299" s="2" t="str">
        <f aca="false">IF($B299="","",SUMIFS(Datos_problemas!$AQ:$AQ,Datos_problemas!$B:$B,$B299,Datos_problemas!$F:$F,"Práctica"))</f>
        <v/>
      </c>
      <c r="AP299" s="2" t="str">
        <f aca="false">IF($B299="","",COUNTIFS(Datos_problemas!$B:$B,$B299,Datos_problemas!$F:$F,"Práctica",Datos_problemas!$AS:$AS,"Sí"))</f>
        <v/>
      </c>
    </row>
    <row r="300" customFormat="false" ht="15" hidden="false" customHeight="false" outlineLevel="0" collapsed="false">
      <c r="A300" s="2" t="n">
        <v>296</v>
      </c>
      <c r="B300" s="2" t="str">
        <f aca="false">IFERROR(INDEX(Datos_problemas!$B:$B,MATCH($A300,Datos_problemas!$AV:$AV,0)),"")</f>
        <v/>
      </c>
      <c r="C300" s="2" t="str">
        <f aca="false">IF($B300="","",INDEX(Datos_problemas!$C:$C,MATCH($A300,Datos_problemas!$AV:$AV,0)))</f>
        <v/>
      </c>
      <c r="D300" s="2" t="str">
        <f aca="false">IF($B300="","",INDEX(Datos_problemas!$D:$D,MATCH($A300,Datos_problemas!$AV:$AV,0)))</f>
        <v/>
      </c>
      <c r="E300" s="2" t="str">
        <f aca="false">IF($B300="","",COUNTIFS(Datos_problemas!$B:$B,$B300,Datos_problemas!$F:$F,"Evaluación"))</f>
        <v/>
      </c>
      <c r="F300" s="20" t="str">
        <f aca="false">IF($B300="","",IFERROR(AVERAGEIFS(Datos_problemas!$AE:$AE,Datos_problemas!$B:$B,$B300,Datos_problemas!$F:$F,"Evaluación"),""))</f>
        <v/>
      </c>
      <c r="G300" s="20" t="str">
        <f aca="false">IF($B300="","",IFERROR(AVERAGEIFS(Datos_problemas!$AE:$AE,Datos_problemas!$B:$B,$B300,Datos_problemas!$F:$F,"Evaluación",Datos_problemas!$E:$E,"Diagnóstico"),""))</f>
        <v/>
      </c>
      <c r="H300" s="20" t="str">
        <f aca="false">IF($B300="","",IFERROR(AVERAGEIFS(Datos_problemas!$AE:$AE,Datos_problemas!$B:$B,$B300,Datos_problemas!$F:$F,"Evaluación",Datos_problemas!$E:$E,"Final"),""))</f>
        <v/>
      </c>
      <c r="I300" s="21" t="str">
        <f aca="false">IF(OR(G300="",H300=""),"",IF(G300&gt;=10,"",(H300-G300)/(10-G300)))</f>
        <v/>
      </c>
      <c r="J300" s="18" t="str">
        <f aca="false">IF($B300="","",IFERROR(SUMIFS(Datos_items!$Z:$Z,Datos_items!$B:$B,$B300,Datos_items!$O:$O,J$4,Datos_items!$E:$E,Analisis_grupo!$C$4)/COUNTIFS(Datos_items!$B:$B,$B300,Datos_items!$O:$O,J$4,Datos_items!$E:$E,Analisis_grupo!$C$4),""))</f>
        <v/>
      </c>
      <c r="K300" s="18" t="str">
        <f aca="false">IF($B300="","",IFERROR(SUMIFS(Datos_items!$Z:$Z,Datos_items!$B:$B,$B300,Datos_items!$O:$O,K$4,Datos_items!$E:$E,Analisis_grupo!$C$4)/COUNTIFS(Datos_items!$B:$B,$B300,Datos_items!$O:$O,K$4,Datos_items!$E:$E,Analisis_grupo!$C$4),""))</f>
        <v/>
      </c>
      <c r="L300" s="18" t="str">
        <f aca="false">IF($B300="","",IFERROR(SUMIFS(Datos_items!$Z:$Z,Datos_items!$B:$B,$B300,Datos_items!$O:$O,L$4,Datos_items!$E:$E,Analisis_grupo!$C$4)/COUNTIFS(Datos_items!$B:$B,$B300,Datos_items!$O:$O,L$4,Datos_items!$E:$E,Analisis_grupo!$C$4),""))</f>
        <v/>
      </c>
      <c r="M300" s="18" t="str">
        <f aca="false">IF($B300="","",IFERROR(SUMIFS(Datos_items!$Z:$Z,Datos_items!$B:$B,$B300,Datos_items!$O:$O,M$4,Datos_items!$E:$E,Analisis_grupo!$C$4)/COUNTIFS(Datos_items!$B:$B,$B300,Datos_items!$O:$O,M$4,Datos_items!$E:$E,Analisis_grupo!$C$4),""))</f>
        <v/>
      </c>
      <c r="N300" s="18" t="str">
        <f aca="false">IF($B300="","",IFERROR(SUMIFS(Datos_items!$Z:$Z,Datos_items!$B:$B,$B300,Datos_items!$O:$O,N$4,Datos_items!$E:$E,Analisis_grupo!$C$4)/COUNTIFS(Datos_items!$B:$B,$B300,Datos_items!$O:$O,N$4,Datos_items!$E:$E,Analisis_grupo!$C$4),""))</f>
        <v/>
      </c>
      <c r="O300" s="18" t="str">
        <f aca="false">IF($B300="","",IFERROR(SUMIFS(Datos_items!$Z:$Z,Datos_items!$B:$B,$B300,Datos_items!$O:$O,O$4,Datos_items!$E:$E,Analisis_grupo!$C$4)/COUNTIFS(Datos_items!$B:$B,$B300,Datos_items!$O:$O,O$4,Datos_items!$E:$E,Analisis_grupo!$C$4),""))</f>
        <v/>
      </c>
      <c r="P300" s="18" t="str">
        <f aca="false">IF($B300="","",IFERROR(SUMIFS(Datos_items!$Z:$Z,Datos_items!$B:$B,$B300,Datos_items!$O:$O,P$4,Datos_items!$E:$E,Analisis_grupo!$C$4)/COUNTIFS(Datos_items!$B:$B,$B300,Datos_items!$O:$O,P$4,Datos_items!$E:$E,Analisis_grupo!$C$4),""))</f>
        <v/>
      </c>
      <c r="Q300" s="18" t="str">
        <f aca="false">IF($B300="","",IFERROR(SUMIFS(Datos_items!$Z:$Z,Datos_items!$B:$B,$B300,Datos_items!$O:$O,Q$4,Datos_items!$E:$E,Analisis_grupo!$C$4)/COUNTIFS(Datos_items!$B:$B,$B300,Datos_items!$O:$O,Q$4,Datos_items!$E:$E,Analisis_grupo!$C$4),""))</f>
        <v/>
      </c>
      <c r="R300" s="2" t="str">
        <f aca="false">IF(COUNT(J300:Q300)=0,"",IF(MIN(J300:Q300)&gt;=Analisis_grupo!$B$7,"(ninguna)",INDEX($J$4:$Q$4,MATCH(MIN(J300:Q300),J300:Q300,0))))</f>
        <v/>
      </c>
      <c r="S300" s="2" t="str">
        <f aca="false">IF($B300="","",COUNTIF(J300:Q300,"&lt;"&amp;Analisis_grupo!$B$7))</f>
        <v/>
      </c>
      <c r="T300" s="2" t="str">
        <f aca="false">IF($B300="","",COUNTIFS(Datos_items!$B:$B,$B300,Datos_items!$AA:$AA,T$4,Datos_items!$E:$E,Analisis_grupo!$C$4))</f>
        <v/>
      </c>
      <c r="U300" s="2" t="str">
        <f aca="false">IF($B300="","",COUNTIFS(Datos_items!$B:$B,$B300,Datos_items!$AA:$AA,U$4,Datos_items!$E:$E,Analisis_grupo!$C$4))</f>
        <v/>
      </c>
      <c r="V300" s="2" t="str">
        <f aca="false">IF($B300="","",COUNTIFS(Datos_items!$B:$B,$B300,Datos_items!$AA:$AA,V$4,Datos_items!$E:$E,Analisis_grupo!$C$4))</f>
        <v/>
      </c>
      <c r="W300" s="2" t="str">
        <f aca="false">IF($B300="","",COUNTIFS(Datos_items!$B:$B,$B300,Datos_items!$AA:$AA,W$4,Datos_items!$E:$E,Analisis_grupo!$C$4))</f>
        <v/>
      </c>
      <c r="X300" s="2" t="str">
        <f aca="false">IF($B300="","",COUNTIFS(Datos_items!$B:$B,$B300,Datos_items!$AA:$AA,X$4,Datos_items!$E:$E,Analisis_grupo!$C$4))</f>
        <v/>
      </c>
      <c r="Y300" s="2" t="str">
        <f aca="false">IF($B300="","",COUNTIFS(Datos_items!$B:$B,$B300,Datos_items!$AA:$AA,Y$4,Datos_items!$E:$E,Analisis_grupo!$C$4))</f>
        <v/>
      </c>
      <c r="Z300" s="2" t="str">
        <f aca="false">IF($B300="","",COUNTIFS(Datos_items!$B:$B,$B300,Datos_items!$AA:$AA,Z$4,Datos_items!$E:$E,Analisis_grupo!$C$4))</f>
        <v/>
      </c>
      <c r="AA300" s="2" t="str">
        <f aca="false">IF($B300="","",COUNTIFS(Datos_items!$B:$B,$B300,Datos_items!$AA:$AA,AA$4,Datos_items!$E:$E,Analisis_grupo!$C$4))</f>
        <v/>
      </c>
      <c r="AB300" s="2" t="str">
        <f aca="false">IF($B300="","",COUNTIFS(Datos_items!$B:$B,$B300,Datos_items!$AA:$AA,AB$4,Datos_items!$E:$E,Analisis_grupo!$C$4))</f>
        <v/>
      </c>
      <c r="AC300" s="2" t="str">
        <f aca="false">IF($B300="","",COUNTIFS(Datos_items!$B:$B,$B300,Datos_items!$AA:$AA,AC$4,Datos_items!$E:$E,Analisis_grupo!$C$4))</f>
        <v/>
      </c>
      <c r="AD300" s="2" t="str">
        <f aca="false">IF($B300="","",COUNTIFS(Datos_items!$B:$B,$B300,Datos_items!$AA:$AA,AD$4,Datos_items!$E:$E,Analisis_grupo!$C$4))</f>
        <v/>
      </c>
      <c r="AE300" s="2" t="str">
        <f aca="false">IF($B300="","",COUNTIFS(Datos_items!$B:$B,$B300,Datos_items!$AA:$AA,AE$4,Datos_items!$E:$E,Analisis_grupo!$C$4))</f>
        <v/>
      </c>
      <c r="AF300" s="2" t="str">
        <f aca="false">IF($B300="","",COUNTIFS(Datos_items!$B:$B,$B300,Datos_items!$AA:$AA,AF$4,Datos_items!$E:$E,Analisis_grupo!$C$4))</f>
        <v/>
      </c>
      <c r="AG300" s="2" t="str">
        <f aca="false">IF($B300="","",COUNTIFS(Datos_items!$B:$B,$B300,Datos_items!$AA:$AA,AG$4,Datos_items!$E:$E,Analisis_grupo!$C$4))</f>
        <v/>
      </c>
      <c r="AH300" s="2" t="str">
        <f aca="false">IF($B300="","",COUNTIFS(Datos_items!$B:$B,$B300,Datos_items!$AA:$AA,AH$4,Datos_items!$E:$E,Analisis_grupo!$C$4))</f>
        <v/>
      </c>
      <c r="AI300" s="2" t="str">
        <f aca="false">IF($B300="","",COUNTIFS(Datos_items!$B:$B,$B300,Datos_items!$AA:$AA,AI$4,Datos_items!$E:$E,Analisis_grupo!$C$4))</f>
        <v/>
      </c>
      <c r="AJ300" s="2" t="str">
        <f aca="false">IF($B300="","",COUNTIFS(Datos_items!$B:$B,$B300,Datos_items!$AA:$AA,AJ$4,Datos_items!$E:$E,Analisis_grupo!$C$4))</f>
        <v/>
      </c>
      <c r="AK300" s="2" t="str">
        <f aca="false">IF($B300="","",COUNTIFS(Datos_items!$B:$B,$B300,Datos_items!$AA:$AA,AK$4,Datos_items!$E:$E,Analisis_grupo!$C$4))</f>
        <v/>
      </c>
      <c r="AL300" s="2" t="str">
        <f aca="false">IF($B300="","",COUNTIFS(Datos_items!$B:$B,$B300,Datos_items!$AA:$AA,AL$4,Datos_items!$E:$E,Analisis_grupo!$C$4))</f>
        <v/>
      </c>
      <c r="AM300" s="2" t="str">
        <f aca="false">IF($B300="","",IF(MAX(Y300:AL300)=0,"",INDEX($Y$4:$AL$4,MATCH(MAX(Y300:AL300),Y300:AL300,0))))</f>
        <v/>
      </c>
      <c r="AN300" s="2" t="str">
        <f aca="false">IF($B300="","",COUNTIFS(Datos_problemas!$B:$B,$B300,Datos_problemas!$F:$F,"Práctica"))</f>
        <v/>
      </c>
      <c r="AO300" s="2" t="str">
        <f aca="false">IF($B300="","",SUMIFS(Datos_problemas!$AQ:$AQ,Datos_problemas!$B:$B,$B300,Datos_problemas!$F:$F,"Práctica"))</f>
        <v/>
      </c>
      <c r="AP300" s="2" t="str">
        <f aca="false">IF($B300="","",COUNTIFS(Datos_problemas!$B:$B,$B300,Datos_problemas!$F:$F,"Práctica",Datos_problemas!$AS:$AS,"Sí"))</f>
        <v/>
      </c>
    </row>
    <row r="301" customFormat="false" ht="15" hidden="false" customHeight="false" outlineLevel="0" collapsed="false">
      <c r="A301" s="2" t="n">
        <v>297</v>
      </c>
      <c r="B301" s="2" t="str">
        <f aca="false">IFERROR(INDEX(Datos_problemas!$B:$B,MATCH($A301,Datos_problemas!$AV:$AV,0)),"")</f>
        <v/>
      </c>
      <c r="C301" s="2" t="str">
        <f aca="false">IF($B301="","",INDEX(Datos_problemas!$C:$C,MATCH($A301,Datos_problemas!$AV:$AV,0)))</f>
        <v/>
      </c>
      <c r="D301" s="2" t="str">
        <f aca="false">IF($B301="","",INDEX(Datos_problemas!$D:$D,MATCH($A301,Datos_problemas!$AV:$AV,0)))</f>
        <v/>
      </c>
      <c r="E301" s="2" t="str">
        <f aca="false">IF($B301="","",COUNTIFS(Datos_problemas!$B:$B,$B301,Datos_problemas!$F:$F,"Evaluación"))</f>
        <v/>
      </c>
      <c r="F301" s="20" t="str">
        <f aca="false">IF($B301="","",IFERROR(AVERAGEIFS(Datos_problemas!$AE:$AE,Datos_problemas!$B:$B,$B301,Datos_problemas!$F:$F,"Evaluación"),""))</f>
        <v/>
      </c>
      <c r="G301" s="20" t="str">
        <f aca="false">IF($B301="","",IFERROR(AVERAGEIFS(Datos_problemas!$AE:$AE,Datos_problemas!$B:$B,$B301,Datos_problemas!$F:$F,"Evaluación",Datos_problemas!$E:$E,"Diagnóstico"),""))</f>
        <v/>
      </c>
      <c r="H301" s="20" t="str">
        <f aca="false">IF($B301="","",IFERROR(AVERAGEIFS(Datos_problemas!$AE:$AE,Datos_problemas!$B:$B,$B301,Datos_problemas!$F:$F,"Evaluación",Datos_problemas!$E:$E,"Final"),""))</f>
        <v/>
      </c>
      <c r="I301" s="21" t="str">
        <f aca="false">IF(OR(G301="",H301=""),"",IF(G301&gt;=10,"",(H301-G301)/(10-G301)))</f>
        <v/>
      </c>
      <c r="J301" s="18" t="str">
        <f aca="false">IF($B301="","",IFERROR(SUMIFS(Datos_items!$Z:$Z,Datos_items!$B:$B,$B301,Datos_items!$O:$O,J$4,Datos_items!$E:$E,Analisis_grupo!$C$4)/COUNTIFS(Datos_items!$B:$B,$B301,Datos_items!$O:$O,J$4,Datos_items!$E:$E,Analisis_grupo!$C$4),""))</f>
        <v/>
      </c>
      <c r="K301" s="18" t="str">
        <f aca="false">IF($B301="","",IFERROR(SUMIFS(Datos_items!$Z:$Z,Datos_items!$B:$B,$B301,Datos_items!$O:$O,K$4,Datos_items!$E:$E,Analisis_grupo!$C$4)/COUNTIFS(Datos_items!$B:$B,$B301,Datos_items!$O:$O,K$4,Datos_items!$E:$E,Analisis_grupo!$C$4),""))</f>
        <v/>
      </c>
      <c r="L301" s="18" t="str">
        <f aca="false">IF($B301="","",IFERROR(SUMIFS(Datos_items!$Z:$Z,Datos_items!$B:$B,$B301,Datos_items!$O:$O,L$4,Datos_items!$E:$E,Analisis_grupo!$C$4)/COUNTIFS(Datos_items!$B:$B,$B301,Datos_items!$O:$O,L$4,Datos_items!$E:$E,Analisis_grupo!$C$4),""))</f>
        <v/>
      </c>
      <c r="M301" s="18" t="str">
        <f aca="false">IF($B301="","",IFERROR(SUMIFS(Datos_items!$Z:$Z,Datos_items!$B:$B,$B301,Datos_items!$O:$O,M$4,Datos_items!$E:$E,Analisis_grupo!$C$4)/COUNTIFS(Datos_items!$B:$B,$B301,Datos_items!$O:$O,M$4,Datos_items!$E:$E,Analisis_grupo!$C$4),""))</f>
        <v/>
      </c>
      <c r="N301" s="18" t="str">
        <f aca="false">IF($B301="","",IFERROR(SUMIFS(Datos_items!$Z:$Z,Datos_items!$B:$B,$B301,Datos_items!$O:$O,N$4,Datos_items!$E:$E,Analisis_grupo!$C$4)/COUNTIFS(Datos_items!$B:$B,$B301,Datos_items!$O:$O,N$4,Datos_items!$E:$E,Analisis_grupo!$C$4),""))</f>
        <v/>
      </c>
      <c r="O301" s="18" t="str">
        <f aca="false">IF($B301="","",IFERROR(SUMIFS(Datos_items!$Z:$Z,Datos_items!$B:$B,$B301,Datos_items!$O:$O,O$4,Datos_items!$E:$E,Analisis_grupo!$C$4)/COUNTIFS(Datos_items!$B:$B,$B301,Datos_items!$O:$O,O$4,Datos_items!$E:$E,Analisis_grupo!$C$4),""))</f>
        <v/>
      </c>
      <c r="P301" s="18" t="str">
        <f aca="false">IF($B301="","",IFERROR(SUMIFS(Datos_items!$Z:$Z,Datos_items!$B:$B,$B301,Datos_items!$O:$O,P$4,Datos_items!$E:$E,Analisis_grupo!$C$4)/COUNTIFS(Datos_items!$B:$B,$B301,Datos_items!$O:$O,P$4,Datos_items!$E:$E,Analisis_grupo!$C$4),""))</f>
        <v/>
      </c>
      <c r="Q301" s="18" t="str">
        <f aca="false">IF($B301="","",IFERROR(SUMIFS(Datos_items!$Z:$Z,Datos_items!$B:$B,$B301,Datos_items!$O:$O,Q$4,Datos_items!$E:$E,Analisis_grupo!$C$4)/COUNTIFS(Datos_items!$B:$B,$B301,Datos_items!$O:$O,Q$4,Datos_items!$E:$E,Analisis_grupo!$C$4),""))</f>
        <v/>
      </c>
      <c r="R301" s="2" t="str">
        <f aca="false">IF(COUNT(J301:Q301)=0,"",IF(MIN(J301:Q301)&gt;=Analisis_grupo!$B$7,"(ninguna)",INDEX($J$4:$Q$4,MATCH(MIN(J301:Q301),J301:Q301,0))))</f>
        <v/>
      </c>
      <c r="S301" s="2" t="str">
        <f aca="false">IF($B301="","",COUNTIF(J301:Q301,"&lt;"&amp;Analisis_grupo!$B$7))</f>
        <v/>
      </c>
      <c r="T301" s="2" t="str">
        <f aca="false">IF($B301="","",COUNTIFS(Datos_items!$B:$B,$B301,Datos_items!$AA:$AA,T$4,Datos_items!$E:$E,Analisis_grupo!$C$4))</f>
        <v/>
      </c>
      <c r="U301" s="2" t="str">
        <f aca="false">IF($B301="","",COUNTIFS(Datos_items!$B:$B,$B301,Datos_items!$AA:$AA,U$4,Datos_items!$E:$E,Analisis_grupo!$C$4))</f>
        <v/>
      </c>
      <c r="V301" s="2" t="str">
        <f aca="false">IF($B301="","",COUNTIFS(Datos_items!$B:$B,$B301,Datos_items!$AA:$AA,V$4,Datos_items!$E:$E,Analisis_grupo!$C$4))</f>
        <v/>
      </c>
      <c r="W301" s="2" t="str">
        <f aca="false">IF($B301="","",COUNTIFS(Datos_items!$B:$B,$B301,Datos_items!$AA:$AA,W$4,Datos_items!$E:$E,Analisis_grupo!$C$4))</f>
        <v/>
      </c>
      <c r="X301" s="2" t="str">
        <f aca="false">IF($B301="","",COUNTIFS(Datos_items!$B:$B,$B301,Datos_items!$AA:$AA,X$4,Datos_items!$E:$E,Analisis_grupo!$C$4))</f>
        <v/>
      </c>
      <c r="Y301" s="2" t="str">
        <f aca="false">IF($B301="","",COUNTIFS(Datos_items!$B:$B,$B301,Datos_items!$AA:$AA,Y$4,Datos_items!$E:$E,Analisis_grupo!$C$4))</f>
        <v/>
      </c>
      <c r="Z301" s="2" t="str">
        <f aca="false">IF($B301="","",COUNTIFS(Datos_items!$B:$B,$B301,Datos_items!$AA:$AA,Z$4,Datos_items!$E:$E,Analisis_grupo!$C$4))</f>
        <v/>
      </c>
      <c r="AA301" s="2" t="str">
        <f aca="false">IF($B301="","",COUNTIFS(Datos_items!$B:$B,$B301,Datos_items!$AA:$AA,AA$4,Datos_items!$E:$E,Analisis_grupo!$C$4))</f>
        <v/>
      </c>
      <c r="AB301" s="2" t="str">
        <f aca="false">IF($B301="","",COUNTIFS(Datos_items!$B:$B,$B301,Datos_items!$AA:$AA,AB$4,Datos_items!$E:$E,Analisis_grupo!$C$4))</f>
        <v/>
      </c>
      <c r="AC301" s="2" t="str">
        <f aca="false">IF($B301="","",COUNTIFS(Datos_items!$B:$B,$B301,Datos_items!$AA:$AA,AC$4,Datos_items!$E:$E,Analisis_grupo!$C$4))</f>
        <v/>
      </c>
      <c r="AD301" s="2" t="str">
        <f aca="false">IF($B301="","",COUNTIFS(Datos_items!$B:$B,$B301,Datos_items!$AA:$AA,AD$4,Datos_items!$E:$E,Analisis_grupo!$C$4))</f>
        <v/>
      </c>
      <c r="AE301" s="2" t="str">
        <f aca="false">IF($B301="","",COUNTIFS(Datos_items!$B:$B,$B301,Datos_items!$AA:$AA,AE$4,Datos_items!$E:$E,Analisis_grupo!$C$4))</f>
        <v/>
      </c>
      <c r="AF301" s="2" t="str">
        <f aca="false">IF($B301="","",COUNTIFS(Datos_items!$B:$B,$B301,Datos_items!$AA:$AA,AF$4,Datos_items!$E:$E,Analisis_grupo!$C$4))</f>
        <v/>
      </c>
      <c r="AG301" s="2" t="str">
        <f aca="false">IF($B301="","",COUNTIFS(Datos_items!$B:$B,$B301,Datos_items!$AA:$AA,AG$4,Datos_items!$E:$E,Analisis_grupo!$C$4))</f>
        <v/>
      </c>
      <c r="AH301" s="2" t="str">
        <f aca="false">IF($B301="","",COUNTIFS(Datos_items!$B:$B,$B301,Datos_items!$AA:$AA,AH$4,Datos_items!$E:$E,Analisis_grupo!$C$4))</f>
        <v/>
      </c>
      <c r="AI301" s="2" t="str">
        <f aca="false">IF($B301="","",COUNTIFS(Datos_items!$B:$B,$B301,Datos_items!$AA:$AA,AI$4,Datos_items!$E:$E,Analisis_grupo!$C$4))</f>
        <v/>
      </c>
      <c r="AJ301" s="2" t="str">
        <f aca="false">IF($B301="","",COUNTIFS(Datos_items!$B:$B,$B301,Datos_items!$AA:$AA,AJ$4,Datos_items!$E:$E,Analisis_grupo!$C$4))</f>
        <v/>
      </c>
      <c r="AK301" s="2" t="str">
        <f aca="false">IF($B301="","",COUNTIFS(Datos_items!$B:$B,$B301,Datos_items!$AA:$AA,AK$4,Datos_items!$E:$E,Analisis_grupo!$C$4))</f>
        <v/>
      </c>
      <c r="AL301" s="2" t="str">
        <f aca="false">IF($B301="","",COUNTIFS(Datos_items!$B:$B,$B301,Datos_items!$AA:$AA,AL$4,Datos_items!$E:$E,Analisis_grupo!$C$4))</f>
        <v/>
      </c>
      <c r="AM301" s="2" t="str">
        <f aca="false">IF($B301="","",IF(MAX(Y301:AL301)=0,"",INDEX($Y$4:$AL$4,MATCH(MAX(Y301:AL301),Y301:AL301,0))))</f>
        <v/>
      </c>
      <c r="AN301" s="2" t="str">
        <f aca="false">IF($B301="","",COUNTIFS(Datos_problemas!$B:$B,$B301,Datos_problemas!$F:$F,"Práctica"))</f>
        <v/>
      </c>
      <c r="AO301" s="2" t="str">
        <f aca="false">IF($B301="","",SUMIFS(Datos_problemas!$AQ:$AQ,Datos_problemas!$B:$B,$B301,Datos_problemas!$F:$F,"Práctica"))</f>
        <v/>
      </c>
      <c r="AP301" s="2" t="str">
        <f aca="false">IF($B301="","",COUNTIFS(Datos_problemas!$B:$B,$B301,Datos_problemas!$F:$F,"Práctica",Datos_problemas!$AS:$AS,"Sí"))</f>
        <v/>
      </c>
    </row>
    <row r="302" customFormat="false" ht="15" hidden="false" customHeight="false" outlineLevel="0" collapsed="false">
      <c r="A302" s="2" t="n">
        <v>298</v>
      </c>
      <c r="B302" s="2" t="str">
        <f aca="false">IFERROR(INDEX(Datos_problemas!$B:$B,MATCH($A302,Datos_problemas!$AV:$AV,0)),"")</f>
        <v/>
      </c>
      <c r="C302" s="2" t="str">
        <f aca="false">IF($B302="","",INDEX(Datos_problemas!$C:$C,MATCH($A302,Datos_problemas!$AV:$AV,0)))</f>
        <v/>
      </c>
      <c r="D302" s="2" t="str">
        <f aca="false">IF($B302="","",INDEX(Datos_problemas!$D:$D,MATCH($A302,Datos_problemas!$AV:$AV,0)))</f>
        <v/>
      </c>
      <c r="E302" s="2" t="str">
        <f aca="false">IF($B302="","",COUNTIFS(Datos_problemas!$B:$B,$B302,Datos_problemas!$F:$F,"Evaluación"))</f>
        <v/>
      </c>
      <c r="F302" s="20" t="str">
        <f aca="false">IF($B302="","",IFERROR(AVERAGEIFS(Datos_problemas!$AE:$AE,Datos_problemas!$B:$B,$B302,Datos_problemas!$F:$F,"Evaluación"),""))</f>
        <v/>
      </c>
      <c r="G302" s="20" t="str">
        <f aca="false">IF($B302="","",IFERROR(AVERAGEIFS(Datos_problemas!$AE:$AE,Datos_problemas!$B:$B,$B302,Datos_problemas!$F:$F,"Evaluación",Datos_problemas!$E:$E,"Diagnóstico"),""))</f>
        <v/>
      </c>
      <c r="H302" s="20" t="str">
        <f aca="false">IF($B302="","",IFERROR(AVERAGEIFS(Datos_problemas!$AE:$AE,Datos_problemas!$B:$B,$B302,Datos_problemas!$F:$F,"Evaluación",Datos_problemas!$E:$E,"Final"),""))</f>
        <v/>
      </c>
      <c r="I302" s="21" t="str">
        <f aca="false">IF(OR(G302="",H302=""),"",IF(G302&gt;=10,"",(H302-G302)/(10-G302)))</f>
        <v/>
      </c>
      <c r="J302" s="18" t="str">
        <f aca="false">IF($B302="","",IFERROR(SUMIFS(Datos_items!$Z:$Z,Datos_items!$B:$B,$B302,Datos_items!$O:$O,J$4,Datos_items!$E:$E,Analisis_grupo!$C$4)/COUNTIFS(Datos_items!$B:$B,$B302,Datos_items!$O:$O,J$4,Datos_items!$E:$E,Analisis_grupo!$C$4),""))</f>
        <v/>
      </c>
      <c r="K302" s="18" t="str">
        <f aca="false">IF($B302="","",IFERROR(SUMIFS(Datos_items!$Z:$Z,Datos_items!$B:$B,$B302,Datos_items!$O:$O,K$4,Datos_items!$E:$E,Analisis_grupo!$C$4)/COUNTIFS(Datos_items!$B:$B,$B302,Datos_items!$O:$O,K$4,Datos_items!$E:$E,Analisis_grupo!$C$4),""))</f>
        <v/>
      </c>
      <c r="L302" s="18" t="str">
        <f aca="false">IF($B302="","",IFERROR(SUMIFS(Datos_items!$Z:$Z,Datos_items!$B:$B,$B302,Datos_items!$O:$O,L$4,Datos_items!$E:$E,Analisis_grupo!$C$4)/COUNTIFS(Datos_items!$B:$B,$B302,Datos_items!$O:$O,L$4,Datos_items!$E:$E,Analisis_grupo!$C$4),""))</f>
        <v/>
      </c>
      <c r="M302" s="18" t="str">
        <f aca="false">IF($B302="","",IFERROR(SUMIFS(Datos_items!$Z:$Z,Datos_items!$B:$B,$B302,Datos_items!$O:$O,M$4,Datos_items!$E:$E,Analisis_grupo!$C$4)/COUNTIFS(Datos_items!$B:$B,$B302,Datos_items!$O:$O,M$4,Datos_items!$E:$E,Analisis_grupo!$C$4),""))</f>
        <v/>
      </c>
      <c r="N302" s="18" t="str">
        <f aca="false">IF($B302="","",IFERROR(SUMIFS(Datos_items!$Z:$Z,Datos_items!$B:$B,$B302,Datos_items!$O:$O,N$4,Datos_items!$E:$E,Analisis_grupo!$C$4)/COUNTIFS(Datos_items!$B:$B,$B302,Datos_items!$O:$O,N$4,Datos_items!$E:$E,Analisis_grupo!$C$4),""))</f>
        <v/>
      </c>
      <c r="O302" s="18" t="str">
        <f aca="false">IF($B302="","",IFERROR(SUMIFS(Datos_items!$Z:$Z,Datos_items!$B:$B,$B302,Datos_items!$O:$O,O$4,Datos_items!$E:$E,Analisis_grupo!$C$4)/COUNTIFS(Datos_items!$B:$B,$B302,Datos_items!$O:$O,O$4,Datos_items!$E:$E,Analisis_grupo!$C$4),""))</f>
        <v/>
      </c>
      <c r="P302" s="18" t="str">
        <f aca="false">IF($B302="","",IFERROR(SUMIFS(Datos_items!$Z:$Z,Datos_items!$B:$B,$B302,Datos_items!$O:$O,P$4,Datos_items!$E:$E,Analisis_grupo!$C$4)/COUNTIFS(Datos_items!$B:$B,$B302,Datos_items!$O:$O,P$4,Datos_items!$E:$E,Analisis_grupo!$C$4),""))</f>
        <v/>
      </c>
      <c r="Q302" s="18" t="str">
        <f aca="false">IF($B302="","",IFERROR(SUMIFS(Datos_items!$Z:$Z,Datos_items!$B:$B,$B302,Datos_items!$O:$O,Q$4,Datos_items!$E:$E,Analisis_grupo!$C$4)/COUNTIFS(Datos_items!$B:$B,$B302,Datos_items!$O:$O,Q$4,Datos_items!$E:$E,Analisis_grupo!$C$4),""))</f>
        <v/>
      </c>
      <c r="R302" s="2" t="str">
        <f aca="false">IF(COUNT(J302:Q302)=0,"",IF(MIN(J302:Q302)&gt;=Analisis_grupo!$B$7,"(ninguna)",INDEX($J$4:$Q$4,MATCH(MIN(J302:Q302),J302:Q302,0))))</f>
        <v/>
      </c>
      <c r="S302" s="2" t="str">
        <f aca="false">IF($B302="","",COUNTIF(J302:Q302,"&lt;"&amp;Analisis_grupo!$B$7))</f>
        <v/>
      </c>
      <c r="T302" s="2" t="str">
        <f aca="false">IF($B302="","",COUNTIFS(Datos_items!$B:$B,$B302,Datos_items!$AA:$AA,T$4,Datos_items!$E:$E,Analisis_grupo!$C$4))</f>
        <v/>
      </c>
      <c r="U302" s="2" t="str">
        <f aca="false">IF($B302="","",COUNTIFS(Datos_items!$B:$B,$B302,Datos_items!$AA:$AA,U$4,Datos_items!$E:$E,Analisis_grupo!$C$4))</f>
        <v/>
      </c>
      <c r="V302" s="2" t="str">
        <f aca="false">IF($B302="","",COUNTIFS(Datos_items!$B:$B,$B302,Datos_items!$AA:$AA,V$4,Datos_items!$E:$E,Analisis_grupo!$C$4))</f>
        <v/>
      </c>
      <c r="W302" s="2" t="str">
        <f aca="false">IF($B302="","",COUNTIFS(Datos_items!$B:$B,$B302,Datos_items!$AA:$AA,W$4,Datos_items!$E:$E,Analisis_grupo!$C$4))</f>
        <v/>
      </c>
      <c r="X302" s="2" t="str">
        <f aca="false">IF($B302="","",COUNTIFS(Datos_items!$B:$B,$B302,Datos_items!$AA:$AA,X$4,Datos_items!$E:$E,Analisis_grupo!$C$4))</f>
        <v/>
      </c>
      <c r="Y302" s="2" t="str">
        <f aca="false">IF($B302="","",COUNTIFS(Datos_items!$B:$B,$B302,Datos_items!$AA:$AA,Y$4,Datos_items!$E:$E,Analisis_grupo!$C$4))</f>
        <v/>
      </c>
      <c r="Z302" s="2" t="str">
        <f aca="false">IF($B302="","",COUNTIFS(Datos_items!$B:$B,$B302,Datos_items!$AA:$AA,Z$4,Datos_items!$E:$E,Analisis_grupo!$C$4))</f>
        <v/>
      </c>
      <c r="AA302" s="2" t="str">
        <f aca="false">IF($B302="","",COUNTIFS(Datos_items!$B:$B,$B302,Datos_items!$AA:$AA,AA$4,Datos_items!$E:$E,Analisis_grupo!$C$4))</f>
        <v/>
      </c>
      <c r="AB302" s="2" t="str">
        <f aca="false">IF($B302="","",COUNTIFS(Datos_items!$B:$B,$B302,Datos_items!$AA:$AA,AB$4,Datos_items!$E:$E,Analisis_grupo!$C$4))</f>
        <v/>
      </c>
      <c r="AC302" s="2" t="str">
        <f aca="false">IF($B302="","",COUNTIFS(Datos_items!$B:$B,$B302,Datos_items!$AA:$AA,AC$4,Datos_items!$E:$E,Analisis_grupo!$C$4))</f>
        <v/>
      </c>
      <c r="AD302" s="2" t="str">
        <f aca="false">IF($B302="","",COUNTIFS(Datos_items!$B:$B,$B302,Datos_items!$AA:$AA,AD$4,Datos_items!$E:$E,Analisis_grupo!$C$4))</f>
        <v/>
      </c>
      <c r="AE302" s="2" t="str">
        <f aca="false">IF($B302="","",COUNTIFS(Datos_items!$B:$B,$B302,Datos_items!$AA:$AA,AE$4,Datos_items!$E:$E,Analisis_grupo!$C$4))</f>
        <v/>
      </c>
      <c r="AF302" s="2" t="str">
        <f aca="false">IF($B302="","",COUNTIFS(Datos_items!$B:$B,$B302,Datos_items!$AA:$AA,AF$4,Datos_items!$E:$E,Analisis_grupo!$C$4))</f>
        <v/>
      </c>
      <c r="AG302" s="2" t="str">
        <f aca="false">IF($B302="","",COUNTIFS(Datos_items!$B:$B,$B302,Datos_items!$AA:$AA,AG$4,Datos_items!$E:$E,Analisis_grupo!$C$4))</f>
        <v/>
      </c>
      <c r="AH302" s="2" t="str">
        <f aca="false">IF($B302="","",COUNTIFS(Datos_items!$B:$B,$B302,Datos_items!$AA:$AA,AH$4,Datos_items!$E:$E,Analisis_grupo!$C$4))</f>
        <v/>
      </c>
      <c r="AI302" s="2" t="str">
        <f aca="false">IF($B302="","",COUNTIFS(Datos_items!$B:$B,$B302,Datos_items!$AA:$AA,AI$4,Datos_items!$E:$E,Analisis_grupo!$C$4))</f>
        <v/>
      </c>
      <c r="AJ302" s="2" t="str">
        <f aca="false">IF($B302="","",COUNTIFS(Datos_items!$B:$B,$B302,Datos_items!$AA:$AA,AJ$4,Datos_items!$E:$E,Analisis_grupo!$C$4))</f>
        <v/>
      </c>
      <c r="AK302" s="2" t="str">
        <f aca="false">IF($B302="","",COUNTIFS(Datos_items!$B:$B,$B302,Datos_items!$AA:$AA,AK$4,Datos_items!$E:$E,Analisis_grupo!$C$4))</f>
        <v/>
      </c>
      <c r="AL302" s="2" t="str">
        <f aca="false">IF($B302="","",COUNTIFS(Datos_items!$B:$B,$B302,Datos_items!$AA:$AA,AL$4,Datos_items!$E:$E,Analisis_grupo!$C$4))</f>
        <v/>
      </c>
      <c r="AM302" s="2" t="str">
        <f aca="false">IF($B302="","",IF(MAX(Y302:AL302)=0,"",INDEX($Y$4:$AL$4,MATCH(MAX(Y302:AL302),Y302:AL302,0))))</f>
        <v/>
      </c>
      <c r="AN302" s="2" t="str">
        <f aca="false">IF($B302="","",COUNTIFS(Datos_problemas!$B:$B,$B302,Datos_problemas!$F:$F,"Práctica"))</f>
        <v/>
      </c>
      <c r="AO302" s="2" t="str">
        <f aca="false">IF($B302="","",SUMIFS(Datos_problemas!$AQ:$AQ,Datos_problemas!$B:$B,$B302,Datos_problemas!$F:$F,"Práctica"))</f>
        <v/>
      </c>
      <c r="AP302" s="2" t="str">
        <f aca="false">IF($B302="","",COUNTIFS(Datos_problemas!$B:$B,$B302,Datos_problemas!$F:$F,"Práctica",Datos_problemas!$AS:$AS,"Sí"))</f>
        <v/>
      </c>
    </row>
    <row r="303" customFormat="false" ht="15" hidden="false" customHeight="false" outlineLevel="0" collapsed="false">
      <c r="A303" s="2" t="n">
        <v>299</v>
      </c>
      <c r="B303" s="2" t="str">
        <f aca="false">IFERROR(INDEX(Datos_problemas!$B:$B,MATCH($A303,Datos_problemas!$AV:$AV,0)),"")</f>
        <v/>
      </c>
      <c r="C303" s="2" t="str">
        <f aca="false">IF($B303="","",INDEX(Datos_problemas!$C:$C,MATCH($A303,Datos_problemas!$AV:$AV,0)))</f>
        <v/>
      </c>
      <c r="D303" s="2" t="str">
        <f aca="false">IF($B303="","",INDEX(Datos_problemas!$D:$D,MATCH($A303,Datos_problemas!$AV:$AV,0)))</f>
        <v/>
      </c>
      <c r="E303" s="2" t="str">
        <f aca="false">IF($B303="","",COUNTIFS(Datos_problemas!$B:$B,$B303,Datos_problemas!$F:$F,"Evaluación"))</f>
        <v/>
      </c>
      <c r="F303" s="20" t="str">
        <f aca="false">IF($B303="","",IFERROR(AVERAGEIFS(Datos_problemas!$AE:$AE,Datos_problemas!$B:$B,$B303,Datos_problemas!$F:$F,"Evaluación"),""))</f>
        <v/>
      </c>
      <c r="G303" s="20" t="str">
        <f aca="false">IF($B303="","",IFERROR(AVERAGEIFS(Datos_problemas!$AE:$AE,Datos_problemas!$B:$B,$B303,Datos_problemas!$F:$F,"Evaluación",Datos_problemas!$E:$E,"Diagnóstico"),""))</f>
        <v/>
      </c>
      <c r="H303" s="20" t="str">
        <f aca="false">IF($B303="","",IFERROR(AVERAGEIFS(Datos_problemas!$AE:$AE,Datos_problemas!$B:$B,$B303,Datos_problemas!$F:$F,"Evaluación",Datos_problemas!$E:$E,"Final"),""))</f>
        <v/>
      </c>
      <c r="I303" s="21" t="str">
        <f aca="false">IF(OR(G303="",H303=""),"",IF(G303&gt;=10,"",(H303-G303)/(10-G303)))</f>
        <v/>
      </c>
      <c r="J303" s="18" t="str">
        <f aca="false">IF($B303="","",IFERROR(SUMIFS(Datos_items!$Z:$Z,Datos_items!$B:$B,$B303,Datos_items!$O:$O,J$4,Datos_items!$E:$E,Analisis_grupo!$C$4)/COUNTIFS(Datos_items!$B:$B,$B303,Datos_items!$O:$O,J$4,Datos_items!$E:$E,Analisis_grupo!$C$4),""))</f>
        <v/>
      </c>
      <c r="K303" s="18" t="str">
        <f aca="false">IF($B303="","",IFERROR(SUMIFS(Datos_items!$Z:$Z,Datos_items!$B:$B,$B303,Datos_items!$O:$O,K$4,Datos_items!$E:$E,Analisis_grupo!$C$4)/COUNTIFS(Datos_items!$B:$B,$B303,Datos_items!$O:$O,K$4,Datos_items!$E:$E,Analisis_grupo!$C$4),""))</f>
        <v/>
      </c>
      <c r="L303" s="18" t="str">
        <f aca="false">IF($B303="","",IFERROR(SUMIFS(Datos_items!$Z:$Z,Datos_items!$B:$B,$B303,Datos_items!$O:$O,L$4,Datos_items!$E:$E,Analisis_grupo!$C$4)/COUNTIFS(Datos_items!$B:$B,$B303,Datos_items!$O:$O,L$4,Datos_items!$E:$E,Analisis_grupo!$C$4),""))</f>
        <v/>
      </c>
      <c r="M303" s="18" t="str">
        <f aca="false">IF($B303="","",IFERROR(SUMIFS(Datos_items!$Z:$Z,Datos_items!$B:$B,$B303,Datos_items!$O:$O,M$4,Datos_items!$E:$E,Analisis_grupo!$C$4)/COUNTIFS(Datos_items!$B:$B,$B303,Datos_items!$O:$O,M$4,Datos_items!$E:$E,Analisis_grupo!$C$4),""))</f>
        <v/>
      </c>
      <c r="N303" s="18" t="str">
        <f aca="false">IF($B303="","",IFERROR(SUMIFS(Datos_items!$Z:$Z,Datos_items!$B:$B,$B303,Datos_items!$O:$O,N$4,Datos_items!$E:$E,Analisis_grupo!$C$4)/COUNTIFS(Datos_items!$B:$B,$B303,Datos_items!$O:$O,N$4,Datos_items!$E:$E,Analisis_grupo!$C$4),""))</f>
        <v/>
      </c>
      <c r="O303" s="18" t="str">
        <f aca="false">IF($B303="","",IFERROR(SUMIFS(Datos_items!$Z:$Z,Datos_items!$B:$B,$B303,Datos_items!$O:$O,O$4,Datos_items!$E:$E,Analisis_grupo!$C$4)/COUNTIFS(Datos_items!$B:$B,$B303,Datos_items!$O:$O,O$4,Datos_items!$E:$E,Analisis_grupo!$C$4),""))</f>
        <v/>
      </c>
      <c r="P303" s="18" t="str">
        <f aca="false">IF($B303="","",IFERROR(SUMIFS(Datos_items!$Z:$Z,Datos_items!$B:$B,$B303,Datos_items!$O:$O,P$4,Datos_items!$E:$E,Analisis_grupo!$C$4)/COUNTIFS(Datos_items!$B:$B,$B303,Datos_items!$O:$O,P$4,Datos_items!$E:$E,Analisis_grupo!$C$4),""))</f>
        <v/>
      </c>
      <c r="Q303" s="18" t="str">
        <f aca="false">IF($B303="","",IFERROR(SUMIFS(Datos_items!$Z:$Z,Datos_items!$B:$B,$B303,Datos_items!$O:$O,Q$4,Datos_items!$E:$E,Analisis_grupo!$C$4)/COUNTIFS(Datos_items!$B:$B,$B303,Datos_items!$O:$O,Q$4,Datos_items!$E:$E,Analisis_grupo!$C$4),""))</f>
        <v/>
      </c>
      <c r="R303" s="2" t="str">
        <f aca="false">IF(COUNT(J303:Q303)=0,"",IF(MIN(J303:Q303)&gt;=Analisis_grupo!$B$7,"(ninguna)",INDEX($J$4:$Q$4,MATCH(MIN(J303:Q303),J303:Q303,0))))</f>
        <v/>
      </c>
      <c r="S303" s="2" t="str">
        <f aca="false">IF($B303="","",COUNTIF(J303:Q303,"&lt;"&amp;Analisis_grupo!$B$7))</f>
        <v/>
      </c>
      <c r="T303" s="2" t="str">
        <f aca="false">IF($B303="","",COUNTIFS(Datos_items!$B:$B,$B303,Datos_items!$AA:$AA,T$4,Datos_items!$E:$E,Analisis_grupo!$C$4))</f>
        <v/>
      </c>
      <c r="U303" s="2" t="str">
        <f aca="false">IF($B303="","",COUNTIFS(Datos_items!$B:$B,$B303,Datos_items!$AA:$AA,U$4,Datos_items!$E:$E,Analisis_grupo!$C$4))</f>
        <v/>
      </c>
      <c r="V303" s="2" t="str">
        <f aca="false">IF($B303="","",COUNTIFS(Datos_items!$B:$B,$B303,Datos_items!$AA:$AA,V$4,Datos_items!$E:$E,Analisis_grupo!$C$4))</f>
        <v/>
      </c>
      <c r="W303" s="2" t="str">
        <f aca="false">IF($B303="","",COUNTIFS(Datos_items!$B:$B,$B303,Datos_items!$AA:$AA,W$4,Datos_items!$E:$E,Analisis_grupo!$C$4))</f>
        <v/>
      </c>
      <c r="X303" s="2" t="str">
        <f aca="false">IF($B303="","",COUNTIFS(Datos_items!$B:$B,$B303,Datos_items!$AA:$AA,X$4,Datos_items!$E:$E,Analisis_grupo!$C$4))</f>
        <v/>
      </c>
      <c r="Y303" s="2" t="str">
        <f aca="false">IF($B303="","",COUNTIFS(Datos_items!$B:$B,$B303,Datos_items!$AA:$AA,Y$4,Datos_items!$E:$E,Analisis_grupo!$C$4))</f>
        <v/>
      </c>
      <c r="Z303" s="2" t="str">
        <f aca="false">IF($B303="","",COUNTIFS(Datos_items!$B:$B,$B303,Datos_items!$AA:$AA,Z$4,Datos_items!$E:$E,Analisis_grupo!$C$4))</f>
        <v/>
      </c>
      <c r="AA303" s="2" t="str">
        <f aca="false">IF($B303="","",COUNTIFS(Datos_items!$B:$B,$B303,Datos_items!$AA:$AA,AA$4,Datos_items!$E:$E,Analisis_grupo!$C$4))</f>
        <v/>
      </c>
      <c r="AB303" s="2" t="str">
        <f aca="false">IF($B303="","",COUNTIFS(Datos_items!$B:$B,$B303,Datos_items!$AA:$AA,AB$4,Datos_items!$E:$E,Analisis_grupo!$C$4))</f>
        <v/>
      </c>
      <c r="AC303" s="2" t="str">
        <f aca="false">IF($B303="","",COUNTIFS(Datos_items!$B:$B,$B303,Datos_items!$AA:$AA,AC$4,Datos_items!$E:$E,Analisis_grupo!$C$4))</f>
        <v/>
      </c>
      <c r="AD303" s="2" t="str">
        <f aca="false">IF($B303="","",COUNTIFS(Datos_items!$B:$B,$B303,Datos_items!$AA:$AA,AD$4,Datos_items!$E:$E,Analisis_grupo!$C$4))</f>
        <v/>
      </c>
      <c r="AE303" s="2" t="str">
        <f aca="false">IF($B303="","",COUNTIFS(Datos_items!$B:$B,$B303,Datos_items!$AA:$AA,AE$4,Datos_items!$E:$E,Analisis_grupo!$C$4))</f>
        <v/>
      </c>
      <c r="AF303" s="2" t="str">
        <f aca="false">IF($B303="","",COUNTIFS(Datos_items!$B:$B,$B303,Datos_items!$AA:$AA,AF$4,Datos_items!$E:$E,Analisis_grupo!$C$4))</f>
        <v/>
      </c>
      <c r="AG303" s="2" t="str">
        <f aca="false">IF($B303="","",COUNTIFS(Datos_items!$B:$B,$B303,Datos_items!$AA:$AA,AG$4,Datos_items!$E:$E,Analisis_grupo!$C$4))</f>
        <v/>
      </c>
      <c r="AH303" s="2" t="str">
        <f aca="false">IF($B303="","",COUNTIFS(Datos_items!$B:$B,$B303,Datos_items!$AA:$AA,AH$4,Datos_items!$E:$E,Analisis_grupo!$C$4))</f>
        <v/>
      </c>
      <c r="AI303" s="2" t="str">
        <f aca="false">IF($B303="","",COUNTIFS(Datos_items!$B:$B,$B303,Datos_items!$AA:$AA,AI$4,Datos_items!$E:$E,Analisis_grupo!$C$4))</f>
        <v/>
      </c>
      <c r="AJ303" s="2" t="str">
        <f aca="false">IF($B303="","",COUNTIFS(Datos_items!$B:$B,$B303,Datos_items!$AA:$AA,AJ$4,Datos_items!$E:$E,Analisis_grupo!$C$4))</f>
        <v/>
      </c>
      <c r="AK303" s="2" t="str">
        <f aca="false">IF($B303="","",COUNTIFS(Datos_items!$B:$B,$B303,Datos_items!$AA:$AA,AK$4,Datos_items!$E:$E,Analisis_grupo!$C$4))</f>
        <v/>
      </c>
      <c r="AL303" s="2" t="str">
        <f aca="false">IF($B303="","",COUNTIFS(Datos_items!$B:$B,$B303,Datos_items!$AA:$AA,AL$4,Datos_items!$E:$E,Analisis_grupo!$C$4))</f>
        <v/>
      </c>
      <c r="AM303" s="2" t="str">
        <f aca="false">IF($B303="","",IF(MAX(Y303:AL303)=0,"",INDEX($Y$4:$AL$4,MATCH(MAX(Y303:AL303),Y303:AL303,0))))</f>
        <v/>
      </c>
      <c r="AN303" s="2" t="str">
        <f aca="false">IF($B303="","",COUNTIFS(Datos_problemas!$B:$B,$B303,Datos_problemas!$F:$F,"Práctica"))</f>
        <v/>
      </c>
      <c r="AO303" s="2" t="str">
        <f aca="false">IF($B303="","",SUMIFS(Datos_problemas!$AQ:$AQ,Datos_problemas!$B:$B,$B303,Datos_problemas!$F:$F,"Práctica"))</f>
        <v/>
      </c>
      <c r="AP303" s="2" t="str">
        <f aca="false">IF($B303="","",COUNTIFS(Datos_problemas!$B:$B,$B303,Datos_problemas!$F:$F,"Práctica",Datos_problemas!$AS:$AS,"Sí"))</f>
        <v/>
      </c>
    </row>
    <row r="304" customFormat="false" ht="15" hidden="false" customHeight="false" outlineLevel="0" collapsed="false">
      <c r="A304" s="2" t="n">
        <v>300</v>
      </c>
      <c r="B304" s="2" t="str">
        <f aca="false">IFERROR(INDEX(Datos_problemas!$B:$B,MATCH($A304,Datos_problemas!$AV:$AV,0)),"")</f>
        <v/>
      </c>
      <c r="C304" s="2" t="str">
        <f aca="false">IF($B304="","",INDEX(Datos_problemas!$C:$C,MATCH($A304,Datos_problemas!$AV:$AV,0)))</f>
        <v/>
      </c>
      <c r="D304" s="2" t="str">
        <f aca="false">IF($B304="","",INDEX(Datos_problemas!$D:$D,MATCH($A304,Datos_problemas!$AV:$AV,0)))</f>
        <v/>
      </c>
      <c r="E304" s="2" t="str">
        <f aca="false">IF($B304="","",COUNTIFS(Datos_problemas!$B:$B,$B304,Datos_problemas!$F:$F,"Evaluación"))</f>
        <v/>
      </c>
      <c r="F304" s="20" t="str">
        <f aca="false">IF($B304="","",IFERROR(AVERAGEIFS(Datos_problemas!$AE:$AE,Datos_problemas!$B:$B,$B304,Datos_problemas!$F:$F,"Evaluación"),""))</f>
        <v/>
      </c>
      <c r="G304" s="20" t="str">
        <f aca="false">IF($B304="","",IFERROR(AVERAGEIFS(Datos_problemas!$AE:$AE,Datos_problemas!$B:$B,$B304,Datos_problemas!$F:$F,"Evaluación",Datos_problemas!$E:$E,"Diagnóstico"),""))</f>
        <v/>
      </c>
      <c r="H304" s="20" t="str">
        <f aca="false">IF($B304="","",IFERROR(AVERAGEIFS(Datos_problemas!$AE:$AE,Datos_problemas!$B:$B,$B304,Datos_problemas!$F:$F,"Evaluación",Datos_problemas!$E:$E,"Final"),""))</f>
        <v/>
      </c>
      <c r="I304" s="21" t="str">
        <f aca="false">IF(OR(G304="",H304=""),"",IF(G304&gt;=10,"",(H304-G304)/(10-G304)))</f>
        <v/>
      </c>
      <c r="J304" s="18" t="str">
        <f aca="false">IF($B304="","",IFERROR(SUMIFS(Datos_items!$Z:$Z,Datos_items!$B:$B,$B304,Datos_items!$O:$O,J$4,Datos_items!$E:$E,Analisis_grupo!$C$4)/COUNTIFS(Datos_items!$B:$B,$B304,Datos_items!$O:$O,J$4,Datos_items!$E:$E,Analisis_grupo!$C$4),""))</f>
        <v/>
      </c>
      <c r="K304" s="18" t="str">
        <f aca="false">IF($B304="","",IFERROR(SUMIFS(Datos_items!$Z:$Z,Datos_items!$B:$B,$B304,Datos_items!$O:$O,K$4,Datos_items!$E:$E,Analisis_grupo!$C$4)/COUNTIFS(Datos_items!$B:$B,$B304,Datos_items!$O:$O,K$4,Datos_items!$E:$E,Analisis_grupo!$C$4),""))</f>
        <v/>
      </c>
      <c r="L304" s="18" t="str">
        <f aca="false">IF($B304="","",IFERROR(SUMIFS(Datos_items!$Z:$Z,Datos_items!$B:$B,$B304,Datos_items!$O:$O,L$4,Datos_items!$E:$E,Analisis_grupo!$C$4)/COUNTIFS(Datos_items!$B:$B,$B304,Datos_items!$O:$O,L$4,Datos_items!$E:$E,Analisis_grupo!$C$4),""))</f>
        <v/>
      </c>
      <c r="M304" s="18" t="str">
        <f aca="false">IF($B304="","",IFERROR(SUMIFS(Datos_items!$Z:$Z,Datos_items!$B:$B,$B304,Datos_items!$O:$O,M$4,Datos_items!$E:$E,Analisis_grupo!$C$4)/COUNTIFS(Datos_items!$B:$B,$B304,Datos_items!$O:$O,M$4,Datos_items!$E:$E,Analisis_grupo!$C$4),""))</f>
        <v/>
      </c>
      <c r="N304" s="18" t="str">
        <f aca="false">IF($B304="","",IFERROR(SUMIFS(Datos_items!$Z:$Z,Datos_items!$B:$B,$B304,Datos_items!$O:$O,N$4,Datos_items!$E:$E,Analisis_grupo!$C$4)/COUNTIFS(Datos_items!$B:$B,$B304,Datos_items!$O:$O,N$4,Datos_items!$E:$E,Analisis_grupo!$C$4),""))</f>
        <v/>
      </c>
      <c r="O304" s="18" t="str">
        <f aca="false">IF($B304="","",IFERROR(SUMIFS(Datos_items!$Z:$Z,Datos_items!$B:$B,$B304,Datos_items!$O:$O,O$4,Datos_items!$E:$E,Analisis_grupo!$C$4)/COUNTIFS(Datos_items!$B:$B,$B304,Datos_items!$O:$O,O$4,Datos_items!$E:$E,Analisis_grupo!$C$4),""))</f>
        <v/>
      </c>
      <c r="P304" s="18" t="str">
        <f aca="false">IF($B304="","",IFERROR(SUMIFS(Datos_items!$Z:$Z,Datos_items!$B:$B,$B304,Datos_items!$O:$O,P$4,Datos_items!$E:$E,Analisis_grupo!$C$4)/COUNTIFS(Datos_items!$B:$B,$B304,Datos_items!$O:$O,P$4,Datos_items!$E:$E,Analisis_grupo!$C$4),""))</f>
        <v/>
      </c>
      <c r="Q304" s="18" t="str">
        <f aca="false">IF($B304="","",IFERROR(SUMIFS(Datos_items!$Z:$Z,Datos_items!$B:$B,$B304,Datos_items!$O:$O,Q$4,Datos_items!$E:$E,Analisis_grupo!$C$4)/COUNTIFS(Datos_items!$B:$B,$B304,Datos_items!$O:$O,Q$4,Datos_items!$E:$E,Analisis_grupo!$C$4),""))</f>
        <v/>
      </c>
      <c r="R304" s="2" t="str">
        <f aca="false">IF(COUNT(J304:Q304)=0,"",IF(MIN(J304:Q304)&gt;=Analisis_grupo!$B$7,"(ninguna)",INDEX($J$4:$Q$4,MATCH(MIN(J304:Q304),J304:Q304,0))))</f>
        <v/>
      </c>
      <c r="S304" s="2" t="str">
        <f aca="false">IF($B304="","",COUNTIF(J304:Q304,"&lt;"&amp;Analisis_grupo!$B$7))</f>
        <v/>
      </c>
      <c r="T304" s="2" t="str">
        <f aca="false">IF($B304="","",COUNTIFS(Datos_items!$B:$B,$B304,Datos_items!$AA:$AA,T$4,Datos_items!$E:$E,Analisis_grupo!$C$4))</f>
        <v/>
      </c>
      <c r="U304" s="2" t="str">
        <f aca="false">IF($B304="","",COUNTIFS(Datos_items!$B:$B,$B304,Datos_items!$AA:$AA,U$4,Datos_items!$E:$E,Analisis_grupo!$C$4))</f>
        <v/>
      </c>
      <c r="V304" s="2" t="str">
        <f aca="false">IF($B304="","",COUNTIFS(Datos_items!$B:$B,$B304,Datos_items!$AA:$AA,V$4,Datos_items!$E:$E,Analisis_grupo!$C$4))</f>
        <v/>
      </c>
      <c r="W304" s="2" t="str">
        <f aca="false">IF($B304="","",COUNTIFS(Datos_items!$B:$B,$B304,Datos_items!$AA:$AA,W$4,Datos_items!$E:$E,Analisis_grupo!$C$4))</f>
        <v/>
      </c>
      <c r="X304" s="2" t="str">
        <f aca="false">IF($B304="","",COUNTIFS(Datos_items!$B:$B,$B304,Datos_items!$AA:$AA,X$4,Datos_items!$E:$E,Analisis_grupo!$C$4))</f>
        <v/>
      </c>
      <c r="Y304" s="2" t="str">
        <f aca="false">IF($B304="","",COUNTIFS(Datos_items!$B:$B,$B304,Datos_items!$AA:$AA,Y$4,Datos_items!$E:$E,Analisis_grupo!$C$4))</f>
        <v/>
      </c>
      <c r="Z304" s="2" t="str">
        <f aca="false">IF($B304="","",COUNTIFS(Datos_items!$B:$B,$B304,Datos_items!$AA:$AA,Z$4,Datos_items!$E:$E,Analisis_grupo!$C$4))</f>
        <v/>
      </c>
      <c r="AA304" s="2" t="str">
        <f aca="false">IF($B304="","",COUNTIFS(Datos_items!$B:$B,$B304,Datos_items!$AA:$AA,AA$4,Datos_items!$E:$E,Analisis_grupo!$C$4))</f>
        <v/>
      </c>
      <c r="AB304" s="2" t="str">
        <f aca="false">IF($B304="","",COUNTIFS(Datos_items!$B:$B,$B304,Datos_items!$AA:$AA,AB$4,Datos_items!$E:$E,Analisis_grupo!$C$4))</f>
        <v/>
      </c>
      <c r="AC304" s="2" t="str">
        <f aca="false">IF($B304="","",COUNTIFS(Datos_items!$B:$B,$B304,Datos_items!$AA:$AA,AC$4,Datos_items!$E:$E,Analisis_grupo!$C$4))</f>
        <v/>
      </c>
      <c r="AD304" s="2" t="str">
        <f aca="false">IF($B304="","",COUNTIFS(Datos_items!$B:$B,$B304,Datos_items!$AA:$AA,AD$4,Datos_items!$E:$E,Analisis_grupo!$C$4))</f>
        <v/>
      </c>
      <c r="AE304" s="2" t="str">
        <f aca="false">IF($B304="","",COUNTIFS(Datos_items!$B:$B,$B304,Datos_items!$AA:$AA,AE$4,Datos_items!$E:$E,Analisis_grupo!$C$4))</f>
        <v/>
      </c>
      <c r="AF304" s="2" t="str">
        <f aca="false">IF($B304="","",COUNTIFS(Datos_items!$B:$B,$B304,Datos_items!$AA:$AA,AF$4,Datos_items!$E:$E,Analisis_grupo!$C$4))</f>
        <v/>
      </c>
      <c r="AG304" s="2" t="str">
        <f aca="false">IF($B304="","",COUNTIFS(Datos_items!$B:$B,$B304,Datos_items!$AA:$AA,AG$4,Datos_items!$E:$E,Analisis_grupo!$C$4))</f>
        <v/>
      </c>
      <c r="AH304" s="2" t="str">
        <f aca="false">IF($B304="","",COUNTIFS(Datos_items!$B:$B,$B304,Datos_items!$AA:$AA,AH$4,Datos_items!$E:$E,Analisis_grupo!$C$4))</f>
        <v/>
      </c>
      <c r="AI304" s="2" t="str">
        <f aca="false">IF($B304="","",COUNTIFS(Datos_items!$B:$B,$B304,Datos_items!$AA:$AA,AI$4,Datos_items!$E:$E,Analisis_grupo!$C$4))</f>
        <v/>
      </c>
      <c r="AJ304" s="2" t="str">
        <f aca="false">IF($B304="","",COUNTIFS(Datos_items!$B:$B,$B304,Datos_items!$AA:$AA,AJ$4,Datos_items!$E:$E,Analisis_grupo!$C$4))</f>
        <v/>
      </c>
      <c r="AK304" s="2" t="str">
        <f aca="false">IF($B304="","",COUNTIFS(Datos_items!$B:$B,$B304,Datos_items!$AA:$AA,AK$4,Datos_items!$E:$E,Analisis_grupo!$C$4))</f>
        <v/>
      </c>
      <c r="AL304" s="2" t="str">
        <f aca="false">IF($B304="","",COUNTIFS(Datos_items!$B:$B,$B304,Datos_items!$AA:$AA,AL$4,Datos_items!$E:$E,Analisis_grupo!$C$4))</f>
        <v/>
      </c>
      <c r="AM304" s="2" t="str">
        <f aca="false">IF($B304="","",IF(MAX(Y304:AL304)=0,"",INDEX($Y$4:$AL$4,MATCH(MAX(Y304:AL304),Y304:AL304,0))))</f>
        <v/>
      </c>
      <c r="AN304" s="2" t="str">
        <f aca="false">IF($B304="","",COUNTIFS(Datos_problemas!$B:$B,$B304,Datos_problemas!$F:$F,"Práctica"))</f>
        <v/>
      </c>
      <c r="AO304" s="2" t="str">
        <f aca="false">IF($B304="","",SUMIFS(Datos_problemas!$AQ:$AQ,Datos_problemas!$B:$B,$B304,Datos_problemas!$F:$F,"Práctica"))</f>
        <v/>
      </c>
      <c r="AP304" s="2" t="str">
        <f aca="false">IF($B304="","",COUNTIFS(Datos_problemas!$B:$B,$B304,Datos_problemas!$F:$F,"Práctica",Datos_problemas!$AS:$AS,"Sí"))</f>
        <v/>
      </c>
    </row>
  </sheetData>
  <conditionalFormatting sqref="J5:Q304">
    <cfRule type="colorScale" priority="2">
      <colorScale>
        <cfvo type="num" val="0"/>
        <cfvo type="num" val="0.6"/>
        <cfvo type="num" val="1"/>
        <color rgb="FFE5735F"/>
        <color rgb="FFF7DC8C"/>
        <color rgb="FF7FC49A"/>
      </colorScale>
    </cfRule>
  </conditionalFormatting>
  <conditionalFormatting sqref="T5:AL304">
    <cfRule type="colorScale" priority="3">
      <colorScale>
        <cfvo type="num" val="0"/>
        <cfvo type="max" val="0"/>
        <color rgb="FFFFFFFF"/>
        <color rgb="FFE5735F"/>
      </colorScale>
    </cfRule>
  </conditionalFormatting>
  <conditionalFormatting sqref="F5:H304">
    <cfRule type="cellIs" priority="4" operator="lessThan" aboveAverage="0" equalAverage="0" bottom="0" percent="0" rank="0" text="" dxfId="1">
      <formula>INDIRECT("Analisis_grupo!B8")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20"/>
  </cols>
  <sheetData>
    <row r="1" customFormat="false" ht="15" hidden="false" customHeight="false" outlineLevel="0" collapsed="false">
      <c r="A1" s="5" t="s">
        <v>518</v>
      </c>
      <c r="B1" s="5" t="s">
        <v>26</v>
      </c>
      <c r="C1" s="5" t="s">
        <v>519</v>
      </c>
      <c r="D1" s="5" t="s">
        <v>520</v>
      </c>
      <c r="F1" s="9" t="s">
        <v>521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2026-09-30T03:48:55Z</dcterms:created>
  <dc:creator>openpyxl</dc:creator>
  <dc:description/>
  <dc:language>en-US</dc:language>
  <cp:lastModifiedBy/>
  <dcterms:modified xsi:type="dcterms:W3CDTF">2026-09-29T20:49:06Z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